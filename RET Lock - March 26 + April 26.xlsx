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nfocision.sharepoint.com/sites/COXRententionIB/Shared Documents/Inbound Staffing Planner/Client Call Docs/Volume Locks/"/>
    </mc:Choice>
  </mc:AlternateContent>
  <xr:revisionPtr revIDLastSave="177" documentId="8_{B4960E43-1CF9-4632-8F36-0B89D9CE7463}" xr6:coauthVersionLast="47" xr6:coauthVersionMax="47" xr10:uidLastSave="{0A0DB284-5AEF-47FB-9CC1-0C4E84D810DC}"/>
  <bookViews>
    <workbookView xWindow="20370" yWindow="-120" windowWidth="29040" windowHeight="15720" tabRatio="881" firstSheet="2" activeTab="17" xr2:uid="{2AC37AAB-376C-4462-B447-564F1F317E8F}"/>
  </bookViews>
  <sheets>
    <sheet name="V-FTE Mar" sheetId="6" r:id="rId1"/>
    <sheet name="V-Vol Mar" sheetId="1" r:id="rId2"/>
    <sheet name="V-Hrs Mar" sheetId="12" r:id="rId3"/>
    <sheet name="V-FTE Apr" sheetId="7" r:id="rId4"/>
    <sheet name="V-Vol Apr" sheetId="2" r:id="rId5"/>
    <sheet name="V-Hrs Apr" sheetId="13" r:id="rId6"/>
    <sheet name="C-FTE Mar" sheetId="4" r:id="rId7"/>
    <sheet name="C-Vol Mar" sheetId="10" r:id="rId8"/>
    <sheet name="C-Hrs Mar" sheetId="11" r:id="rId9"/>
    <sheet name="C-FTE Apr" sheetId="5" r:id="rId10"/>
    <sheet name="C-Vol Apr" sheetId="14" r:id="rId11"/>
    <sheet name="C-Hrs Apr" sheetId="15" r:id="rId12"/>
    <sheet name="B-FTE Mar" sheetId="19" r:id="rId13"/>
    <sheet name="B-Vol Mar" sheetId="20" r:id="rId14"/>
    <sheet name="B-Hrs Mar" sheetId="21" r:id="rId15"/>
    <sheet name="B-FTE Apr" sheetId="16" r:id="rId16"/>
    <sheet name="B-Vol Apr" sheetId="17" r:id="rId17"/>
    <sheet name="B-Hrs Apr" sheetId="18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" i="18" l="1"/>
  <c r="AF1" i="17"/>
  <c r="AE1" i="18"/>
  <c r="AD1" i="18"/>
  <c r="AC1" i="18"/>
  <c r="AB1" i="18"/>
  <c r="AA1" i="18"/>
  <c r="Z1" i="18"/>
  <c r="Y1" i="18"/>
  <c r="X1" i="18"/>
  <c r="W1" i="18"/>
  <c r="V1" i="18"/>
  <c r="U1" i="18"/>
  <c r="T1" i="18"/>
  <c r="S1" i="18"/>
  <c r="R1" i="18"/>
  <c r="Q1" i="18"/>
  <c r="P1" i="18"/>
  <c r="O1" i="18"/>
  <c r="N1" i="18"/>
  <c r="M1" i="18"/>
  <c r="L1" i="18"/>
  <c r="K1" i="18"/>
  <c r="J1" i="18"/>
  <c r="I1" i="18"/>
  <c r="H1" i="18"/>
  <c r="G1" i="18"/>
  <c r="F1" i="18"/>
  <c r="E1" i="18"/>
  <c r="D1" i="18"/>
  <c r="C1" i="18"/>
  <c r="B1" i="18"/>
  <c r="AO50" i="19" a="1"/>
  <c r="AO50" i="19" s="1"/>
  <c r="AN50" i="19"/>
  <c r="AN50" i="19" a="1"/>
  <c r="AM50" i="19" a="1"/>
  <c r="AM50" i="19" s="1"/>
  <c r="AL50" i="19" a="1"/>
  <c r="AL50" i="19" s="1"/>
  <c r="AK50" i="19"/>
  <c r="AK50" i="19" a="1"/>
  <c r="AJ50" i="19" a="1"/>
  <c r="AJ50" i="19" s="1"/>
  <c r="AI50" i="19" a="1"/>
  <c r="AI50" i="19" s="1"/>
  <c r="AO49" i="19"/>
  <c r="AO49" i="19" a="1"/>
  <c r="AN49" i="19" a="1"/>
  <c r="AN49" i="19" s="1"/>
  <c r="AM49" i="19" a="1"/>
  <c r="AM49" i="19" s="1"/>
  <c r="AL49" i="19"/>
  <c r="AL49" i="19" a="1"/>
  <c r="AK49" i="19" a="1"/>
  <c r="AK49" i="19" s="1"/>
  <c r="AJ49" i="19" a="1"/>
  <c r="AJ49" i="19" s="1"/>
  <c r="AI49" i="19" a="1"/>
  <c r="AI49" i="19" s="1"/>
  <c r="AO48" i="19" a="1"/>
  <c r="AO48" i="19" s="1"/>
  <c r="AN48" i="19" a="1"/>
  <c r="AN48" i="19" s="1"/>
  <c r="AM48" i="19" a="1"/>
  <c r="AM48" i="19" s="1"/>
  <c r="AL48" i="19" a="1"/>
  <c r="AL48" i="19" s="1"/>
  <c r="AK48" i="19" a="1"/>
  <c r="AK48" i="19" s="1"/>
  <c r="AJ48" i="19" a="1"/>
  <c r="AJ48" i="19" s="1"/>
  <c r="AI48" i="19" a="1"/>
  <c r="AI48" i="19" s="1"/>
  <c r="AO47" i="19" a="1"/>
  <c r="AO47" i="19" s="1"/>
  <c r="AN47" i="19" a="1"/>
  <c r="AN47" i="19" s="1"/>
  <c r="AM47" i="19" a="1"/>
  <c r="AM47" i="19" s="1"/>
  <c r="AL47" i="19" a="1"/>
  <c r="AL47" i="19" s="1"/>
  <c r="AK47" i="19" a="1"/>
  <c r="AK47" i="19" s="1"/>
  <c r="AJ47" i="19" a="1"/>
  <c r="AJ47" i="19" s="1"/>
  <c r="AI47" i="19" a="1"/>
  <c r="AI47" i="19" s="1"/>
  <c r="AO46" i="19" a="1"/>
  <c r="AO46" i="19" s="1"/>
  <c r="AN46" i="19" a="1"/>
  <c r="AN46" i="19" s="1"/>
  <c r="AM46" i="19" a="1"/>
  <c r="AM46" i="19" s="1"/>
  <c r="AL46" i="19" a="1"/>
  <c r="AL46" i="19" s="1"/>
  <c r="AK46" i="19" a="1"/>
  <c r="AK46" i="19" s="1"/>
  <c r="AJ46" i="19" a="1"/>
  <c r="AJ46" i="19" s="1"/>
  <c r="AI46" i="19" a="1"/>
  <c r="AI46" i="19" s="1"/>
  <c r="AO45" i="19" a="1"/>
  <c r="AO45" i="19" s="1"/>
  <c r="AN45" i="19" a="1"/>
  <c r="AN45" i="19" s="1"/>
  <c r="AM45" i="19" a="1"/>
  <c r="AM45" i="19" s="1"/>
  <c r="AL45" i="19" a="1"/>
  <c r="AL45" i="19" s="1"/>
  <c r="AK45" i="19" a="1"/>
  <c r="AK45" i="19" s="1"/>
  <c r="AJ45" i="19" a="1"/>
  <c r="AJ45" i="19" s="1"/>
  <c r="AI45" i="19" a="1"/>
  <c r="AI45" i="19" s="1"/>
  <c r="AO44" i="19" a="1"/>
  <c r="AO44" i="19" s="1"/>
  <c r="AN44" i="19" a="1"/>
  <c r="AN44" i="19" s="1"/>
  <c r="AM44" i="19" a="1"/>
  <c r="AM44" i="19" s="1"/>
  <c r="AL44" i="19" a="1"/>
  <c r="AL44" i="19" s="1"/>
  <c r="AK44" i="19" a="1"/>
  <c r="AK44" i="19" s="1"/>
  <c r="AJ44" i="19" a="1"/>
  <c r="AJ44" i="19" s="1"/>
  <c r="AI44" i="19" a="1"/>
  <c r="AI44" i="19" s="1"/>
  <c r="AO43" i="19" a="1"/>
  <c r="AO43" i="19" s="1"/>
  <c r="AN43" i="19" a="1"/>
  <c r="AN43" i="19" s="1"/>
  <c r="AM43" i="19" a="1"/>
  <c r="AM43" i="19" s="1"/>
  <c r="AL43" i="19" a="1"/>
  <c r="AL43" i="19" s="1"/>
  <c r="AK43" i="19" a="1"/>
  <c r="AK43" i="19" s="1"/>
  <c r="AJ43" i="19" a="1"/>
  <c r="AJ43" i="19" s="1"/>
  <c r="AI43" i="19" a="1"/>
  <c r="AI43" i="19" s="1"/>
  <c r="AO42" i="19" a="1"/>
  <c r="AO42" i="19" s="1"/>
  <c r="AN42" i="19" a="1"/>
  <c r="AN42" i="19" s="1"/>
  <c r="AM42" i="19" a="1"/>
  <c r="AM42" i="19" s="1"/>
  <c r="AL42" i="19" a="1"/>
  <c r="AL42" i="19" s="1"/>
  <c r="AK42" i="19" a="1"/>
  <c r="AK42" i="19" s="1"/>
  <c r="AJ42" i="19" a="1"/>
  <c r="AJ42" i="19" s="1"/>
  <c r="AI42" i="19" a="1"/>
  <c r="AI42" i="19" s="1"/>
  <c r="AO41" i="19" a="1"/>
  <c r="AO41" i="19" s="1"/>
  <c r="AN41" i="19" a="1"/>
  <c r="AN41" i="19" s="1"/>
  <c r="AM41" i="19" a="1"/>
  <c r="AM41" i="19" s="1"/>
  <c r="AL41" i="19" a="1"/>
  <c r="AL41" i="19" s="1"/>
  <c r="AK41" i="19" a="1"/>
  <c r="AK41" i="19" s="1"/>
  <c r="AJ41" i="19" a="1"/>
  <c r="AJ41" i="19" s="1"/>
  <c r="AI41" i="19" a="1"/>
  <c r="AI41" i="19" s="1"/>
  <c r="AO40" i="19" a="1"/>
  <c r="AO40" i="19" s="1"/>
  <c r="AN40" i="19" a="1"/>
  <c r="AN40" i="19" s="1"/>
  <c r="AM40" i="19" a="1"/>
  <c r="AM40" i="19" s="1"/>
  <c r="AL40" i="19" a="1"/>
  <c r="AL40" i="19" s="1"/>
  <c r="AK40" i="19" a="1"/>
  <c r="AK40" i="19" s="1"/>
  <c r="AJ40" i="19" a="1"/>
  <c r="AJ40" i="19" s="1"/>
  <c r="AI40" i="19" a="1"/>
  <c r="AI40" i="19" s="1"/>
  <c r="AO39" i="19" a="1"/>
  <c r="AO39" i="19" s="1"/>
  <c r="AN39" i="19" a="1"/>
  <c r="AN39" i="19" s="1"/>
  <c r="AM39" i="19" a="1"/>
  <c r="AM39" i="19" s="1"/>
  <c r="AL39" i="19" a="1"/>
  <c r="AL39" i="19" s="1"/>
  <c r="AK39" i="19" a="1"/>
  <c r="AK39" i="19" s="1"/>
  <c r="AJ39" i="19" a="1"/>
  <c r="AJ39" i="19" s="1"/>
  <c r="AI39" i="19" a="1"/>
  <c r="AI39" i="19" s="1"/>
  <c r="AO38" i="19" a="1"/>
  <c r="AO38" i="19" s="1"/>
  <c r="AN38" i="19" a="1"/>
  <c r="AN38" i="19" s="1"/>
  <c r="AM38" i="19" a="1"/>
  <c r="AM38" i="19" s="1"/>
  <c r="AL38" i="19" a="1"/>
  <c r="AL38" i="19" s="1"/>
  <c r="AK38" i="19" a="1"/>
  <c r="AK38" i="19" s="1"/>
  <c r="AJ38" i="19" a="1"/>
  <c r="AJ38" i="19" s="1"/>
  <c r="AI38" i="19" a="1"/>
  <c r="AI38" i="19" s="1"/>
  <c r="AO37" i="19" a="1"/>
  <c r="AO37" i="19" s="1"/>
  <c r="AN37" i="19" a="1"/>
  <c r="AN37" i="19" s="1"/>
  <c r="AM37" i="19" a="1"/>
  <c r="AM37" i="19" s="1"/>
  <c r="AL37" i="19" a="1"/>
  <c r="AL37" i="19" s="1"/>
  <c r="AK37" i="19" a="1"/>
  <c r="AK37" i="19" s="1"/>
  <c r="AJ37" i="19" a="1"/>
  <c r="AJ37" i="19" s="1"/>
  <c r="AI37" i="19" a="1"/>
  <c r="AI37" i="19" s="1"/>
  <c r="AO36" i="19" a="1"/>
  <c r="AO36" i="19" s="1"/>
  <c r="AN36" i="19" a="1"/>
  <c r="AN36" i="19" s="1"/>
  <c r="AM36" i="19" a="1"/>
  <c r="AM36" i="19" s="1"/>
  <c r="AL36" i="19" a="1"/>
  <c r="AL36" i="19" s="1"/>
  <c r="AK36" i="19" a="1"/>
  <c r="AK36" i="19" s="1"/>
  <c r="AJ36" i="19" a="1"/>
  <c r="AJ36" i="19" s="1"/>
  <c r="AI36" i="19" a="1"/>
  <c r="AI36" i="19" s="1"/>
  <c r="AO35" i="19" a="1"/>
  <c r="AO35" i="19" s="1"/>
  <c r="AN35" i="19" a="1"/>
  <c r="AN35" i="19" s="1"/>
  <c r="AM35" i="19" a="1"/>
  <c r="AM35" i="19" s="1"/>
  <c r="AL35" i="19" a="1"/>
  <c r="AL35" i="19" s="1"/>
  <c r="AK35" i="19" a="1"/>
  <c r="AK35" i="19" s="1"/>
  <c r="AJ35" i="19" a="1"/>
  <c r="AJ35" i="19" s="1"/>
  <c r="AI35" i="19" a="1"/>
  <c r="AI35" i="19" s="1"/>
  <c r="AO34" i="19" a="1"/>
  <c r="AO34" i="19" s="1"/>
  <c r="AN34" i="19" a="1"/>
  <c r="AN34" i="19" s="1"/>
  <c r="AM34" i="19" a="1"/>
  <c r="AM34" i="19" s="1"/>
  <c r="AL34" i="19" a="1"/>
  <c r="AL34" i="19" s="1"/>
  <c r="AK34" i="19" a="1"/>
  <c r="AK34" i="19" s="1"/>
  <c r="AJ34" i="19" a="1"/>
  <c r="AJ34" i="19" s="1"/>
  <c r="AI34" i="19" a="1"/>
  <c r="AI34" i="19" s="1"/>
  <c r="AO33" i="19" a="1"/>
  <c r="AO33" i="19" s="1"/>
  <c r="AN33" i="19" a="1"/>
  <c r="AN33" i="19" s="1"/>
  <c r="AM33" i="19" a="1"/>
  <c r="AM33" i="19" s="1"/>
  <c r="AL33" i="19" a="1"/>
  <c r="AL33" i="19" s="1"/>
  <c r="AK33" i="19" a="1"/>
  <c r="AK33" i="19" s="1"/>
  <c r="AJ33" i="19" a="1"/>
  <c r="AJ33" i="19" s="1"/>
  <c r="AI33" i="19" a="1"/>
  <c r="AI33" i="19" s="1"/>
  <c r="AO32" i="19" a="1"/>
  <c r="AO32" i="19" s="1"/>
  <c r="AN32" i="19" a="1"/>
  <c r="AN32" i="19" s="1"/>
  <c r="AM32" i="19" a="1"/>
  <c r="AM32" i="19" s="1"/>
  <c r="AL32" i="19" a="1"/>
  <c r="AL32" i="19" s="1"/>
  <c r="AK32" i="19" a="1"/>
  <c r="AK32" i="19" s="1"/>
  <c r="AJ32" i="19" a="1"/>
  <c r="AJ32" i="19" s="1"/>
  <c r="AI32" i="19" a="1"/>
  <c r="AI32" i="19" s="1"/>
  <c r="AO31" i="19" a="1"/>
  <c r="AO31" i="19" s="1"/>
  <c r="AN31" i="19" a="1"/>
  <c r="AN31" i="19" s="1"/>
  <c r="AM31" i="19" a="1"/>
  <c r="AM31" i="19" s="1"/>
  <c r="AL31" i="19" a="1"/>
  <c r="AL31" i="19" s="1"/>
  <c r="AK31" i="19" a="1"/>
  <c r="AK31" i="19" s="1"/>
  <c r="AJ31" i="19" a="1"/>
  <c r="AJ31" i="19" s="1"/>
  <c r="AI31" i="19" a="1"/>
  <c r="AI31" i="19" s="1"/>
  <c r="AO30" i="19" a="1"/>
  <c r="AO30" i="19" s="1"/>
  <c r="AN30" i="19" a="1"/>
  <c r="AN30" i="19" s="1"/>
  <c r="AM30" i="19" a="1"/>
  <c r="AM30" i="19" s="1"/>
  <c r="AL30" i="19" a="1"/>
  <c r="AL30" i="19" s="1"/>
  <c r="AK30" i="19" a="1"/>
  <c r="AK30" i="19" s="1"/>
  <c r="AJ30" i="19" a="1"/>
  <c r="AJ30" i="19" s="1"/>
  <c r="AI30" i="19" a="1"/>
  <c r="AI30" i="19" s="1"/>
  <c r="AO29" i="19" a="1"/>
  <c r="AO29" i="19" s="1"/>
  <c r="AN29" i="19" a="1"/>
  <c r="AN29" i="19" s="1"/>
  <c r="AM29" i="19" a="1"/>
  <c r="AM29" i="19" s="1"/>
  <c r="AL29" i="19" a="1"/>
  <c r="AL29" i="19" s="1"/>
  <c r="AK29" i="19" a="1"/>
  <c r="AK29" i="19" s="1"/>
  <c r="AJ29" i="19" a="1"/>
  <c r="AJ29" i="19" s="1"/>
  <c r="AI29" i="19" a="1"/>
  <c r="AI29" i="19" s="1"/>
  <c r="AO28" i="19" a="1"/>
  <c r="AO28" i="19" s="1"/>
  <c r="AN28" i="19" a="1"/>
  <c r="AN28" i="19" s="1"/>
  <c r="AM28" i="19" a="1"/>
  <c r="AM28" i="19" s="1"/>
  <c r="AL28" i="19" a="1"/>
  <c r="AL28" i="19" s="1"/>
  <c r="AK28" i="19" a="1"/>
  <c r="AK28" i="19" s="1"/>
  <c r="AJ28" i="19" a="1"/>
  <c r="AJ28" i="19" s="1"/>
  <c r="AI28" i="19" a="1"/>
  <c r="AI28" i="19" s="1"/>
  <c r="AO27" i="19" a="1"/>
  <c r="AO27" i="19" s="1"/>
  <c r="AN27" i="19" a="1"/>
  <c r="AN27" i="19" s="1"/>
  <c r="AM27" i="19" a="1"/>
  <c r="AM27" i="19" s="1"/>
  <c r="AL27" i="19" a="1"/>
  <c r="AL27" i="19" s="1"/>
  <c r="AK27" i="19" a="1"/>
  <c r="AK27" i="19" s="1"/>
  <c r="AJ27" i="19" a="1"/>
  <c r="AJ27" i="19" s="1"/>
  <c r="AI27" i="19" a="1"/>
  <c r="AI27" i="19" s="1"/>
  <c r="AO26" i="19" a="1"/>
  <c r="AO26" i="19" s="1"/>
  <c r="AN26" i="19" a="1"/>
  <c r="AN26" i="19" s="1"/>
  <c r="AM26" i="19" a="1"/>
  <c r="AM26" i="19" s="1"/>
  <c r="AL26" i="19" a="1"/>
  <c r="AL26" i="19" s="1"/>
  <c r="AK26" i="19" a="1"/>
  <c r="AK26" i="19" s="1"/>
  <c r="AJ26" i="19" a="1"/>
  <c r="AJ26" i="19" s="1"/>
  <c r="AI26" i="19" a="1"/>
  <c r="AI26" i="19" s="1"/>
  <c r="AO25" i="19" a="1"/>
  <c r="AO25" i="19" s="1"/>
  <c r="AN25" i="19" a="1"/>
  <c r="AN25" i="19" s="1"/>
  <c r="AM25" i="19" a="1"/>
  <c r="AM25" i="19" s="1"/>
  <c r="AL25" i="19" a="1"/>
  <c r="AL25" i="19" s="1"/>
  <c r="AK25" i="19" a="1"/>
  <c r="AK25" i="19" s="1"/>
  <c r="AJ25" i="19" a="1"/>
  <c r="AJ25" i="19" s="1"/>
  <c r="AI25" i="19" a="1"/>
  <c r="AI25" i="19" s="1"/>
  <c r="AO24" i="19" a="1"/>
  <c r="AO24" i="19" s="1"/>
  <c r="AN24" i="19" a="1"/>
  <c r="AN24" i="19" s="1"/>
  <c r="AM24" i="19" a="1"/>
  <c r="AM24" i="19" s="1"/>
  <c r="AL24" i="19" a="1"/>
  <c r="AL24" i="19" s="1"/>
  <c r="AK24" i="19" a="1"/>
  <c r="AK24" i="19" s="1"/>
  <c r="AJ24" i="19" a="1"/>
  <c r="AJ24" i="19" s="1"/>
  <c r="AI24" i="19" a="1"/>
  <c r="AI24" i="19" s="1"/>
  <c r="AO23" i="19" a="1"/>
  <c r="AO23" i="19" s="1"/>
  <c r="AN23" i="19" a="1"/>
  <c r="AN23" i="19" s="1"/>
  <c r="AM23" i="19" a="1"/>
  <c r="AM23" i="19" s="1"/>
  <c r="AL23" i="19" a="1"/>
  <c r="AL23" i="19" s="1"/>
  <c r="AK23" i="19" a="1"/>
  <c r="AK23" i="19" s="1"/>
  <c r="AJ23" i="19" a="1"/>
  <c r="AJ23" i="19" s="1"/>
  <c r="AI23" i="19" a="1"/>
  <c r="AI23" i="19" s="1"/>
  <c r="AO22" i="19" a="1"/>
  <c r="AO22" i="19" s="1"/>
  <c r="AN22" i="19" a="1"/>
  <c r="AN22" i="19" s="1"/>
  <c r="AM22" i="19" a="1"/>
  <c r="AM22" i="19" s="1"/>
  <c r="AL22" i="19" a="1"/>
  <c r="AL22" i="19" s="1"/>
  <c r="AK22" i="19" a="1"/>
  <c r="AK22" i="19" s="1"/>
  <c r="AJ22" i="19" a="1"/>
  <c r="AJ22" i="19" s="1"/>
  <c r="AI22" i="19" a="1"/>
  <c r="AI22" i="19" s="1"/>
  <c r="AO21" i="19" a="1"/>
  <c r="AO21" i="19" s="1"/>
  <c r="AN21" i="19" a="1"/>
  <c r="AN21" i="19" s="1"/>
  <c r="AM21" i="19" a="1"/>
  <c r="AM21" i="19" s="1"/>
  <c r="AL21" i="19" a="1"/>
  <c r="AL21" i="19" s="1"/>
  <c r="AK21" i="19" a="1"/>
  <c r="AK21" i="19" s="1"/>
  <c r="AJ21" i="19" a="1"/>
  <c r="AJ21" i="19" s="1"/>
  <c r="AI21" i="19" a="1"/>
  <c r="AI21" i="19" s="1"/>
  <c r="AO20" i="19" a="1"/>
  <c r="AO20" i="19" s="1"/>
  <c r="AN20" i="19" a="1"/>
  <c r="AN20" i="19" s="1"/>
  <c r="AM20" i="19" a="1"/>
  <c r="AM20" i="19" s="1"/>
  <c r="AL20" i="19" a="1"/>
  <c r="AL20" i="19" s="1"/>
  <c r="AK20" i="19" a="1"/>
  <c r="AK20" i="19" s="1"/>
  <c r="AJ20" i="19" a="1"/>
  <c r="AJ20" i="19" s="1"/>
  <c r="AI20" i="19" a="1"/>
  <c r="AI20" i="19" s="1"/>
  <c r="AO19" i="19" a="1"/>
  <c r="AO19" i="19" s="1"/>
  <c r="AN19" i="19" a="1"/>
  <c r="AN19" i="19" s="1"/>
  <c r="AM19" i="19" a="1"/>
  <c r="AM19" i="19" s="1"/>
  <c r="AL19" i="19" a="1"/>
  <c r="AL19" i="19" s="1"/>
  <c r="AK19" i="19" a="1"/>
  <c r="AK19" i="19" s="1"/>
  <c r="AJ19" i="19" a="1"/>
  <c r="AJ19" i="19" s="1"/>
  <c r="AI19" i="19" a="1"/>
  <c r="AI19" i="19" s="1"/>
  <c r="AO50" i="4" a="1"/>
  <c r="AO50" i="4" s="1"/>
  <c r="AN50" i="4" a="1"/>
  <c r="AN50" i="4" s="1"/>
  <c r="AM50" i="4" a="1"/>
  <c r="AM50" i="4" s="1"/>
  <c r="AL50" i="4" a="1"/>
  <c r="AL50" i="4" s="1"/>
  <c r="AK50" i="4" a="1"/>
  <c r="AK50" i="4" s="1"/>
  <c r="AJ50" i="4" a="1"/>
  <c r="AJ50" i="4" s="1"/>
  <c r="AI50" i="4" a="1"/>
  <c r="AI50" i="4" s="1"/>
  <c r="AO49" i="4" a="1"/>
  <c r="AO49" i="4" s="1"/>
  <c r="AN49" i="4" a="1"/>
  <c r="AN49" i="4" s="1"/>
  <c r="AM49" i="4" a="1"/>
  <c r="AM49" i="4" s="1"/>
  <c r="AL49" i="4" a="1"/>
  <c r="AL49" i="4" s="1"/>
  <c r="AK49" i="4" a="1"/>
  <c r="AK49" i="4" s="1"/>
  <c r="AJ49" i="4" a="1"/>
  <c r="AJ49" i="4" s="1"/>
  <c r="AI49" i="4" a="1"/>
  <c r="AI49" i="4" s="1"/>
  <c r="AO48" i="4" a="1"/>
  <c r="AO48" i="4" s="1"/>
  <c r="AN48" i="4" a="1"/>
  <c r="AN48" i="4" s="1"/>
  <c r="AM48" i="4" a="1"/>
  <c r="AM48" i="4" s="1"/>
  <c r="AL48" i="4" a="1"/>
  <c r="AL48" i="4" s="1"/>
  <c r="AK48" i="4" a="1"/>
  <c r="AK48" i="4" s="1"/>
  <c r="AJ48" i="4" a="1"/>
  <c r="AJ48" i="4" s="1"/>
  <c r="AI48" i="4" a="1"/>
  <c r="AI48" i="4" s="1"/>
  <c r="AO47" i="4" a="1"/>
  <c r="AO47" i="4" s="1"/>
  <c r="AN47" i="4" a="1"/>
  <c r="AN47" i="4" s="1"/>
  <c r="AM47" i="4" a="1"/>
  <c r="AM47" i="4" s="1"/>
  <c r="AL47" i="4" a="1"/>
  <c r="AL47" i="4" s="1"/>
  <c r="AK47" i="4" a="1"/>
  <c r="AK47" i="4" s="1"/>
  <c r="AJ47" i="4" a="1"/>
  <c r="AJ47" i="4" s="1"/>
  <c r="AI47" i="4" a="1"/>
  <c r="AI47" i="4" s="1"/>
  <c r="AO46" i="4" a="1"/>
  <c r="AO46" i="4" s="1"/>
  <c r="AN46" i="4" a="1"/>
  <c r="AN46" i="4" s="1"/>
  <c r="AM46" i="4" a="1"/>
  <c r="AM46" i="4" s="1"/>
  <c r="AL46" i="4" a="1"/>
  <c r="AL46" i="4" s="1"/>
  <c r="AK46" i="4" a="1"/>
  <c r="AK46" i="4" s="1"/>
  <c r="AJ46" i="4" a="1"/>
  <c r="AJ46" i="4" s="1"/>
  <c r="AI46" i="4" a="1"/>
  <c r="AI46" i="4" s="1"/>
  <c r="AO45" i="4" a="1"/>
  <c r="AO45" i="4" s="1"/>
  <c r="AN45" i="4" a="1"/>
  <c r="AN45" i="4" s="1"/>
  <c r="AM45" i="4" a="1"/>
  <c r="AM45" i="4" s="1"/>
  <c r="AL45" i="4" a="1"/>
  <c r="AL45" i="4" s="1"/>
  <c r="AK45" i="4" a="1"/>
  <c r="AK45" i="4" s="1"/>
  <c r="AJ45" i="4" a="1"/>
  <c r="AJ45" i="4" s="1"/>
  <c r="AI45" i="4" a="1"/>
  <c r="AI45" i="4" s="1"/>
  <c r="AO44" i="4" a="1"/>
  <c r="AO44" i="4" s="1"/>
  <c r="AN44" i="4" a="1"/>
  <c r="AN44" i="4" s="1"/>
  <c r="AM44" i="4" a="1"/>
  <c r="AM44" i="4" s="1"/>
  <c r="AL44" i="4" a="1"/>
  <c r="AL44" i="4" s="1"/>
  <c r="AK44" i="4" a="1"/>
  <c r="AK44" i="4" s="1"/>
  <c r="AJ44" i="4" a="1"/>
  <c r="AJ44" i="4" s="1"/>
  <c r="AI44" i="4" a="1"/>
  <c r="AI44" i="4" s="1"/>
  <c r="AO43" i="4" a="1"/>
  <c r="AO43" i="4" s="1"/>
  <c r="AN43" i="4" a="1"/>
  <c r="AN43" i="4" s="1"/>
  <c r="AM43" i="4" a="1"/>
  <c r="AM43" i="4" s="1"/>
  <c r="AL43" i="4" a="1"/>
  <c r="AL43" i="4" s="1"/>
  <c r="AK43" i="4" a="1"/>
  <c r="AK43" i="4" s="1"/>
  <c r="AJ43" i="4" a="1"/>
  <c r="AJ43" i="4" s="1"/>
  <c r="AI43" i="4" a="1"/>
  <c r="AI43" i="4" s="1"/>
  <c r="AO42" i="4" a="1"/>
  <c r="AO42" i="4" s="1"/>
  <c r="AN42" i="4" a="1"/>
  <c r="AN42" i="4" s="1"/>
  <c r="AM42" i="4" a="1"/>
  <c r="AM42" i="4" s="1"/>
  <c r="AL42" i="4" a="1"/>
  <c r="AL42" i="4" s="1"/>
  <c r="AK42" i="4" a="1"/>
  <c r="AK42" i="4" s="1"/>
  <c r="AJ42" i="4" a="1"/>
  <c r="AJ42" i="4" s="1"/>
  <c r="AI42" i="4" a="1"/>
  <c r="AI42" i="4" s="1"/>
  <c r="AO41" i="4" a="1"/>
  <c r="AO41" i="4" s="1"/>
  <c r="AN41" i="4" a="1"/>
  <c r="AN41" i="4" s="1"/>
  <c r="AM41" i="4" a="1"/>
  <c r="AM41" i="4" s="1"/>
  <c r="AL41" i="4" a="1"/>
  <c r="AL41" i="4" s="1"/>
  <c r="AK41" i="4" a="1"/>
  <c r="AK41" i="4" s="1"/>
  <c r="AJ41" i="4" a="1"/>
  <c r="AJ41" i="4" s="1"/>
  <c r="AI41" i="4" a="1"/>
  <c r="AI41" i="4" s="1"/>
  <c r="AO40" i="4" a="1"/>
  <c r="AO40" i="4" s="1"/>
  <c r="AN40" i="4" a="1"/>
  <c r="AN40" i="4" s="1"/>
  <c r="AM40" i="4" a="1"/>
  <c r="AM40" i="4" s="1"/>
  <c r="AL40" i="4" a="1"/>
  <c r="AL40" i="4" s="1"/>
  <c r="AK40" i="4" a="1"/>
  <c r="AK40" i="4" s="1"/>
  <c r="AJ40" i="4" a="1"/>
  <c r="AJ40" i="4" s="1"/>
  <c r="AI40" i="4" a="1"/>
  <c r="AI40" i="4" s="1"/>
  <c r="AO39" i="4" a="1"/>
  <c r="AO39" i="4" s="1"/>
  <c r="AN39" i="4" a="1"/>
  <c r="AN39" i="4" s="1"/>
  <c r="AM39" i="4" a="1"/>
  <c r="AM39" i="4" s="1"/>
  <c r="AL39" i="4" a="1"/>
  <c r="AL39" i="4" s="1"/>
  <c r="AK39" i="4" a="1"/>
  <c r="AK39" i="4" s="1"/>
  <c r="AJ39" i="4" a="1"/>
  <c r="AJ39" i="4" s="1"/>
  <c r="AI39" i="4" a="1"/>
  <c r="AI39" i="4" s="1"/>
  <c r="AO38" i="4" a="1"/>
  <c r="AO38" i="4" s="1"/>
  <c r="AN38" i="4" a="1"/>
  <c r="AN38" i="4" s="1"/>
  <c r="AM38" i="4" a="1"/>
  <c r="AM38" i="4" s="1"/>
  <c r="AL38" i="4" a="1"/>
  <c r="AL38" i="4" s="1"/>
  <c r="AK38" i="4" a="1"/>
  <c r="AK38" i="4" s="1"/>
  <c r="AJ38" i="4" a="1"/>
  <c r="AJ38" i="4" s="1"/>
  <c r="AI38" i="4" a="1"/>
  <c r="AI38" i="4" s="1"/>
  <c r="AO37" i="4" a="1"/>
  <c r="AO37" i="4" s="1"/>
  <c r="AN37" i="4" a="1"/>
  <c r="AN37" i="4" s="1"/>
  <c r="AM37" i="4" a="1"/>
  <c r="AM37" i="4" s="1"/>
  <c r="AL37" i="4" a="1"/>
  <c r="AL37" i="4" s="1"/>
  <c r="AK37" i="4" a="1"/>
  <c r="AK37" i="4" s="1"/>
  <c r="AJ37" i="4" a="1"/>
  <c r="AJ37" i="4" s="1"/>
  <c r="AI37" i="4" a="1"/>
  <c r="AI37" i="4" s="1"/>
  <c r="AO36" i="4" a="1"/>
  <c r="AO36" i="4" s="1"/>
  <c r="AN36" i="4" a="1"/>
  <c r="AN36" i="4" s="1"/>
  <c r="AM36" i="4" a="1"/>
  <c r="AM36" i="4" s="1"/>
  <c r="AL36" i="4" a="1"/>
  <c r="AL36" i="4" s="1"/>
  <c r="AK36" i="4" a="1"/>
  <c r="AK36" i="4" s="1"/>
  <c r="AJ36" i="4" a="1"/>
  <c r="AJ36" i="4" s="1"/>
  <c r="AI36" i="4" a="1"/>
  <c r="AI36" i="4" s="1"/>
  <c r="AO35" i="4" a="1"/>
  <c r="AO35" i="4" s="1"/>
  <c r="AN35" i="4" a="1"/>
  <c r="AN35" i="4" s="1"/>
  <c r="AM35" i="4" a="1"/>
  <c r="AM35" i="4" s="1"/>
  <c r="AL35" i="4" a="1"/>
  <c r="AL35" i="4" s="1"/>
  <c r="AK35" i="4" a="1"/>
  <c r="AK35" i="4" s="1"/>
  <c r="AJ35" i="4" a="1"/>
  <c r="AJ35" i="4" s="1"/>
  <c r="AI35" i="4" a="1"/>
  <c r="AI35" i="4" s="1"/>
  <c r="AO34" i="4" a="1"/>
  <c r="AO34" i="4" s="1"/>
  <c r="AN34" i="4" a="1"/>
  <c r="AN34" i="4" s="1"/>
  <c r="AM34" i="4" a="1"/>
  <c r="AM34" i="4" s="1"/>
  <c r="AL34" i="4" a="1"/>
  <c r="AL34" i="4" s="1"/>
  <c r="AK34" i="4" a="1"/>
  <c r="AK34" i="4" s="1"/>
  <c r="AJ34" i="4" a="1"/>
  <c r="AJ34" i="4" s="1"/>
  <c r="AI34" i="4" a="1"/>
  <c r="AI34" i="4" s="1"/>
  <c r="AO33" i="4" a="1"/>
  <c r="AO33" i="4" s="1"/>
  <c r="AN33" i="4" a="1"/>
  <c r="AN33" i="4" s="1"/>
  <c r="AM33" i="4" a="1"/>
  <c r="AM33" i="4" s="1"/>
  <c r="AL33" i="4" a="1"/>
  <c r="AL33" i="4" s="1"/>
  <c r="AK33" i="4" a="1"/>
  <c r="AK33" i="4" s="1"/>
  <c r="AJ33" i="4" a="1"/>
  <c r="AJ33" i="4" s="1"/>
  <c r="AI33" i="4" a="1"/>
  <c r="AI33" i="4" s="1"/>
  <c r="AO32" i="4" a="1"/>
  <c r="AO32" i="4" s="1"/>
  <c r="AN32" i="4" a="1"/>
  <c r="AN32" i="4" s="1"/>
  <c r="AM32" i="4" a="1"/>
  <c r="AM32" i="4" s="1"/>
  <c r="AL32" i="4" a="1"/>
  <c r="AL32" i="4" s="1"/>
  <c r="AK32" i="4" a="1"/>
  <c r="AK32" i="4" s="1"/>
  <c r="AJ32" i="4" a="1"/>
  <c r="AJ32" i="4" s="1"/>
  <c r="AI32" i="4" a="1"/>
  <c r="AI32" i="4" s="1"/>
  <c r="AO31" i="4" a="1"/>
  <c r="AO31" i="4" s="1"/>
  <c r="AN31" i="4" a="1"/>
  <c r="AN31" i="4" s="1"/>
  <c r="AM31" i="4" a="1"/>
  <c r="AM31" i="4" s="1"/>
  <c r="AL31" i="4" a="1"/>
  <c r="AL31" i="4" s="1"/>
  <c r="AK31" i="4" a="1"/>
  <c r="AK31" i="4" s="1"/>
  <c r="AJ31" i="4" a="1"/>
  <c r="AJ31" i="4" s="1"/>
  <c r="AI31" i="4" a="1"/>
  <c r="AI31" i="4" s="1"/>
  <c r="AO30" i="4" a="1"/>
  <c r="AO30" i="4" s="1"/>
  <c r="AN30" i="4" a="1"/>
  <c r="AN30" i="4" s="1"/>
  <c r="AM30" i="4" a="1"/>
  <c r="AM30" i="4" s="1"/>
  <c r="AL30" i="4" a="1"/>
  <c r="AL30" i="4" s="1"/>
  <c r="AK30" i="4" a="1"/>
  <c r="AK30" i="4" s="1"/>
  <c r="AJ30" i="4" a="1"/>
  <c r="AJ30" i="4" s="1"/>
  <c r="AI30" i="4" a="1"/>
  <c r="AI30" i="4" s="1"/>
  <c r="AO29" i="4" a="1"/>
  <c r="AO29" i="4" s="1"/>
  <c r="AN29" i="4" a="1"/>
  <c r="AN29" i="4" s="1"/>
  <c r="AM29" i="4" a="1"/>
  <c r="AM29" i="4" s="1"/>
  <c r="AL29" i="4" a="1"/>
  <c r="AL29" i="4" s="1"/>
  <c r="AK29" i="4" a="1"/>
  <c r="AK29" i="4" s="1"/>
  <c r="AJ29" i="4" a="1"/>
  <c r="AJ29" i="4" s="1"/>
  <c r="AI29" i="4" a="1"/>
  <c r="AI29" i="4" s="1"/>
  <c r="AO28" i="4" a="1"/>
  <c r="AO28" i="4" s="1"/>
  <c r="AN28" i="4" a="1"/>
  <c r="AN28" i="4" s="1"/>
  <c r="AM28" i="4" a="1"/>
  <c r="AM28" i="4" s="1"/>
  <c r="AL28" i="4" a="1"/>
  <c r="AL28" i="4" s="1"/>
  <c r="AK28" i="4" a="1"/>
  <c r="AK28" i="4" s="1"/>
  <c r="AJ28" i="4" a="1"/>
  <c r="AJ28" i="4" s="1"/>
  <c r="AI28" i="4" a="1"/>
  <c r="AI28" i="4" s="1"/>
  <c r="AO27" i="4" a="1"/>
  <c r="AO27" i="4" s="1"/>
  <c r="AN27" i="4" a="1"/>
  <c r="AN27" i="4" s="1"/>
  <c r="AM27" i="4" a="1"/>
  <c r="AM27" i="4" s="1"/>
  <c r="AL27" i="4" a="1"/>
  <c r="AL27" i="4" s="1"/>
  <c r="AK27" i="4" a="1"/>
  <c r="AK27" i="4" s="1"/>
  <c r="AJ27" i="4" a="1"/>
  <c r="AJ27" i="4" s="1"/>
  <c r="AI27" i="4" a="1"/>
  <c r="AI27" i="4" s="1"/>
  <c r="AO26" i="4" a="1"/>
  <c r="AO26" i="4" s="1"/>
  <c r="AN26" i="4" a="1"/>
  <c r="AN26" i="4" s="1"/>
  <c r="AM26" i="4" a="1"/>
  <c r="AM26" i="4" s="1"/>
  <c r="AL26" i="4" a="1"/>
  <c r="AL26" i="4" s="1"/>
  <c r="AK26" i="4" a="1"/>
  <c r="AK26" i="4" s="1"/>
  <c r="AJ26" i="4" a="1"/>
  <c r="AJ26" i="4" s="1"/>
  <c r="AI26" i="4" a="1"/>
  <c r="AI26" i="4" s="1"/>
  <c r="AO25" i="4" a="1"/>
  <c r="AO25" i="4" s="1"/>
  <c r="AN25" i="4" a="1"/>
  <c r="AN25" i="4" s="1"/>
  <c r="AM25" i="4" a="1"/>
  <c r="AM25" i="4" s="1"/>
  <c r="AL25" i="4" a="1"/>
  <c r="AL25" i="4" s="1"/>
  <c r="AK25" i="4" a="1"/>
  <c r="AK25" i="4" s="1"/>
  <c r="AJ25" i="4" a="1"/>
  <c r="AJ25" i="4" s="1"/>
  <c r="AI25" i="4" a="1"/>
  <c r="AI25" i="4" s="1"/>
  <c r="AO24" i="4" a="1"/>
  <c r="AO24" i="4" s="1"/>
  <c r="AN24" i="4" a="1"/>
  <c r="AN24" i="4" s="1"/>
  <c r="AM24" i="4" a="1"/>
  <c r="AM24" i="4" s="1"/>
  <c r="AL24" i="4" a="1"/>
  <c r="AL24" i="4" s="1"/>
  <c r="AK24" i="4" a="1"/>
  <c r="AK24" i="4" s="1"/>
  <c r="AJ24" i="4" a="1"/>
  <c r="AJ24" i="4" s="1"/>
  <c r="AI24" i="4" a="1"/>
  <c r="AI24" i="4" s="1"/>
  <c r="AO23" i="4" a="1"/>
  <c r="AO23" i="4" s="1"/>
  <c r="AN23" i="4" a="1"/>
  <c r="AN23" i="4" s="1"/>
  <c r="AM23" i="4" a="1"/>
  <c r="AM23" i="4" s="1"/>
  <c r="AL23" i="4" a="1"/>
  <c r="AL23" i="4" s="1"/>
  <c r="AK23" i="4" a="1"/>
  <c r="AK23" i="4" s="1"/>
  <c r="AJ23" i="4" a="1"/>
  <c r="AJ23" i="4" s="1"/>
  <c r="AI23" i="4" a="1"/>
  <c r="AI23" i="4" s="1"/>
  <c r="AO22" i="4" a="1"/>
  <c r="AO22" i="4" s="1"/>
  <c r="AN22" i="4" a="1"/>
  <c r="AN22" i="4" s="1"/>
  <c r="AM22" i="4" a="1"/>
  <c r="AM22" i="4" s="1"/>
  <c r="AL22" i="4" a="1"/>
  <c r="AL22" i="4" s="1"/>
  <c r="AK22" i="4" a="1"/>
  <c r="AK22" i="4" s="1"/>
  <c r="AJ22" i="4" a="1"/>
  <c r="AJ22" i="4" s="1"/>
  <c r="AI22" i="4" a="1"/>
  <c r="AI22" i="4" s="1"/>
  <c r="AO21" i="4" a="1"/>
  <c r="AO21" i="4" s="1"/>
  <c r="AN21" i="4" a="1"/>
  <c r="AN21" i="4" s="1"/>
  <c r="AM21" i="4" a="1"/>
  <c r="AM21" i="4" s="1"/>
  <c r="AL21" i="4" a="1"/>
  <c r="AL21" i="4" s="1"/>
  <c r="AK21" i="4" a="1"/>
  <c r="AK21" i="4" s="1"/>
  <c r="AJ21" i="4" a="1"/>
  <c r="AJ21" i="4" s="1"/>
  <c r="AI21" i="4" a="1"/>
  <c r="AI21" i="4" s="1"/>
  <c r="AO20" i="4" a="1"/>
  <c r="AO20" i="4" s="1"/>
  <c r="AN20" i="4" a="1"/>
  <c r="AN20" i="4" s="1"/>
  <c r="AM20" i="4" a="1"/>
  <c r="AM20" i="4" s="1"/>
  <c r="AL20" i="4" a="1"/>
  <c r="AL20" i="4" s="1"/>
  <c r="AK20" i="4" a="1"/>
  <c r="AK20" i="4" s="1"/>
  <c r="AJ20" i="4" a="1"/>
  <c r="AJ20" i="4" s="1"/>
  <c r="AI20" i="4" a="1"/>
  <c r="AI20" i="4" s="1"/>
  <c r="AO19" i="4" a="1"/>
  <c r="AO19" i="4" s="1"/>
  <c r="AN19" i="4" a="1"/>
  <c r="AN19" i="4" s="1"/>
  <c r="AM19" i="4" a="1"/>
  <c r="AM19" i="4" s="1"/>
  <c r="AL19" i="4" a="1"/>
  <c r="AL19" i="4" s="1"/>
  <c r="AK19" i="4" a="1"/>
  <c r="AK19" i="4" s="1"/>
  <c r="AJ19" i="4" a="1"/>
  <c r="AJ19" i="4" s="1"/>
  <c r="AI19" i="4" a="1"/>
  <c r="AI19" i="4" s="1"/>
  <c r="AI20" i="6" a="1"/>
  <c r="AI20" i="6" s="1"/>
  <c r="AI21" i="6" a="1"/>
  <c r="AI21" i="6" s="1"/>
  <c r="AI22" i="6" a="1"/>
  <c r="AI22" i="6"/>
  <c r="AI23" i="6" a="1"/>
  <c r="AI23" i="6" s="1"/>
  <c r="AI24" i="6" a="1"/>
  <c r="AI24" i="6" s="1"/>
  <c r="AI25" i="6" a="1"/>
  <c r="AI25" i="6"/>
  <c r="AI26" i="6" a="1"/>
  <c r="AI26" i="6" s="1"/>
  <c r="AI27" i="6" a="1"/>
  <c r="AI27" i="6" s="1"/>
  <c r="AI28" i="6" a="1"/>
  <c r="AI28" i="6"/>
  <c r="AI29" i="6" a="1"/>
  <c r="AI29" i="6" s="1"/>
  <c r="AI30" i="6" a="1"/>
  <c r="AI30" i="6" s="1"/>
  <c r="AI31" i="6" a="1"/>
  <c r="AI31" i="6"/>
  <c r="AI32" i="6" a="1"/>
  <c r="AI32" i="6" s="1"/>
  <c r="AI33" i="6" a="1"/>
  <c r="AI33" i="6" s="1"/>
  <c r="AI34" i="6" a="1"/>
  <c r="AI34" i="6"/>
  <c r="AI35" i="6" a="1"/>
  <c r="AI35" i="6" s="1"/>
  <c r="AI36" i="6" a="1"/>
  <c r="AI36" i="6" s="1"/>
  <c r="AI37" i="6" a="1"/>
  <c r="AI37" i="6"/>
  <c r="AI38" i="6" a="1"/>
  <c r="AI38" i="6" s="1"/>
  <c r="AI39" i="6" a="1"/>
  <c r="AI39" i="6" s="1"/>
  <c r="AI40" i="6" a="1"/>
  <c r="AI40" i="6"/>
  <c r="AI41" i="6" a="1"/>
  <c r="AI41" i="6" s="1"/>
  <c r="AI42" i="6" a="1"/>
  <c r="AI42" i="6" s="1"/>
  <c r="AI43" i="6" a="1"/>
  <c r="AI43" i="6"/>
  <c r="AI44" i="6" a="1"/>
  <c r="AI44" i="6" s="1"/>
  <c r="AI45" i="6" a="1"/>
  <c r="AI45" i="6" s="1"/>
  <c r="AI46" i="6" a="1"/>
  <c r="AI46" i="6"/>
  <c r="AI47" i="6" a="1"/>
  <c r="AI47" i="6" s="1"/>
  <c r="AI48" i="6" a="1"/>
  <c r="AI48" i="6" s="1"/>
  <c r="AI49" i="6" a="1"/>
  <c r="AI49" i="6"/>
  <c r="AI50" i="6" a="1"/>
  <c r="AI50" i="6" s="1"/>
  <c r="AI19" i="6" a="1"/>
  <c r="AI19" i="6" s="1"/>
  <c r="A2" i="20"/>
  <c r="A2" i="21"/>
  <c r="A2" i="11"/>
  <c r="A2" i="10"/>
  <c r="A2" i="12"/>
  <c r="A2" i="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19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F3" i="21"/>
  <c r="AE3" i="21"/>
  <c r="AD3" i="21"/>
  <c r="AC3" i="21"/>
  <c r="AC51" i="21" s="1"/>
  <c r="AB3" i="21"/>
  <c r="AA3" i="21"/>
  <c r="Z3" i="21"/>
  <c r="Y3" i="21"/>
  <c r="X3" i="21"/>
  <c r="W3" i="21"/>
  <c r="W51" i="21" s="1"/>
  <c r="V3" i="21"/>
  <c r="U3" i="21"/>
  <c r="T3" i="21"/>
  <c r="S3" i="21"/>
  <c r="R3" i="21"/>
  <c r="Q3" i="21"/>
  <c r="Q51" i="21" s="1"/>
  <c r="P3" i="21"/>
  <c r="O3" i="21"/>
  <c r="N3" i="21"/>
  <c r="M3" i="21"/>
  <c r="L3" i="21"/>
  <c r="K3" i="21"/>
  <c r="K51" i="21" s="1"/>
  <c r="J3" i="21"/>
  <c r="I3" i="21"/>
  <c r="H3" i="21"/>
  <c r="G3" i="21"/>
  <c r="F3" i="21"/>
  <c r="E3" i="21"/>
  <c r="E51" i="21" s="1"/>
  <c r="D3" i="21"/>
  <c r="C3" i="21"/>
  <c r="B3" i="21"/>
  <c r="AC2" i="21"/>
  <c r="AA2" i="21"/>
  <c r="W2" i="21"/>
  <c r="U2" i="21"/>
  <c r="Q2" i="21"/>
  <c r="O2" i="21"/>
  <c r="K2" i="21"/>
  <c r="I2" i="21"/>
  <c r="E2" i="21"/>
  <c r="C2" i="21"/>
  <c r="AF1" i="21"/>
  <c r="AF2" i="21" s="1"/>
  <c r="AE1" i="21"/>
  <c r="AE2" i="21" s="1"/>
  <c r="AD1" i="21"/>
  <c r="AD2" i="21" s="1"/>
  <c r="AC1" i="21"/>
  <c r="AB1" i="21"/>
  <c r="AB2" i="21" s="1"/>
  <c r="AA1" i="21"/>
  <c r="Z1" i="21"/>
  <c r="Z2" i="21" s="1"/>
  <c r="Y1" i="21"/>
  <c r="Y2" i="21" s="1"/>
  <c r="X1" i="21"/>
  <c r="X2" i="21" s="1"/>
  <c r="W1" i="21"/>
  <c r="V1" i="21"/>
  <c r="V2" i="21" s="1"/>
  <c r="U1" i="21"/>
  <c r="T1" i="21"/>
  <c r="T2" i="21" s="1"/>
  <c r="S1" i="21"/>
  <c r="S2" i="21" s="1"/>
  <c r="R1" i="21"/>
  <c r="R2" i="21" s="1"/>
  <c r="Q1" i="21"/>
  <c r="P1" i="21"/>
  <c r="P2" i="21" s="1"/>
  <c r="O1" i="21"/>
  <c r="N1" i="21"/>
  <c r="N2" i="21" s="1"/>
  <c r="M1" i="21"/>
  <c r="M2" i="21" s="1"/>
  <c r="L1" i="21"/>
  <c r="L2" i="21" s="1"/>
  <c r="K1" i="21"/>
  <c r="J1" i="21"/>
  <c r="J2" i="21" s="1"/>
  <c r="I1" i="21"/>
  <c r="H1" i="21"/>
  <c r="H2" i="21" s="1"/>
  <c r="G1" i="21"/>
  <c r="G2" i="21" s="1"/>
  <c r="F1" i="21"/>
  <c r="F2" i="21" s="1"/>
  <c r="E1" i="21"/>
  <c r="D1" i="21"/>
  <c r="D2" i="21" s="1"/>
  <c r="C1" i="21"/>
  <c r="B1" i="21"/>
  <c r="B2" i="21" s="1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AF2" i="20"/>
  <c r="AB2" i="20"/>
  <c r="Z2" i="20"/>
  <c r="V2" i="20"/>
  <c r="T2" i="20"/>
  <c r="P2" i="20"/>
  <c r="N2" i="20"/>
  <c r="J2" i="20"/>
  <c r="H2" i="20"/>
  <c r="D2" i="20"/>
  <c r="B2" i="20"/>
  <c r="AF1" i="20"/>
  <c r="AE1" i="20"/>
  <c r="AE2" i="20" s="1"/>
  <c r="AD1" i="20"/>
  <c r="AD2" i="20" s="1"/>
  <c r="AC1" i="20"/>
  <c r="AC2" i="20" s="1"/>
  <c r="AB1" i="20"/>
  <c r="AA1" i="20"/>
  <c r="AA2" i="20" s="1"/>
  <c r="Z1" i="20"/>
  <c r="Y1" i="20"/>
  <c r="Y2" i="20" s="1"/>
  <c r="X1" i="20"/>
  <c r="X2" i="20" s="1"/>
  <c r="W1" i="20"/>
  <c r="W2" i="20" s="1"/>
  <c r="V1" i="20"/>
  <c r="U1" i="20"/>
  <c r="U2" i="20" s="1"/>
  <c r="T1" i="20"/>
  <c r="S1" i="20"/>
  <c r="S2" i="20" s="1"/>
  <c r="R1" i="20"/>
  <c r="R2" i="20" s="1"/>
  <c r="Q1" i="20"/>
  <c r="Q2" i="20" s="1"/>
  <c r="P1" i="20"/>
  <c r="O1" i="20"/>
  <c r="O2" i="20" s="1"/>
  <c r="N1" i="20"/>
  <c r="M1" i="20"/>
  <c r="M2" i="20" s="1"/>
  <c r="L1" i="20"/>
  <c r="L2" i="20" s="1"/>
  <c r="K1" i="20"/>
  <c r="K2" i="20" s="1"/>
  <c r="J1" i="20"/>
  <c r="I1" i="20"/>
  <c r="I2" i="20" s="1"/>
  <c r="H1" i="20"/>
  <c r="G1" i="20"/>
  <c r="G2" i="20" s="1"/>
  <c r="F1" i="20"/>
  <c r="F2" i="20" s="1"/>
  <c r="E1" i="20"/>
  <c r="E2" i="20" s="1"/>
  <c r="D1" i="20"/>
  <c r="C1" i="20"/>
  <c r="C2" i="20" s="1"/>
  <c r="B1" i="20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B1" i="19"/>
  <c r="C1" i="19" s="1"/>
  <c r="AD1" i="4"/>
  <c r="AE1" i="4"/>
  <c r="AF1" i="4"/>
  <c r="AD1" i="6"/>
  <c r="AE1" i="6" s="1"/>
  <c r="AF1" i="6" s="1"/>
  <c r="R51" i="21" l="1"/>
  <c r="F51" i="21"/>
  <c r="X51" i="21"/>
  <c r="H51" i="21"/>
  <c r="N51" i="21"/>
  <c r="T51" i="21"/>
  <c r="Z51" i="21"/>
  <c r="AF51" i="21"/>
  <c r="AD51" i="21"/>
  <c r="C51" i="21"/>
  <c r="I51" i="21"/>
  <c r="O51" i="21"/>
  <c r="U51" i="21"/>
  <c r="AA51" i="21"/>
  <c r="L51" i="21"/>
  <c r="D51" i="21"/>
  <c r="J51" i="21"/>
  <c r="P51" i="21"/>
  <c r="V51" i="21"/>
  <c r="AB51" i="21"/>
  <c r="G51" i="21"/>
  <c r="M51" i="21"/>
  <c r="S51" i="21"/>
  <c r="Y51" i="21"/>
  <c r="AE51" i="21"/>
  <c r="B51" i="21"/>
  <c r="D1" i="19"/>
  <c r="C2" i="19"/>
  <c r="B2" i="19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B23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B24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B25" i="12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B46" i="12"/>
  <c r="C46" i="12"/>
  <c r="D46" i="12"/>
  <c r="E46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B47" i="12"/>
  <c r="C47" i="12"/>
  <c r="D47" i="12"/>
  <c r="E47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B48" i="12"/>
  <c r="C48" i="12"/>
  <c r="D48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G51" i="21" l="1"/>
  <c r="D2" i="19"/>
  <c r="E1" i="19"/>
  <c r="B1" i="17"/>
  <c r="B2" i="17" s="1"/>
  <c r="B50" i="17" s="1"/>
  <c r="C19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AA19" i="18"/>
  <c r="AB19" i="18"/>
  <c r="AC19" i="18"/>
  <c r="AD19" i="18"/>
  <c r="AE19" i="18"/>
  <c r="C20" i="18"/>
  <c r="D20" i="18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AB20" i="18"/>
  <c r="AC20" i="18"/>
  <c r="AD20" i="18"/>
  <c r="AE20" i="18"/>
  <c r="C21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AA21" i="18"/>
  <c r="AB21" i="18"/>
  <c r="AC21" i="18"/>
  <c r="AD21" i="18"/>
  <c r="AE21" i="18"/>
  <c r="C22" i="18"/>
  <c r="D22" i="18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AA22" i="18"/>
  <c r="AB22" i="18"/>
  <c r="AC22" i="18"/>
  <c r="AD22" i="18"/>
  <c r="AE22" i="18"/>
  <c r="C23" i="18"/>
  <c r="D23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AA23" i="18"/>
  <c r="AB23" i="18"/>
  <c r="AC23" i="18"/>
  <c r="AD23" i="18"/>
  <c r="AE23" i="18"/>
  <c r="C24" i="18"/>
  <c r="D24" i="18"/>
  <c r="E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AA24" i="18"/>
  <c r="AB24" i="18"/>
  <c r="AC24" i="18"/>
  <c r="AD24" i="18"/>
  <c r="AE24" i="18"/>
  <c r="C25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AE25" i="18"/>
  <c r="C26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AB26" i="18"/>
  <c r="AC26" i="18"/>
  <c r="AD26" i="18"/>
  <c r="AE26" i="18"/>
  <c r="C27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AA27" i="18"/>
  <c r="AB27" i="18"/>
  <c r="AC27" i="18"/>
  <c r="AD27" i="18"/>
  <c r="AE27" i="18"/>
  <c r="C28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AA28" i="18"/>
  <c r="AB28" i="18"/>
  <c r="AC28" i="18"/>
  <c r="AD28" i="18"/>
  <c r="AE28" i="18"/>
  <c r="C29" i="18"/>
  <c r="D29" i="18"/>
  <c r="E29" i="18"/>
  <c r="F29" i="18"/>
  <c r="G29" i="18"/>
  <c r="H29" i="18"/>
  <c r="I29" i="18"/>
  <c r="J29" i="18"/>
  <c r="K29" i="18"/>
  <c r="L29" i="18"/>
  <c r="M29" i="18"/>
  <c r="N29" i="18"/>
  <c r="O29" i="18"/>
  <c r="P29" i="18"/>
  <c r="Q29" i="18"/>
  <c r="R29" i="18"/>
  <c r="S29" i="18"/>
  <c r="T29" i="18"/>
  <c r="U29" i="18"/>
  <c r="V29" i="18"/>
  <c r="W29" i="18"/>
  <c r="X29" i="18"/>
  <c r="Y29" i="18"/>
  <c r="Z29" i="18"/>
  <c r="AA29" i="18"/>
  <c r="AB29" i="18"/>
  <c r="AC29" i="18"/>
  <c r="AD29" i="18"/>
  <c r="AE29" i="18"/>
  <c r="C30" i="18"/>
  <c r="D30" i="18"/>
  <c r="E30" i="18"/>
  <c r="F30" i="18"/>
  <c r="G30" i="18"/>
  <c r="H30" i="18"/>
  <c r="I30" i="18"/>
  <c r="J30" i="18"/>
  <c r="K30" i="18"/>
  <c r="L30" i="18"/>
  <c r="M30" i="18"/>
  <c r="N30" i="18"/>
  <c r="O30" i="18"/>
  <c r="P30" i="18"/>
  <c r="Q30" i="18"/>
  <c r="R30" i="18"/>
  <c r="S30" i="18"/>
  <c r="T30" i="18"/>
  <c r="U30" i="18"/>
  <c r="V30" i="18"/>
  <c r="W30" i="18"/>
  <c r="X30" i="18"/>
  <c r="Y30" i="18"/>
  <c r="Z30" i="18"/>
  <c r="AA30" i="18"/>
  <c r="AB30" i="18"/>
  <c r="AC30" i="18"/>
  <c r="AD30" i="18"/>
  <c r="AE30" i="18"/>
  <c r="C31" i="18"/>
  <c r="D31" i="18"/>
  <c r="E31" i="18"/>
  <c r="F31" i="18"/>
  <c r="G31" i="18"/>
  <c r="H31" i="18"/>
  <c r="I31" i="18"/>
  <c r="J31" i="18"/>
  <c r="K31" i="18"/>
  <c r="L31" i="18"/>
  <c r="M31" i="18"/>
  <c r="N31" i="18"/>
  <c r="O31" i="18"/>
  <c r="P31" i="18"/>
  <c r="Q31" i="18"/>
  <c r="R31" i="18"/>
  <c r="S31" i="18"/>
  <c r="T31" i="18"/>
  <c r="U31" i="18"/>
  <c r="V31" i="18"/>
  <c r="W31" i="18"/>
  <c r="X31" i="18"/>
  <c r="Y31" i="18"/>
  <c r="Z31" i="18"/>
  <c r="AA31" i="18"/>
  <c r="AB31" i="18"/>
  <c r="AC31" i="18"/>
  <c r="AD31" i="18"/>
  <c r="AE31" i="18"/>
  <c r="C32" i="18"/>
  <c r="D32" i="18"/>
  <c r="E32" i="18"/>
  <c r="F32" i="18"/>
  <c r="G32" i="18"/>
  <c r="H32" i="18"/>
  <c r="I32" i="18"/>
  <c r="J32" i="18"/>
  <c r="K32" i="18"/>
  <c r="L32" i="18"/>
  <c r="M32" i="18"/>
  <c r="N32" i="18"/>
  <c r="O32" i="18"/>
  <c r="P32" i="18"/>
  <c r="Q32" i="18"/>
  <c r="R32" i="18"/>
  <c r="S32" i="18"/>
  <c r="T32" i="18"/>
  <c r="U32" i="18"/>
  <c r="V32" i="18"/>
  <c r="W32" i="18"/>
  <c r="X32" i="18"/>
  <c r="Y32" i="18"/>
  <c r="Z32" i="18"/>
  <c r="AA32" i="18"/>
  <c r="AB32" i="18"/>
  <c r="AC32" i="18"/>
  <c r="AD32" i="18"/>
  <c r="AE32" i="18"/>
  <c r="C33" i="18"/>
  <c r="D33" i="18"/>
  <c r="E33" i="18"/>
  <c r="F33" i="18"/>
  <c r="G33" i="18"/>
  <c r="H33" i="18"/>
  <c r="I33" i="18"/>
  <c r="J33" i="18"/>
  <c r="K33" i="18"/>
  <c r="L33" i="18"/>
  <c r="M33" i="18"/>
  <c r="N33" i="18"/>
  <c r="O33" i="18"/>
  <c r="P33" i="18"/>
  <c r="Q33" i="18"/>
  <c r="R33" i="18"/>
  <c r="S33" i="18"/>
  <c r="T33" i="18"/>
  <c r="U33" i="18"/>
  <c r="V33" i="18"/>
  <c r="W33" i="18"/>
  <c r="X33" i="18"/>
  <c r="Y33" i="18"/>
  <c r="Z33" i="18"/>
  <c r="AA33" i="18"/>
  <c r="AB33" i="18"/>
  <c r="AC33" i="18"/>
  <c r="AD33" i="18"/>
  <c r="AE33" i="18"/>
  <c r="C34" i="18"/>
  <c r="D34" i="18"/>
  <c r="E34" i="18"/>
  <c r="F34" i="18"/>
  <c r="G34" i="18"/>
  <c r="H34" i="18"/>
  <c r="I34" i="18"/>
  <c r="J34" i="18"/>
  <c r="K34" i="18"/>
  <c r="L34" i="18"/>
  <c r="M34" i="18"/>
  <c r="N34" i="18"/>
  <c r="O34" i="18"/>
  <c r="P34" i="18"/>
  <c r="Q34" i="18"/>
  <c r="R34" i="18"/>
  <c r="S34" i="18"/>
  <c r="T34" i="18"/>
  <c r="U34" i="18"/>
  <c r="V34" i="18"/>
  <c r="W34" i="18"/>
  <c r="X34" i="18"/>
  <c r="Y34" i="18"/>
  <c r="Z34" i="18"/>
  <c r="AA34" i="18"/>
  <c r="AB34" i="18"/>
  <c r="AC34" i="18"/>
  <c r="AD34" i="18"/>
  <c r="AE34" i="18"/>
  <c r="C35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T35" i="18"/>
  <c r="U35" i="18"/>
  <c r="V35" i="18"/>
  <c r="W35" i="18"/>
  <c r="X35" i="18"/>
  <c r="Y35" i="18"/>
  <c r="Z35" i="18"/>
  <c r="AA35" i="18"/>
  <c r="AB35" i="18"/>
  <c r="AC35" i="18"/>
  <c r="AD35" i="18"/>
  <c r="AE35" i="18"/>
  <c r="C36" i="18"/>
  <c r="D36" i="18"/>
  <c r="E36" i="18"/>
  <c r="F36" i="18"/>
  <c r="G36" i="18"/>
  <c r="H36" i="18"/>
  <c r="I36" i="18"/>
  <c r="J36" i="18"/>
  <c r="K36" i="18"/>
  <c r="L36" i="18"/>
  <c r="M36" i="18"/>
  <c r="N36" i="18"/>
  <c r="O36" i="18"/>
  <c r="P36" i="18"/>
  <c r="Q36" i="18"/>
  <c r="R36" i="18"/>
  <c r="S36" i="18"/>
  <c r="T36" i="18"/>
  <c r="U36" i="18"/>
  <c r="V36" i="18"/>
  <c r="W36" i="18"/>
  <c r="X36" i="18"/>
  <c r="Y36" i="18"/>
  <c r="Z36" i="18"/>
  <c r="AA36" i="18"/>
  <c r="AB36" i="18"/>
  <c r="AC36" i="18"/>
  <c r="AD36" i="18"/>
  <c r="AE36" i="18"/>
  <c r="C37" i="18"/>
  <c r="D37" i="18"/>
  <c r="E37" i="18"/>
  <c r="F37" i="18"/>
  <c r="G37" i="18"/>
  <c r="H37" i="18"/>
  <c r="I37" i="18"/>
  <c r="J37" i="18"/>
  <c r="K37" i="18"/>
  <c r="L37" i="18"/>
  <c r="M37" i="18"/>
  <c r="N37" i="18"/>
  <c r="O37" i="18"/>
  <c r="P37" i="18"/>
  <c r="Q37" i="18"/>
  <c r="R37" i="18"/>
  <c r="S37" i="18"/>
  <c r="T37" i="18"/>
  <c r="U37" i="18"/>
  <c r="V37" i="18"/>
  <c r="W37" i="18"/>
  <c r="X37" i="18"/>
  <c r="Y37" i="18"/>
  <c r="Z37" i="18"/>
  <c r="AA37" i="18"/>
  <c r="AB37" i="18"/>
  <c r="AC37" i="18"/>
  <c r="AD37" i="18"/>
  <c r="AE37" i="18"/>
  <c r="C38" i="18"/>
  <c r="D38" i="18"/>
  <c r="E38" i="18"/>
  <c r="F38" i="18"/>
  <c r="G38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T38" i="18"/>
  <c r="U38" i="18"/>
  <c r="V38" i="18"/>
  <c r="W38" i="18"/>
  <c r="X38" i="18"/>
  <c r="Y38" i="18"/>
  <c r="Z38" i="18"/>
  <c r="AA38" i="18"/>
  <c r="AB38" i="18"/>
  <c r="AC38" i="18"/>
  <c r="AD38" i="18"/>
  <c r="AE38" i="18"/>
  <c r="C39" i="18"/>
  <c r="D39" i="18"/>
  <c r="E39" i="18"/>
  <c r="F39" i="18"/>
  <c r="G39" i="18"/>
  <c r="H39" i="18"/>
  <c r="I39" i="18"/>
  <c r="J39" i="18"/>
  <c r="K39" i="18"/>
  <c r="L39" i="18"/>
  <c r="M39" i="18"/>
  <c r="N39" i="18"/>
  <c r="O39" i="18"/>
  <c r="P39" i="18"/>
  <c r="Q39" i="18"/>
  <c r="R39" i="18"/>
  <c r="S39" i="18"/>
  <c r="T39" i="18"/>
  <c r="U39" i="18"/>
  <c r="V39" i="18"/>
  <c r="W39" i="18"/>
  <c r="X39" i="18"/>
  <c r="Y39" i="18"/>
  <c r="Z39" i="18"/>
  <c r="AA39" i="18"/>
  <c r="AB39" i="18"/>
  <c r="AC39" i="18"/>
  <c r="AD39" i="18"/>
  <c r="AE39" i="18"/>
  <c r="C40" i="18"/>
  <c r="D40" i="18"/>
  <c r="E40" i="18"/>
  <c r="F40" i="18"/>
  <c r="G40" i="18"/>
  <c r="H40" i="18"/>
  <c r="I40" i="18"/>
  <c r="J40" i="18"/>
  <c r="K40" i="18"/>
  <c r="L40" i="18"/>
  <c r="M40" i="18"/>
  <c r="N40" i="18"/>
  <c r="O40" i="18"/>
  <c r="P40" i="18"/>
  <c r="Q40" i="18"/>
  <c r="R40" i="18"/>
  <c r="S40" i="18"/>
  <c r="T40" i="18"/>
  <c r="U40" i="18"/>
  <c r="V40" i="18"/>
  <c r="W40" i="18"/>
  <c r="X40" i="18"/>
  <c r="Y40" i="18"/>
  <c r="Z40" i="18"/>
  <c r="AA40" i="18"/>
  <c r="AB40" i="18"/>
  <c r="AC40" i="18"/>
  <c r="AD40" i="18"/>
  <c r="AE40" i="18"/>
  <c r="C41" i="18"/>
  <c r="D41" i="18"/>
  <c r="E41" i="18"/>
  <c r="F41" i="18"/>
  <c r="G41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T41" i="18"/>
  <c r="U41" i="18"/>
  <c r="V41" i="18"/>
  <c r="W41" i="18"/>
  <c r="X41" i="18"/>
  <c r="Y41" i="18"/>
  <c r="Z41" i="18"/>
  <c r="AA41" i="18"/>
  <c r="AB41" i="18"/>
  <c r="AC41" i="18"/>
  <c r="AD41" i="18"/>
  <c r="AE41" i="18"/>
  <c r="C42" i="18"/>
  <c r="D42" i="18"/>
  <c r="E42" i="18"/>
  <c r="F42" i="18"/>
  <c r="G42" i="18"/>
  <c r="H42" i="18"/>
  <c r="I42" i="18"/>
  <c r="J42" i="18"/>
  <c r="K42" i="18"/>
  <c r="L42" i="18"/>
  <c r="M42" i="18"/>
  <c r="N42" i="18"/>
  <c r="O42" i="18"/>
  <c r="P42" i="18"/>
  <c r="Q42" i="18"/>
  <c r="R42" i="18"/>
  <c r="S42" i="18"/>
  <c r="T42" i="18"/>
  <c r="U42" i="18"/>
  <c r="V42" i="18"/>
  <c r="W42" i="18"/>
  <c r="X42" i="18"/>
  <c r="Y42" i="18"/>
  <c r="Z42" i="18"/>
  <c r="AA42" i="18"/>
  <c r="AB42" i="18"/>
  <c r="AC42" i="18"/>
  <c r="AD42" i="18"/>
  <c r="AE42" i="18"/>
  <c r="C43" i="18"/>
  <c r="D43" i="18"/>
  <c r="E43" i="18"/>
  <c r="F43" i="18"/>
  <c r="G43" i="18"/>
  <c r="H43" i="18"/>
  <c r="I43" i="18"/>
  <c r="J43" i="18"/>
  <c r="K43" i="18"/>
  <c r="L43" i="18"/>
  <c r="M43" i="18"/>
  <c r="N43" i="18"/>
  <c r="O43" i="18"/>
  <c r="P43" i="18"/>
  <c r="Q43" i="18"/>
  <c r="R43" i="18"/>
  <c r="S43" i="18"/>
  <c r="T43" i="18"/>
  <c r="U43" i="18"/>
  <c r="V43" i="18"/>
  <c r="W43" i="18"/>
  <c r="X43" i="18"/>
  <c r="Y43" i="18"/>
  <c r="Z43" i="18"/>
  <c r="AA43" i="18"/>
  <c r="AB43" i="18"/>
  <c r="AC43" i="18"/>
  <c r="AD43" i="18"/>
  <c r="AE43" i="18"/>
  <c r="C44" i="18"/>
  <c r="D44" i="18"/>
  <c r="E44" i="18"/>
  <c r="F44" i="18"/>
  <c r="G44" i="18"/>
  <c r="H44" i="18"/>
  <c r="I44" i="18"/>
  <c r="J44" i="18"/>
  <c r="K44" i="18"/>
  <c r="L44" i="18"/>
  <c r="M44" i="18"/>
  <c r="N44" i="18"/>
  <c r="O44" i="18"/>
  <c r="P44" i="18"/>
  <c r="Q44" i="18"/>
  <c r="R44" i="18"/>
  <c r="S44" i="18"/>
  <c r="T44" i="18"/>
  <c r="U44" i="18"/>
  <c r="V44" i="18"/>
  <c r="W44" i="18"/>
  <c r="X44" i="18"/>
  <c r="Y44" i="18"/>
  <c r="Z44" i="18"/>
  <c r="AA44" i="18"/>
  <c r="AB44" i="18"/>
  <c r="AC44" i="18"/>
  <c r="AD44" i="18"/>
  <c r="AE44" i="18"/>
  <c r="C45" i="18"/>
  <c r="D45" i="18"/>
  <c r="E45" i="18"/>
  <c r="F45" i="18"/>
  <c r="G45" i="18"/>
  <c r="H45" i="18"/>
  <c r="I45" i="18"/>
  <c r="J45" i="18"/>
  <c r="K45" i="18"/>
  <c r="L45" i="18"/>
  <c r="M45" i="18"/>
  <c r="N45" i="18"/>
  <c r="O45" i="18"/>
  <c r="P45" i="18"/>
  <c r="Q45" i="18"/>
  <c r="R45" i="18"/>
  <c r="S45" i="18"/>
  <c r="T45" i="18"/>
  <c r="U45" i="18"/>
  <c r="V45" i="18"/>
  <c r="W45" i="18"/>
  <c r="X45" i="18"/>
  <c r="Y45" i="18"/>
  <c r="Z45" i="18"/>
  <c r="AA45" i="18"/>
  <c r="AB45" i="18"/>
  <c r="AC45" i="18"/>
  <c r="AD45" i="18"/>
  <c r="AE45" i="18"/>
  <c r="C46" i="18"/>
  <c r="D46" i="18"/>
  <c r="E46" i="18"/>
  <c r="F46" i="18"/>
  <c r="G46" i="18"/>
  <c r="H46" i="18"/>
  <c r="I46" i="18"/>
  <c r="J46" i="18"/>
  <c r="K46" i="18"/>
  <c r="L46" i="18"/>
  <c r="M46" i="18"/>
  <c r="N46" i="18"/>
  <c r="O46" i="18"/>
  <c r="P46" i="18"/>
  <c r="Q46" i="18"/>
  <c r="R46" i="18"/>
  <c r="S46" i="18"/>
  <c r="T46" i="18"/>
  <c r="U46" i="18"/>
  <c r="V46" i="18"/>
  <c r="W46" i="18"/>
  <c r="X46" i="18"/>
  <c r="Y46" i="18"/>
  <c r="Z46" i="18"/>
  <c r="AA46" i="18"/>
  <c r="AB46" i="18"/>
  <c r="AC46" i="18"/>
  <c r="AD46" i="18"/>
  <c r="AE46" i="18"/>
  <c r="C47" i="18"/>
  <c r="D47" i="18"/>
  <c r="E47" i="18"/>
  <c r="F47" i="18"/>
  <c r="G47" i="18"/>
  <c r="H47" i="18"/>
  <c r="I47" i="18"/>
  <c r="J47" i="18"/>
  <c r="K47" i="18"/>
  <c r="L47" i="18"/>
  <c r="M47" i="18"/>
  <c r="N47" i="18"/>
  <c r="O47" i="18"/>
  <c r="P47" i="18"/>
  <c r="Q47" i="18"/>
  <c r="R47" i="18"/>
  <c r="S47" i="18"/>
  <c r="T47" i="18"/>
  <c r="U47" i="18"/>
  <c r="V47" i="18"/>
  <c r="W47" i="18"/>
  <c r="X47" i="18"/>
  <c r="Y47" i="18"/>
  <c r="Z47" i="18"/>
  <c r="AA47" i="18"/>
  <c r="AB47" i="18"/>
  <c r="AC47" i="18"/>
  <c r="AD47" i="18"/>
  <c r="AE47" i="18"/>
  <c r="C48" i="18"/>
  <c r="D48" i="18"/>
  <c r="E48" i="18"/>
  <c r="F48" i="18"/>
  <c r="G48" i="18"/>
  <c r="H48" i="18"/>
  <c r="I48" i="18"/>
  <c r="J48" i="18"/>
  <c r="K48" i="18"/>
  <c r="L48" i="18"/>
  <c r="M48" i="18"/>
  <c r="N48" i="18"/>
  <c r="O48" i="18"/>
  <c r="P48" i="18"/>
  <c r="Q48" i="18"/>
  <c r="R48" i="18"/>
  <c r="S48" i="18"/>
  <c r="T48" i="18"/>
  <c r="U48" i="18"/>
  <c r="V48" i="18"/>
  <c r="W48" i="18"/>
  <c r="X48" i="18"/>
  <c r="Y48" i="18"/>
  <c r="Z48" i="18"/>
  <c r="AA48" i="18"/>
  <c r="AB48" i="18"/>
  <c r="AC48" i="18"/>
  <c r="AD48" i="18"/>
  <c r="AE48" i="18"/>
  <c r="C49" i="18"/>
  <c r="D49" i="18"/>
  <c r="E49" i="18"/>
  <c r="F49" i="18"/>
  <c r="G49" i="18"/>
  <c r="H49" i="18"/>
  <c r="I49" i="18"/>
  <c r="J49" i="18"/>
  <c r="K49" i="18"/>
  <c r="L49" i="18"/>
  <c r="M49" i="18"/>
  <c r="N49" i="18"/>
  <c r="O49" i="18"/>
  <c r="P49" i="18"/>
  <c r="Q49" i="18"/>
  <c r="R49" i="18"/>
  <c r="S49" i="18"/>
  <c r="T49" i="18"/>
  <c r="U49" i="18"/>
  <c r="V49" i="18"/>
  <c r="W49" i="18"/>
  <c r="X49" i="18"/>
  <c r="Y49" i="18"/>
  <c r="Z49" i="18"/>
  <c r="AA49" i="18"/>
  <c r="AB49" i="18"/>
  <c r="AC49" i="18"/>
  <c r="AD49" i="18"/>
  <c r="AE49" i="18"/>
  <c r="C50" i="18"/>
  <c r="D50" i="18"/>
  <c r="E50" i="18"/>
  <c r="F50" i="18"/>
  <c r="G50" i="18"/>
  <c r="H50" i="18"/>
  <c r="I50" i="18"/>
  <c r="J50" i="18"/>
  <c r="K50" i="18"/>
  <c r="L50" i="18"/>
  <c r="M50" i="18"/>
  <c r="N50" i="18"/>
  <c r="O50" i="18"/>
  <c r="P50" i="18"/>
  <c r="Q50" i="18"/>
  <c r="R50" i="18"/>
  <c r="S50" i="18"/>
  <c r="T50" i="18"/>
  <c r="U50" i="18"/>
  <c r="V50" i="18"/>
  <c r="W50" i="18"/>
  <c r="X50" i="18"/>
  <c r="Y50" i="18"/>
  <c r="Z50" i="18"/>
  <c r="AA50" i="18"/>
  <c r="AB50" i="18"/>
  <c r="AC50" i="18"/>
  <c r="AD50" i="18"/>
  <c r="AE50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19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AE15" i="18"/>
  <c r="AD15" i="18"/>
  <c r="AC15" i="18"/>
  <c r="AB15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B15" i="18"/>
  <c r="AE14" i="18"/>
  <c r="AD14" i="18"/>
  <c r="AC14" i="18"/>
  <c r="AB14" i="18"/>
  <c r="AA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B14" i="18"/>
  <c r="AE13" i="18"/>
  <c r="AD13" i="18"/>
  <c r="AC13" i="18"/>
  <c r="AB13" i="18"/>
  <c r="AA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B13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B12" i="18"/>
  <c r="AE11" i="18"/>
  <c r="AD11" i="18"/>
  <c r="AC11" i="18"/>
  <c r="AB11" i="18"/>
  <c r="AA11" i="18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B11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B10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9" i="18"/>
  <c r="AE8" i="18"/>
  <c r="AD8" i="18"/>
  <c r="AC8" i="18"/>
  <c r="AB8" i="18"/>
  <c r="AA8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C8" i="18"/>
  <c r="B8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7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B6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B5" i="18"/>
  <c r="AE4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B4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F2" i="18"/>
  <c r="B2" i="18"/>
  <c r="AE2" i="18"/>
  <c r="AD2" i="18"/>
  <c r="AF51" i="5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1" i="16"/>
  <c r="B2" i="16" s="1"/>
  <c r="B2" i="7"/>
  <c r="B1" i="5"/>
  <c r="B1" i="4"/>
  <c r="AF51" i="18" l="1"/>
  <c r="AC51" i="18"/>
  <c r="D51" i="18"/>
  <c r="P51" i="18"/>
  <c r="V51" i="18"/>
  <c r="AB51" i="18"/>
  <c r="H51" i="18"/>
  <c r="N51" i="18"/>
  <c r="T51" i="18"/>
  <c r="Z51" i="18"/>
  <c r="W51" i="18"/>
  <c r="E2" i="19"/>
  <c r="F1" i="19"/>
  <c r="J51" i="18"/>
  <c r="Q51" i="18"/>
  <c r="C51" i="18"/>
  <c r="O51" i="18"/>
  <c r="U51" i="18"/>
  <c r="R51" i="18"/>
  <c r="I51" i="18"/>
  <c r="AA51" i="18"/>
  <c r="L51" i="18"/>
  <c r="X51" i="18"/>
  <c r="K51" i="18"/>
  <c r="E51" i="18"/>
  <c r="F51" i="18"/>
  <c r="AD51" i="18"/>
  <c r="G51" i="18"/>
  <c r="M51" i="18"/>
  <c r="S51" i="18"/>
  <c r="Y51" i="18"/>
  <c r="AE51" i="18"/>
  <c r="B51" i="18"/>
  <c r="C1" i="16"/>
  <c r="F2" i="19" l="1"/>
  <c r="G1" i="19"/>
  <c r="AG51" i="18"/>
  <c r="D1" i="16"/>
  <c r="C2" i="16"/>
  <c r="G2" i="19" l="1"/>
  <c r="H1" i="19"/>
  <c r="E1" i="16"/>
  <c r="D2" i="16"/>
  <c r="H2" i="19" l="1"/>
  <c r="I1" i="19"/>
  <c r="E2" i="16"/>
  <c r="F1" i="16"/>
  <c r="I2" i="19" l="1"/>
  <c r="J1" i="19"/>
  <c r="F2" i="16"/>
  <c r="G1" i="16"/>
  <c r="J2" i="19" l="1"/>
  <c r="K1" i="19"/>
  <c r="G2" i="16"/>
  <c r="H1" i="16"/>
  <c r="L1" i="19" l="1"/>
  <c r="K2" i="19"/>
  <c r="H2" i="16"/>
  <c r="I1" i="16"/>
  <c r="L2" i="19" l="1"/>
  <c r="M1" i="19"/>
  <c r="I2" i="16"/>
  <c r="J1" i="16"/>
  <c r="N1" i="19" l="1"/>
  <c r="M2" i="19"/>
  <c r="J2" i="16"/>
  <c r="K1" i="16"/>
  <c r="N2" i="19" l="1"/>
  <c r="O1" i="19"/>
  <c r="K2" i="16"/>
  <c r="L1" i="16"/>
  <c r="O2" i="19" l="1"/>
  <c r="P1" i="19"/>
  <c r="L2" i="16"/>
  <c r="M1" i="16"/>
  <c r="P2" i="19" l="1"/>
  <c r="Q1" i="19"/>
  <c r="M2" i="16"/>
  <c r="N1" i="16"/>
  <c r="Q2" i="19" l="1"/>
  <c r="R1" i="19"/>
  <c r="N2" i="16"/>
  <c r="O1" i="16"/>
  <c r="R2" i="19" l="1"/>
  <c r="S1" i="19"/>
  <c r="P1" i="16"/>
  <c r="O2" i="16"/>
  <c r="S2" i="19" l="1"/>
  <c r="T1" i="19"/>
  <c r="Q1" i="16"/>
  <c r="P2" i="16"/>
  <c r="U1" i="19" l="1"/>
  <c r="T2" i="19"/>
  <c r="Q2" i="16"/>
  <c r="R1" i="16"/>
  <c r="V1" i="19" l="1"/>
  <c r="U2" i="19"/>
  <c r="R2" i="16"/>
  <c r="S1" i="16"/>
  <c r="V2" i="19" l="1"/>
  <c r="W1" i="19"/>
  <c r="S2" i="16"/>
  <c r="T1" i="16"/>
  <c r="W2" i="19" l="1"/>
  <c r="X1" i="19"/>
  <c r="T2" i="16"/>
  <c r="U1" i="16"/>
  <c r="X2" i="19" l="1"/>
  <c r="Y1" i="19"/>
  <c r="U2" i="16"/>
  <c r="V1" i="16"/>
  <c r="Y2" i="19" l="1"/>
  <c r="Z1" i="19"/>
  <c r="V2" i="16"/>
  <c r="W1" i="16"/>
  <c r="Z2" i="19" l="1"/>
  <c r="AA1" i="19"/>
  <c r="W2" i="16"/>
  <c r="X1" i="16"/>
  <c r="AA2" i="19" l="1"/>
  <c r="AB1" i="19"/>
  <c r="X2" i="16"/>
  <c r="Y1" i="16"/>
  <c r="AB2" i="19" l="1"/>
  <c r="AC1" i="19"/>
  <c r="Y2" i="16"/>
  <c r="Z1" i="16"/>
  <c r="AD1" i="19" l="1"/>
  <c r="AC2" i="19"/>
  <c r="Z2" i="16"/>
  <c r="AA1" i="16"/>
  <c r="AD2" i="19" l="1"/>
  <c r="AE1" i="19"/>
  <c r="AB1" i="16"/>
  <c r="AA2" i="16"/>
  <c r="AF1" i="19" l="1"/>
  <c r="AF2" i="19" s="1"/>
  <c r="AE2" i="19"/>
  <c r="AC1" i="16"/>
  <c r="AB2" i="16"/>
  <c r="AC2" i="16" l="1"/>
  <c r="AD1" i="16"/>
  <c r="AE1" i="16" l="1"/>
  <c r="AD2" i="16"/>
  <c r="AE2" i="16" l="1"/>
  <c r="AF1" i="16"/>
  <c r="AF2" i="16" s="1"/>
  <c r="AN21" i="16" l="1" a="1"/>
  <c r="AN21" i="16" s="1"/>
  <c r="AM22" i="16" a="1"/>
  <c r="AM22" i="16" s="1"/>
  <c r="AJ26" i="16" a="1"/>
  <c r="AJ26" i="16" s="1"/>
  <c r="AJ45" i="16" a="1"/>
  <c r="AJ45" i="16" s="1"/>
  <c r="AK44" i="16" a="1"/>
  <c r="AK44" i="16" s="1"/>
  <c r="AN50" i="16" a="1"/>
  <c r="AN50" i="16" s="1"/>
  <c r="AM42" i="16" a="1"/>
  <c r="AM42" i="16" s="1"/>
  <c r="AO42" i="16" a="1"/>
  <c r="AO42" i="16" s="1"/>
  <c r="AN27" i="16" a="1"/>
  <c r="AN27" i="16" s="1"/>
  <c r="AK30" i="16" a="1"/>
  <c r="AK30" i="16" s="1"/>
  <c r="AJ24" i="16" a="1"/>
  <c r="AJ24" i="16" s="1"/>
  <c r="AK33" i="16" a="1"/>
  <c r="AK33" i="16" s="1"/>
  <c r="AO25" i="16" a="1"/>
  <c r="AO25" i="16" s="1"/>
  <c r="AJ44" i="16" a="1"/>
  <c r="AJ44" i="16" s="1"/>
  <c r="AO41" i="16" a="1"/>
  <c r="AO41" i="16" s="1"/>
  <c r="AN32" i="16" a="1"/>
  <c r="AN32" i="16" s="1"/>
  <c r="AJ30" i="16" a="1"/>
  <c r="AJ30" i="16" s="1"/>
  <c r="AO32" i="16" a="1"/>
  <c r="AO32" i="16" s="1"/>
  <c r="AL50" i="16" a="1"/>
  <c r="AL50" i="16" s="1"/>
  <c r="AK31" i="16" a="1"/>
  <c r="AK31" i="16" s="1"/>
  <c r="AN43" i="16" a="1"/>
  <c r="AN43" i="16" s="1"/>
  <c r="AL35" i="16" a="1"/>
  <c r="AL35" i="16" s="1"/>
  <c r="AM28" i="16" a="1"/>
  <c r="AM28" i="16" s="1"/>
  <c r="AN48" i="16" a="1"/>
  <c r="AN48" i="16" s="1"/>
  <c r="AK38" i="16" a="1"/>
  <c r="AK38" i="16" s="1"/>
  <c r="AM48" i="16" a="1"/>
  <c r="AM48" i="16" s="1"/>
  <c r="AJ46" i="16" a="1"/>
  <c r="AJ46" i="16" s="1"/>
  <c r="AO21" i="16" a="1"/>
  <c r="AO21" i="16" s="1"/>
  <c r="AL22" i="16" a="1"/>
  <c r="AL22" i="16" s="1"/>
  <c r="AM49" i="16" a="1"/>
  <c r="AM49" i="16" s="1"/>
  <c r="AK28" i="16" a="1"/>
  <c r="AK28" i="16" s="1"/>
  <c r="AO43" i="16" a="1"/>
  <c r="AO43" i="16" s="1"/>
  <c r="AJ19" i="16" a="1"/>
  <c r="AJ19" i="16" s="1"/>
  <c r="AO47" i="16" a="1"/>
  <c r="AO47" i="16" s="1"/>
  <c r="AK22" i="16" a="1"/>
  <c r="AK22" i="16" s="1"/>
  <c r="AM27" i="16" a="1"/>
  <c r="AM27" i="16" s="1"/>
  <c r="AJ20" i="16" a="1"/>
  <c r="AJ20" i="16" s="1"/>
  <c r="AL38" i="16" a="1"/>
  <c r="AL38" i="16" s="1"/>
  <c r="AM24" i="16" a="1"/>
  <c r="AM24" i="16" s="1"/>
  <c r="AO30" i="16" a="1"/>
  <c r="AO30" i="16" s="1"/>
  <c r="AO37" i="16" a="1"/>
  <c r="AO37" i="16" s="1"/>
  <c r="AN33" i="16" a="1"/>
  <c r="AN33" i="16" s="1"/>
  <c r="AJ50" i="16" a="1"/>
  <c r="AJ50" i="16" s="1"/>
  <c r="AK48" i="16" a="1"/>
  <c r="AK48" i="16" s="1"/>
  <c r="AN39" i="16" a="1"/>
  <c r="AN39" i="16" s="1"/>
  <c r="AL34" i="16" a="1"/>
  <c r="AL34" i="16" s="1"/>
  <c r="AL24" i="16" a="1"/>
  <c r="AL24" i="16" s="1"/>
  <c r="AL46" i="16" a="1"/>
  <c r="AL46" i="16" s="1"/>
  <c r="AK50" i="16" a="1"/>
  <c r="AK50" i="16" s="1"/>
  <c r="AK27" i="16" a="1"/>
  <c r="AK27" i="16" s="1"/>
  <c r="AN45" i="16" a="1"/>
  <c r="AN45" i="16" s="1"/>
  <c r="AK45" i="16" a="1"/>
  <c r="AK45" i="16" s="1"/>
  <c r="AL31" i="16" a="1"/>
  <c r="AL31" i="16" s="1"/>
  <c r="AO50" i="16" a="1"/>
  <c r="AO50" i="16" s="1"/>
  <c r="AL20" i="16" a="1"/>
  <c r="AL20" i="16" s="1"/>
  <c r="AJ42" i="16" a="1"/>
  <c r="AJ42" i="16" s="1"/>
  <c r="AN34" i="16" a="1"/>
  <c r="AN34" i="16" s="1"/>
  <c r="AK36" i="16" a="1"/>
  <c r="AK36" i="16" s="1"/>
  <c r="AK43" i="16" a="1"/>
  <c r="AK43" i="16" s="1"/>
  <c r="AL45" i="16" a="1"/>
  <c r="AL45" i="16" s="1"/>
  <c r="AO35" i="16" a="1"/>
  <c r="AO35" i="16" s="1"/>
  <c r="AK35" i="16" a="1"/>
  <c r="AK35" i="16" s="1"/>
  <c r="AM29" i="16" a="1"/>
  <c r="AM29" i="16" s="1"/>
  <c r="AK20" i="16" a="1"/>
  <c r="AK20" i="16" s="1"/>
  <c r="AM25" i="16" a="1"/>
  <c r="AM25" i="16" s="1"/>
  <c r="AN42" i="16" a="1"/>
  <c r="AN42" i="16" s="1"/>
  <c r="AL48" i="16" a="1"/>
  <c r="AL48" i="16" s="1"/>
  <c r="AM34" i="16" a="1"/>
  <c r="AM34" i="16" s="1"/>
  <c r="AL27" i="16" a="1"/>
  <c r="AL27" i="16" s="1"/>
  <c r="AK19" i="16" a="1"/>
  <c r="AK19" i="16" s="1"/>
  <c r="AN41" i="16" a="1"/>
  <c r="AN41" i="16" s="1"/>
  <c r="AM33" i="16" a="1"/>
  <c r="AM33" i="16" s="1"/>
  <c r="AK24" i="16" a="1"/>
  <c r="AK24" i="16" s="1"/>
  <c r="AK41" i="16" a="1"/>
  <c r="AK41" i="16" s="1"/>
  <c r="AM41" i="16" a="1"/>
  <c r="AM41" i="16" s="1"/>
  <c r="AM23" i="16" a="1"/>
  <c r="AM23" i="16" s="1"/>
  <c r="AJ22" i="16" a="1"/>
  <c r="AJ22" i="16" s="1"/>
  <c r="AL37" i="16" a="1"/>
  <c r="AL37" i="16" s="1"/>
  <c r="AL47" i="16" a="1"/>
  <c r="AL47" i="16" s="1"/>
  <c r="AO49" i="16" a="1"/>
  <c r="AO49" i="16" s="1"/>
  <c r="AK46" i="16" a="1"/>
  <c r="AK46" i="16" s="1"/>
  <c r="AM32" i="16" a="1"/>
  <c r="AM32" i="16" s="1"/>
  <c r="AN20" i="16" a="1"/>
  <c r="AN20" i="16" s="1"/>
  <c r="AO27" i="16" a="1"/>
  <c r="AO27" i="16" s="1"/>
  <c r="AL21" i="16" a="1"/>
  <c r="AL21" i="16" s="1"/>
  <c r="AJ37" i="16" a="1"/>
  <c r="AJ37" i="16" s="1"/>
  <c r="AO26" i="16" a="1"/>
  <c r="AO26" i="16" s="1"/>
  <c r="AM21" i="16" a="1"/>
  <c r="AM21" i="16" s="1"/>
  <c r="AN26" i="16" a="1"/>
  <c r="AN26" i="16" s="1"/>
  <c r="AL41" i="16" a="1"/>
  <c r="AL41" i="16" s="1"/>
  <c r="AL36" i="16" a="1"/>
  <c r="AL36" i="16" s="1"/>
  <c r="AN36" i="16" a="1"/>
  <c r="AN36" i="16" s="1"/>
  <c r="AN29" i="16" a="1"/>
  <c r="AN29" i="16" s="1"/>
  <c r="AM37" i="16" a="1"/>
  <c r="AM37" i="16" s="1"/>
  <c r="AN49" i="16" a="1"/>
  <c r="AN49" i="16" s="1"/>
  <c r="AO46" i="16" a="1"/>
  <c r="AO46" i="16" s="1"/>
  <c r="AO29" i="16" a="1"/>
  <c r="AO29" i="16" s="1"/>
  <c r="AJ33" i="16" a="1"/>
  <c r="AJ33" i="16" s="1"/>
  <c r="AJ40" i="16" a="1"/>
  <c r="AJ40" i="16" s="1"/>
  <c r="AJ32" i="16" a="1"/>
  <c r="AJ32" i="16" s="1"/>
  <c r="AK39" i="16" a="1"/>
  <c r="AK39" i="16" s="1"/>
  <c r="AL44" i="16" a="1"/>
  <c r="AL44" i="16" s="1"/>
  <c r="AJ28" i="16" a="1"/>
  <c r="AJ28" i="16" s="1"/>
  <c r="AJ48" i="16" a="1"/>
  <c r="AJ48" i="16" s="1"/>
  <c r="AM30" i="16" a="1"/>
  <c r="AM30" i="16" s="1"/>
  <c r="AM20" i="16" a="1"/>
  <c r="AM20" i="16" s="1"/>
  <c r="AM44" i="16" a="1"/>
  <c r="AM44" i="16" s="1"/>
  <c r="AN19" i="16" a="1"/>
  <c r="AN19" i="16" s="1"/>
  <c r="AJ41" i="16" a="1"/>
  <c r="AJ41" i="16" s="1"/>
  <c r="AN28" i="16" a="1"/>
  <c r="AN28" i="16" s="1"/>
  <c r="AN24" i="16" a="1"/>
  <c r="AN24" i="16" s="1"/>
  <c r="AJ25" i="16" a="1"/>
  <c r="AJ25" i="16" s="1"/>
  <c r="AO38" i="16" a="1"/>
  <c r="AO38" i="16" s="1"/>
  <c r="AK23" i="16" a="1"/>
  <c r="AK23" i="16" s="1"/>
  <c r="AO31" i="16" a="1"/>
  <c r="AO31" i="16" s="1"/>
  <c r="AM43" i="16" a="1"/>
  <c r="AM43" i="16" s="1"/>
  <c r="AM19" i="16" a="1"/>
  <c r="AM19" i="16" s="1"/>
  <c r="AN47" i="16" a="1"/>
  <c r="AN47" i="16" s="1"/>
  <c r="AK29" i="16" a="1"/>
  <c r="AK29" i="16" s="1"/>
  <c r="AO39" i="16" a="1"/>
  <c r="AO39" i="16" s="1"/>
  <c r="AK32" i="16" a="1"/>
  <c r="AK32" i="16" s="1"/>
  <c r="AJ29" i="16" a="1"/>
  <c r="AJ29" i="16" s="1"/>
  <c r="AL33" i="16" a="1"/>
  <c r="AL33" i="16" s="1"/>
  <c r="AJ38" i="16" a="1"/>
  <c r="AJ38" i="16" s="1"/>
  <c r="AJ31" i="16" a="1"/>
  <c r="AJ31" i="16" s="1"/>
  <c r="AL29" i="16" a="1"/>
  <c r="AL29" i="16" s="1"/>
  <c r="AM46" i="16" a="1"/>
  <c r="AM46" i="16" s="1"/>
  <c r="AJ47" i="16" a="1"/>
  <c r="AJ47" i="16" s="1"/>
  <c r="AO20" i="16" a="1"/>
  <c r="AO20" i="16" s="1"/>
  <c r="AO34" i="16" a="1"/>
  <c r="AO34" i="16" s="1"/>
  <c r="AN31" i="16" a="1"/>
  <c r="AN31" i="16" s="1"/>
  <c r="AI47" i="16" a="1"/>
  <c r="AI47" i="16" s="1"/>
  <c r="AJ35" i="16" a="1"/>
  <c r="AJ35" i="16" s="1"/>
  <c r="AN38" i="16" a="1"/>
  <c r="AN38" i="16" s="1"/>
  <c r="AO19" i="16" a="1"/>
  <c r="AO19" i="16" s="1"/>
  <c r="AL28" i="16" a="1"/>
  <c r="AL28" i="16" s="1"/>
  <c r="AJ23" i="16" a="1"/>
  <c r="AJ23" i="16" s="1"/>
  <c r="AK49" i="16" a="1"/>
  <c r="AK49" i="16" s="1"/>
  <c r="AM50" i="16" a="1"/>
  <c r="AM50" i="16" s="1"/>
  <c r="AM40" i="16" a="1"/>
  <c r="AM40" i="16" s="1"/>
  <c r="AJ27" i="16" a="1"/>
  <c r="AJ27" i="16" s="1"/>
  <c r="AM39" i="16" a="1"/>
  <c r="AM39" i="16" s="1"/>
  <c r="AO40" i="16" a="1"/>
  <c r="AO40" i="16" s="1"/>
  <c r="AM47" i="16" a="1"/>
  <c r="AM47" i="16" s="1"/>
  <c r="AN23" i="16" a="1"/>
  <c r="AN23" i="16" s="1"/>
  <c r="AL39" i="16" a="1"/>
  <c r="AL39" i="16" s="1"/>
  <c r="AL25" i="16" a="1"/>
  <c r="AL25" i="16" s="1"/>
  <c r="AK40" i="16" a="1"/>
  <c r="AK40" i="16" s="1"/>
  <c r="AN37" i="16" a="1"/>
  <c r="AN37" i="16" s="1"/>
  <c r="AJ49" i="16" a="1"/>
  <c r="AJ49" i="16" s="1"/>
  <c r="AO44" i="16" a="1"/>
  <c r="AO44" i="16" s="1"/>
  <c r="AL19" i="16" a="1"/>
  <c r="AL19" i="16" s="1"/>
  <c r="AK47" i="16" a="1"/>
  <c r="AK47" i="16" s="1"/>
  <c r="AL43" i="16" a="1"/>
  <c r="AL43" i="16" s="1"/>
  <c r="AN44" i="16" a="1"/>
  <c r="AN44" i="16" s="1"/>
  <c r="AL30" i="16" a="1"/>
  <c r="AL30" i="16" s="1"/>
  <c r="AL49" i="16" a="1"/>
  <c r="AL49" i="16" s="1"/>
  <c r="AK25" i="16" a="1"/>
  <c r="AK25" i="16" s="1"/>
  <c r="AK21" i="16" a="1"/>
  <c r="AK21" i="16" s="1"/>
  <c r="AL32" i="16" a="1"/>
  <c r="AL32" i="16" s="1"/>
  <c r="AO36" i="16" a="1"/>
  <c r="AO36" i="16" s="1"/>
  <c r="AL26" i="16" a="1"/>
  <c r="AL26" i="16" s="1"/>
  <c r="AM45" i="16" a="1"/>
  <c r="AM45" i="16" s="1"/>
  <c r="AN22" i="16" a="1"/>
  <c r="AN22" i="16" s="1"/>
  <c r="AK26" i="16" a="1"/>
  <c r="AK26" i="16" s="1"/>
  <c r="AN25" i="16" a="1"/>
  <c r="AN25" i="16" s="1"/>
  <c r="AO28" i="16" a="1"/>
  <c r="AO28" i="16" s="1"/>
  <c r="AN46" i="16" a="1"/>
  <c r="AN46" i="16" s="1"/>
  <c r="AJ39" i="16" a="1"/>
  <c r="AJ39" i="16" s="1"/>
  <c r="AJ34" i="16" a="1"/>
  <c r="AJ34" i="16" s="1"/>
  <c r="AM31" i="16" a="1"/>
  <c r="AM31" i="16" s="1"/>
  <c r="AL40" i="16" a="1"/>
  <c r="AL40" i="16" s="1"/>
  <c r="AO22" i="16" a="1"/>
  <c r="AO22" i="16" s="1"/>
  <c r="AL42" i="16" a="1"/>
  <c r="AL42" i="16" s="1"/>
  <c r="AK37" i="16" a="1"/>
  <c r="AK37" i="16" s="1"/>
  <c r="AM26" i="16" a="1"/>
  <c r="AM26" i="16" s="1"/>
  <c r="AM36" i="16" a="1"/>
  <c r="AM36" i="16" s="1"/>
  <c r="AO48" i="16" a="1"/>
  <c r="AO48" i="16" s="1"/>
  <c r="AN35" i="16" a="1"/>
  <c r="AN35" i="16" s="1"/>
  <c r="AO24" i="16" a="1"/>
  <c r="AO24" i="16" s="1"/>
  <c r="AJ21" i="16" a="1"/>
  <c r="AJ21" i="16" s="1"/>
  <c r="AO33" i="16" a="1"/>
  <c r="AO33" i="16" s="1"/>
  <c r="AJ36" i="16" a="1"/>
  <c r="AJ36" i="16" s="1"/>
  <c r="AM38" i="16" a="1"/>
  <c r="AM38" i="16" s="1"/>
  <c r="AL23" i="16" a="1"/>
  <c r="AL23" i="16" s="1"/>
  <c r="AO45" i="16" a="1"/>
  <c r="AO45" i="16" s="1"/>
  <c r="AN40" i="16" a="1"/>
  <c r="AN40" i="16" s="1"/>
  <c r="AN30" i="16" a="1"/>
  <c r="AN30" i="16" s="1"/>
  <c r="AI34" i="16" a="1"/>
  <c r="AI34" i="16" s="1"/>
  <c r="AI37" i="16" a="1"/>
  <c r="AI37" i="16" s="1"/>
  <c r="AI21" i="16" a="1"/>
  <c r="AI21" i="16" s="1"/>
  <c r="AI27" i="16" a="1"/>
  <c r="AI27" i="16" s="1"/>
  <c r="AI31" i="16" a="1"/>
  <c r="AI31" i="16" s="1"/>
  <c r="AI42" i="16" a="1"/>
  <c r="AI42" i="16" s="1"/>
  <c r="AI26" i="16" a="1"/>
  <c r="AI26" i="16" s="1"/>
  <c r="AI46" i="16" a="1"/>
  <c r="AI46" i="16" s="1"/>
  <c r="AI23" i="16" a="1"/>
  <c r="AI23" i="16" s="1"/>
  <c r="AI40" i="16" a="1"/>
  <c r="AI40" i="16" s="1"/>
  <c r="AI30" i="16" a="1"/>
  <c r="AI30" i="16" s="1"/>
  <c r="AI29" i="16" a="1"/>
  <c r="AI29" i="16" s="1"/>
  <c r="AO23" i="16" a="1"/>
  <c r="AO23" i="16" s="1"/>
  <c r="AI28" i="16" a="1"/>
  <c r="AI28" i="16" s="1"/>
  <c r="AK42" i="16" a="1"/>
  <c r="AK42" i="16" s="1"/>
  <c r="AM35" i="16" a="1"/>
  <c r="AM35" i="16" s="1"/>
  <c r="AJ43" i="16" a="1"/>
  <c r="AJ43" i="16" s="1"/>
  <c r="AI38" i="16" a="1"/>
  <c r="AI38" i="16" s="1"/>
  <c r="AI39" i="16" a="1"/>
  <c r="AI39" i="16" s="1"/>
  <c r="AK34" i="16" a="1"/>
  <c r="AK34" i="16" s="1"/>
  <c r="AI43" i="16" a="1"/>
  <c r="AI43" i="16" s="1"/>
  <c r="AI44" i="16" a="1"/>
  <c r="AI44" i="16" s="1"/>
  <c r="AI50" i="16" a="1"/>
  <c r="AI50" i="16" s="1"/>
  <c r="AI24" i="16" a="1"/>
  <c r="AI24" i="16" s="1"/>
  <c r="AI20" i="16" a="1"/>
  <c r="AI20" i="16" s="1"/>
  <c r="AI41" i="16" a="1"/>
  <c r="AI41" i="16" s="1"/>
  <c r="AI49" i="16" a="1"/>
  <c r="AI49" i="16" s="1"/>
  <c r="AI48" i="16" a="1"/>
  <c r="AI48" i="16" s="1"/>
  <c r="AI35" i="16" a="1"/>
  <c r="AI35" i="16" s="1"/>
  <c r="AI45" i="16" a="1"/>
  <c r="AI45" i="16" s="1"/>
  <c r="AI25" i="16" a="1"/>
  <c r="AI25" i="16" s="1"/>
  <c r="AI19" i="16" a="1"/>
  <c r="AI19" i="16" s="1"/>
  <c r="AI33" i="16" a="1"/>
  <c r="AI33" i="16" s="1"/>
  <c r="AI36" i="16" a="1"/>
  <c r="AI36" i="16" s="1"/>
  <c r="AI22" i="16" a="1"/>
  <c r="AI22" i="16" s="1"/>
  <c r="AI32" i="16" a="1"/>
  <c r="AI32" i="16" s="1"/>
  <c r="C1" i="4"/>
  <c r="D1" i="4" s="1"/>
  <c r="B2" i="4"/>
  <c r="AD3" i="14"/>
  <c r="AE3" i="14"/>
  <c r="AF3" i="14"/>
  <c r="AD4" i="14"/>
  <c r="AE4" i="14"/>
  <c r="AF4" i="14"/>
  <c r="AD5" i="14"/>
  <c r="AE5" i="14"/>
  <c r="AF5" i="14"/>
  <c r="AD6" i="14"/>
  <c r="AE6" i="14"/>
  <c r="AF6" i="14"/>
  <c r="AD7" i="14"/>
  <c r="AE7" i="14"/>
  <c r="AF7" i="14"/>
  <c r="AD8" i="14"/>
  <c r="AE8" i="14"/>
  <c r="AF8" i="14"/>
  <c r="AD9" i="14"/>
  <c r="AE9" i="14"/>
  <c r="AF9" i="14"/>
  <c r="AD10" i="14"/>
  <c r="AE10" i="14"/>
  <c r="AF10" i="14"/>
  <c r="AD11" i="14"/>
  <c r="AE11" i="14"/>
  <c r="AF11" i="14"/>
  <c r="AD12" i="14"/>
  <c r="AE12" i="14"/>
  <c r="AF12" i="14"/>
  <c r="AD13" i="14"/>
  <c r="AE13" i="14"/>
  <c r="AF13" i="14"/>
  <c r="AD14" i="14"/>
  <c r="AE14" i="14"/>
  <c r="AF14" i="14"/>
  <c r="AD15" i="14"/>
  <c r="AE15" i="14"/>
  <c r="AF15" i="14"/>
  <c r="AD16" i="14"/>
  <c r="AE16" i="14"/>
  <c r="AF16" i="14"/>
  <c r="AD17" i="14"/>
  <c r="AE17" i="14"/>
  <c r="AF17" i="14"/>
  <c r="AD18" i="14"/>
  <c r="AE18" i="14"/>
  <c r="AF18" i="14"/>
  <c r="AD19" i="14"/>
  <c r="AE19" i="14"/>
  <c r="AF19" i="14"/>
  <c r="AD20" i="14"/>
  <c r="AE20" i="14"/>
  <c r="AF20" i="14"/>
  <c r="AD21" i="14"/>
  <c r="AE21" i="14"/>
  <c r="AF21" i="14"/>
  <c r="AD22" i="14"/>
  <c r="AE22" i="14"/>
  <c r="AF22" i="14"/>
  <c r="AD23" i="14"/>
  <c r="AE23" i="14"/>
  <c r="AF23" i="14"/>
  <c r="AD24" i="14"/>
  <c r="AE24" i="14"/>
  <c r="AF24" i="14"/>
  <c r="AD25" i="14"/>
  <c r="AE25" i="14"/>
  <c r="AF25" i="14"/>
  <c r="AD26" i="14"/>
  <c r="AE26" i="14"/>
  <c r="AF26" i="14"/>
  <c r="AD27" i="14"/>
  <c r="AE27" i="14"/>
  <c r="AF27" i="14"/>
  <c r="AD28" i="14"/>
  <c r="AE28" i="14"/>
  <c r="AF28" i="14"/>
  <c r="AD29" i="14"/>
  <c r="AE29" i="14"/>
  <c r="AF29" i="14"/>
  <c r="AD30" i="14"/>
  <c r="AE30" i="14"/>
  <c r="AF30" i="14"/>
  <c r="AD31" i="14"/>
  <c r="AE31" i="14"/>
  <c r="AF31" i="14"/>
  <c r="AD32" i="14"/>
  <c r="AE32" i="14"/>
  <c r="AF32" i="14"/>
  <c r="AD33" i="14"/>
  <c r="AE33" i="14"/>
  <c r="AF33" i="14"/>
  <c r="AD34" i="14"/>
  <c r="AE34" i="14"/>
  <c r="AF34" i="14"/>
  <c r="AD35" i="14"/>
  <c r="AE35" i="14"/>
  <c r="AF35" i="14"/>
  <c r="AD36" i="14"/>
  <c r="AE36" i="14"/>
  <c r="AF36" i="14"/>
  <c r="AD37" i="14"/>
  <c r="AE37" i="14"/>
  <c r="AF37" i="14"/>
  <c r="AD38" i="14"/>
  <c r="AE38" i="14"/>
  <c r="AF38" i="14"/>
  <c r="AD39" i="14"/>
  <c r="AE39" i="14"/>
  <c r="AF39" i="14"/>
  <c r="AD40" i="14"/>
  <c r="AE40" i="14"/>
  <c r="AF40" i="14"/>
  <c r="AD41" i="14"/>
  <c r="AE41" i="14"/>
  <c r="AF41" i="14"/>
  <c r="AD42" i="14"/>
  <c r="AE42" i="14"/>
  <c r="AF42" i="14"/>
  <c r="AD43" i="14"/>
  <c r="AE43" i="14"/>
  <c r="AF43" i="14"/>
  <c r="AD44" i="14"/>
  <c r="AE44" i="14"/>
  <c r="AF44" i="14"/>
  <c r="AD45" i="14"/>
  <c r="AE45" i="14"/>
  <c r="AF45" i="14"/>
  <c r="AD46" i="14"/>
  <c r="AE46" i="14"/>
  <c r="AF46" i="14"/>
  <c r="AD47" i="14"/>
  <c r="AE47" i="14"/>
  <c r="AF47" i="14"/>
  <c r="AD48" i="14"/>
  <c r="AE48" i="14"/>
  <c r="AF48" i="14"/>
  <c r="AD49" i="14"/>
  <c r="AE49" i="14"/>
  <c r="AF49" i="14"/>
  <c r="AD50" i="14"/>
  <c r="AE50" i="14"/>
  <c r="AF50" i="14"/>
  <c r="AD3" i="15"/>
  <c r="AE3" i="15"/>
  <c r="AF3" i="15"/>
  <c r="AD4" i="15"/>
  <c r="AE4" i="15"/>
  <c r="AF4" i="15"/>
  <c r="AD5" i="15"/>
  <c r="AE5" i="15"/>
  <c r="AF5" i="15"/>
  <c r="AD6" i="15"/>
  <c r="AE6" i="15"/>
  <c r="AF6" i="15"/>
  <c r="AD7" i="15"/>
  <c r="AE7" i="15"/>
  <c r="AF7" i="15"/>
  <c r="AD8" i="15"/>
  <c r="AE8" i="15"/>
  <c r="AF8" i="15"/>
  <c r="AD9" i="15"/>
  <c r="AE9" i="15"/>
  <c r="AF9" i="15"/>
  <c r="AD10" i="15"/>
  <c r="AE10" i="15"/>
  <c r="AF10" i="15"/>
  <c r="AD11" i="15"/>
  <c r="AE11" i="15"/>
  <c r="AF11" i="15"/>
  <c r="AD12" i="15"/>
  <c r="AE12" i="15"/>
  <c r="AF12" i="15"/>
  <c r="AD13" i="15"/>
  <c r="AE13" i="15"/>
  <c r="AF13" i="15"/>
  <c r="AD14" i="15"/>
  <c r="AE14" i="15"/>
  <c r="AF14" i="15"/>
  <c r="AD15" i="15"/>
  <c r="AE15" i="15"/>
  <c r="AF15" i="15"/>
  <c r="AD16" i="15"/>
  <c r="AE16" i="15"/>
  <c r="AF16" i="15"/>
  <c r="AD17" i="15"/>
  <c r="AE17" i="15"/>
  <c r="AF17" i="15"/>
  <c r="AD18" i="15"/>
  <c r="AE18" i="15"/>
  <c r="AF18" i="15"/>
  <c r="AD19" i="15"/>
  <c r="AE19" i="15"/>
  <c r="AF19" i="15"/>
  <c r="AD20" i="15"/>
  <c r="AE20" i="15"/>
  <c r="AF20" i="15"/>
  <c r="AD21" i="15"/>
  <c r="AE21" i="15"/>
  <c r="AF21" i="15"/>
  <c r="AD22" i="15"/>
  <c r="AE22" i="15"/>
  <c r="AF22" i="15"/>
  <c r="AD23" i="15"/>
  <c r="AE23" i="15"/>
  <c r="AF23" i="15"/>
  <c r="AD24" i="15"/>
  <c r="AE24" i="15"/>
  <c r="AF24" i="15"/>
  <c r="AD25" i="15"/>
  <c r="AE25" i="15"/>
  <c r="AF25" i="15"/>
  <c r="AD26" i="15"/>
  <c r="AE26" i="15"/>
  <c r="AF26" i="15"/>
  <c r="AD27" i="15"/>
  <c r="AE27" i="15"/>
  <c r="AF27" i="15"/>
  <c r="AD28" i="15"/>
  <c r="AE28" i="15"/>
  <c r="AF28" i="15"/>
  <c r="AD29" i="15"/>
  <c r="AE29" i="15"/>
  <c r="AF29" i="15"/>
  <c r="AD30" i="15"/>
  <c r="AE30" i="15"/>
  <c r="AF30" i="15"/>
  <c r="AD31" i="15"/>
  <c r="AE31" i="15"/>
  <c r="AF31" i="15"/>
  <c r="AD32" i="15"/>
  <c r="AE32" i="15"/>
  <c r="AF32" i="15"/>
  <c r="AD33" i="15"/>
  <c r="AE33" i="15"/>
  <c r="AF33" i="15"/>
  <c r="AD34" i="15"/>
  <c r="AE34" i="15"/>
  <c r="AF34" i="15"/>
  <c r="AD35" i="15"/>
  <c r="AE35" i="15"/>
  <c r="AF35" i="15"/>
  <c r="AD36" i="15"/>
  <c r="AE36" i="15"/>
  <c r="AF36" i="15"/>
  <c r="AD37" i="15"/>
  <c r="AE37" i="15"/>
  <c r="AF37" i="15"/>
  <c r="AD38" i="15"/>
  <c r="AE38" i="15"/>
  <c r="AF38" i="15"/>
  <c r="AD39" i="15"/>
  <c r="AE39" i="15"/>
  <c r="AF39" i="15"/>
  <c r="AD40" i="15"/>
  <c r="AE40" i="15"/>
  <c r="AF40" i="15"/>
  <c r="AD41" i="15"/>
  <c r="AE41" i="15"/>
  <c r="AF41" i="15"/>
  <c r="AD42" i="15"/>
  <c r="AE42" i="15"/>
  <c r="AF42" i="15"/>
  <c r="AD43" i="15"/>
  <c r="AE43" i="15"/>
  <c r="AF43" i="15"/>
  <c r="AD44" i="15"/>
  <c r="AE44" i="15"/>
  <c r="AF44" i="15"/>
  <c r="AD45" i="15"/>
  <c r="AE45" i="15"/>
  <c r="AF45" i="15"/>
  <c r="AD46" i="15"/>
  <c r="AE46" i="15"/>
  <c r="AF46" i="15"/>
  <c r="AD47" i="15"/>
  <c r="AE47" i="15"/>
  <c r="AF47" i="15"/>
  <c r="AD48" i="15"/>
  <c r="AE48" i="15"/>
  <c r="AF48" i="15"/>
  <c r="AD49" i="15"/>
  <c r="AE49" i="15"/>
  <c r="AF49" i="15"/>
  <c r="AD50" i="15"/>
  <c r="AE50" i="15"/>
  <c r="AF50" i="15"/>
  <c r="AB3" i="11"/>
  <c r="AC3" i="11"/>
  <c r="AD3" i="11"/>
  <c r="AE3" i="11"/>
  <c r="AF3" i="11"/>
  <c r="AB4" i="11"/>
  <c r="AC4" i="11"/>
  <c r="AD4" i="11"/>
  <c r="AE4" i="11"/>
  <c r="AF4" i="11"/>
  <c r="AB5" i="11"/>
  <c r="AC5" i="11"/>
  <c r="AD5" i="11"/>
  <c r="AE5" i="11"/>
  <c r="AF5" i="11"/>
  <c r="AB6" i="11"/>
  <c r="AC6" i="11"/>
  <c r="AD6" i="11"/>
  <c r="AE6" i="11"/>
  <c r="AF6" i="11"/>
  <c r="AB7" i="11"/>
  <c r="AC7" i="11"/>
  <c r="AD7" i="11"/>
  <c r="AE7" i="11"/>
  <c r="AF7" i="11"/>
  <c r="AB8" i="11"/>
  <c r="AC8" i="11"/>
  <c r="AD8" i="11"/>
  <c r="AE8" i="11"/>
  <c r="AF8" i="11"/>
  <c r="AB9" i="11"/>
  <c r="AC9" i="11"/>
  <c r="AD9" i="11"/>
  <c r="AE9" i="11"/>
  <c r="AF9" i="11"/>
  <c r="AB10" i="11"/>
  <c r="AC10" i="11"/>
  <c r="AD10" i="11"/>
  <c r="AE10" i="11"/>
  <c r="AF10" i="11"/>
  <c r="AB11" i="11"/>
  <c r="AC11" i="11"/>
  <c r="AD11" i="11"/>
  <c r="AE11" i="11"/>
  <c r="AF11" i="11"/>
  <c r="AB12" i="11"/>
  <c r="AC12" i="11"/>
  <c r="AD12" i="11"/>
  <c r="AE12" i="11"/>
  <c r="AF12" i="11"/>
  <c r="AB13" i="11"/>
  <c r="AC13" i="11"/>
  <c r="AD13" i="11"/>
  <c r="AE13" i="11"/>
  <c r="AF13" i="11"/>
  <c r="AB14" i="11"/>
  <c r="AC14" i="11"/>
  <c r="AD14" i="11"/>
  <c r="AE14" i="11"/>
  <c r="AF14" i="11"/>
  <c r="AB15" i="11"/>
  <c r="AC15" i="11"/>
  <c r="AD15" i="11"/>
  <c r="AE15" i="11"/>
  <c r="AF15" i="11"/>
  <c r="AB16" i="11"/>
  <c r="AC16" i="11"/>
  <c r="AD16" i="11"/>
  <c r="AE16" i="11"/>
  <c r="AF16" i="11"/>
  <c r="AB17" i="11"/>
  <c r="AC17" i="11"/>
  <c r="AD17" i="11"/>
  <c r="AE17" i="11"/>
  <c r="AF17" i="11"/>
  <c r="AB18" i="11"/>
  <c r="AC18" i="11"/>
  <c r="AD18" i="11"/>
  <c r="AE18" i="11"/>
  <c r="AF18" i="11"/>
  <c r="AB19" i="11"/>
  <c r="AC19" i="11"/>
  <c r="AD19" i="11"/>
  <c r="AE19" i="11"/>
  <c r="AF19" i="11"/>
  <c r="AB20" i="11"/>
  <c r="AC20" i="11"/>
  <c r="AD20" i="11"/>
  <c r="AE20" i="11"/>
  <c r="AF20" i="11"/>
  <c r="AB21" i="11"/>
  <c r="AC21" i="11"/>
  <c r="AD21" i="11"/>
  <c r="AE21" i="11"/>
  <c r="AF21" i="11"/>
  <c r="AB22" i="11"/>
  <c r="AC22" i="11"/>
  <c r="AD22" i="11"/>
  <c r="AE22" i="11"/>
  <c r="AF22" i="11"/>
  <c r="AB23" i="11"/>
  <c r="AC23" i="11"/>
  <c r="AD23" i="11"/>
  <c r="AE23" i="11"/>
  <c r="AF23" i="11"/>
  <c r="AB24" i="11"/>
  <c r="AC24" i="11"/>
  <c r="AD24" i="11"/>
  <c r="AE24" i="11"/>
  <c r="AF24" i="11"/>
  <c r="AB25" i="11"/>
  <c r="AC25" i="11"/>
  <c r="AD25" i="11"/>
  <c r="AE25" i="11"/>
  <c r="AF25" i="11"/>
  <c r="AB26" i="11"/>
  <c r="AC26" i="11"/>
  <c r="AD26" i="11"/>
  <c r="AE26" i="11"/>
  <c r="AF26" i="11"/>
  <c r="AB27" i="11"/>
  <c r="AC27" i="11"/>
  <c r="AD27" i="11"/>
  <c r="AE27" i="11"/>
  <c r="AF27" i="11"/>
  <c r="AB28" i="11"/>
  <c r="AC28" i="11"/>
  <c r="AD28" i="11"/>
  <c r="AE28" i="11"/>
  <c r="AF28" i="11"/>
  <c r="AB29" i="11"/>
  <c r="AC29" i="11"/>
  <c r="AD29" i="11"/>
  <c r="AE29" i="11"/>
  <c r="AF29" i="11"/>
  <c r="AB30" i="11"/>
  <c r="AC30" i="11"/>
  <c r="AD30" i="11"/>
  <c r="AE30" i="11"/>
  <c r="AF30" i="11"/>
  <c r="AB31" i="11"/>
  <c r="AC31" i="11"/>
  <c r="AD31" i="11"/>
  <c r="AE31" i="11"/>
  <c r="AF31" i="11"/>
  <c r="AB32" i="11"/>
  <c r="AC32" i="11"/>
  <c r="AD32" i="11"/>
  <c r="AE32" i="11"/>
  <c r="AF32" i="11"/>
  <c r="AB33" i="11"/>
  <c r="AC33" i="11"/>
  <c r="AD33" i="11"/>
  <c r="AE33" i="11"/>
  <c r="AF33" i="11"/>
  <c r="AB34" i="11"/>
  <c r="AC34" i="11"/>
  <c r="AD34" i="11"/>
  <c r="AE34" i="11"/>
  <c r="AF34" i="11"/>
  <c r="AB35" i="11"/>
  <c r="AC35" i="11"/>
  <c r="AD35" i="11"/>
  <c r="AE35" i="11"/>
  <c r="AF35" i="11"/>
  <c r="AB36" i="11"/>
  <c r="AC36" i="11"/>
  <c r="AD36" i="11"/>
  <c r="AE36" i="11"/>
  <c r="AF36" i="11"/>
  <c r="AB37" i="11"/>
  <c r="AC37" i="11"/>
  <c r="AD37" i="11"/>
  <c r="AE37" i="11"/>
  <c r="AF37" i="11"/>
  <c r="AB38" i="11"/>
  <c r="AC38" i="11"/>
  <c r="AD38" i="11"/>
  <c r="AE38" i="11"/>
  <c r="AF38" i="11"/>
  <c r="AB39" i="11"/>
  <c r="AC39" i="11"/>
  <c r="AD39" i="11"/>
  <c r="AE39" i="11"/>
  <c r="AF39" i="11"/>
  <c r="AB40" i="11"/>
  <c r="AC40" i="11"/>
  <c r="AD40" i="11"/>
  <c r="AE40" i="11"/>
  <c r="AF40" i="11"/>
  <c r="AB41" i="11"/>
  <c r="AC41" i="11"/>
  <c r="AD41" i="11"/>
  <c r="AE41" i="11"/>
  <c r="AF41" i="11"/>
  <c r="AB42" i="11"/>
  <c r="AC42" i="11"/>
  <c r="AD42" i="11"/>
  <c r="AE42" i="11"/>
  <c r="AF42" i="11"/>
  <c r="AB43" i="11"/>
  <c r="AC43" i="11"/>
  <c r="AD43" i="11"/>
  <c r="AE43" i="11"/>
  <c r="AF43" i="11"/>
  <c r="AB44" i="11"/>
  <c r="AC44" i="11"/>
  <c r="AD44" i="11"/>
  <c r="AE44" i="11"/>
  <c r="AF44" i="11"/>
  <c r="AB45" i="11"/>
  <c r="AC45" i="11"/>
  <c r="AD45" i="11"/>
  <c r="AE45" i="11"/>
  <c r="AF45" i="11"/>
  <c r="AB46" i="11"/>
  <c r="AC46" i="11"/>
  <c r="AD46" i="11"/>
  <c r="AE46" i="11"/>
  <c r="AF46" i="11"/>
  <c r="AB47" i="11"/>
  <c r="AC47" i="11"/>
  <c r="AD47" i="11"/>
  <c r="AE47" i="11"/>
  <c r="AF47" i="11"/>
  <c r="AB48" i="11"/>
  <c r="AC48" i="11"/>
  <c r="AD48" i="11"/>
  <c r="AE48" i="11"/>
  <c r="AF48" i="11"/>
  <c r="AB49" i="11"/>
  <c r="AC49" i="11"/>
  <c r="AD49" i="11"/>
  <c r="AE49" i="11"/>
  <c r="AF49" i="11"/>
  <c r="AB50" i="11"/>
  <c r="AC50" i="11"/>
  <c r="AD50" i="11"/>
  <c r="AE50" i="11"/>
  <c r="AF50" i="11"/>
  <c r="AF3" i="10"/>
  <c r="AF4" i="10"/>
  <c r="AF5" i="10"/>
  <c r="AF6" i="10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4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B1" i="15"/>
  <c r="B1" i="14"/>
  <c r="C1" i="5"/>
  <c r="D1" i="5" s="1"/>
  <c r="C1" i="11"/>
  <c r="C2" i="11" s="1"/>
  <c r="B1" i="11"/>
  <c r="B1" i="10"/>
  <c r="B1" i="13"/>
  <c r="B1" i="2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C1" i="7"/>
  <c r="AF19" i="12"/>
  <c r="AF20" i="12"/>
  <c r="AF21" i="12"/>
  <c r="AF22" i="12"/>
  <c r="AF23" i="12"/>
  <c r="AF24" i="12"/>
  <c r="AF25" i="12"/>
  <c r="AF26" i="12"/>
  <c r="AF27" i="12"/>
  <c r="AF28" i="12"/>
  <c r="AF29" i="12"/>
  <c r="AF30" i="12"/>
  <c r="AF31" i="12"/>
  <c r="AF32" i="12"/>
  <c r="AF33" i="12"/>
  <c r="AF34" i="12"/>
  <c r="AF35" i="12"/>
  <c r="AF36" i="12"/>
  <c r="AF37" i="12"/>
  <c r="AF38" i="12"/>
  <c r="AF39" i="12"/>
  <c r="AF40" i="12"/>
  <c r="AF41" i="12"/>
  <c r="AF42" i="12"/>
  <c r="AF43" i="12"/>
  <c r="AF44" i="12"/>
  <c r="AF45" i="12"/>
  <c r="AF46" i="12"/>
  <c r="AF47" i="12"/>
  <c r="AF48" i="12"/>
  <c r="AF49" i="12"/>
  <c r="AF50" i="12"/>
  <c r="B1" i="12"/>
  <c r="C1" i="6"/>
  <c r="B1" i="1"/>
  <c r="AF51" i="6"/>
  <c r="B2" i="6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G51" i="1" l="1"/>
  <c r="C1" i="2"/>
  <c r="C1" i="17"/>
  <c r="C2" i="17" s="1"/>
  <c r="C50" i="17" s="1"/>
  <c r="C2" i="7"/>
  <c r="E1" i="4"/>
  <c r="D1" i="11"/>
  <c r="D2" i="11" s="1"/>
  <c r="D1" i="10"/>
  <c r="D2" i="10" s="1"/>
  <c r="C1" i="10"/>
  <c r="C2" i="10" s="1"/>
  <c r="C1" i="12"/>
  <c r="C2" i="12" s="1"/>
  <c r="C2" i="18"/>
  <c r="F1" i="4"/>
  <c r="E1" i="11"/>
  <c r="E2" i="11" s="1"/>
  <c r="E1" i="10"/>
  <c r="E2" i="10" s="1"/>
  <c r="G1" i="4"/>
  <c r="G2" i="4" s="1"/>
  <c r="D2" i="5"/>
  <c r="E1" i="5"/>
  <c r="C2" i="5"/>
  <c r="D1" i="7"/>
  <c r="C1" i="13"/>
  <c r="C2" i="13" s="1"/>
  <c r="D1" i="6"/>
  <c r="D2" i="18" s="1"/>
  <c r="C1" i="1"/>
  <c r="C2" i="6"/>
  <c r="AF51" i="12"/>
  <c r="AF51" i="11"/>
  <c r="AF51" i="10"/>
  <c r="D2" i="6"/>
  <c r="C3" i="15"/>
  <c r="D3" i="15"/>
  <c r="E3" i="15"/>
  <c r="F3" i="15"/>
  <c r="G3" i="15"/>
  <c r="H3" i="15"/>
  <c r="I3" i="15"/>
  <c r="J3" i="15"/>
  <c r="K3" i="15"/>
  <c r="L3" i="15"/>
  <c r="M3" i="15"/>
  <c r="N3" i="15"/>
  <c r="O3" i="15"/>
  <c r="P3" i="15"/>
  <c r="Q3" i="15"/>
  <c r="R3" i="15"/>
  <c r="S3" i="15"/>
  <c r="T3" i="15"/>
  <c r="U3" i="15"/>
  <c r="V3" i="15"/>
  <c r="W3" i="15"/>
  <c r="X3" i="15"/>
  <c r="Y3" i="15"/>
  <c r="Z3" i="15"/>
  <c r="AA3" i="15"/>
  <c r="AB3" i="15"/>
  <c r="AC3" i="15"/>
  <c r="C4" i="15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AA4" i="15"/>
  <c r="AB4" i="15"/>
  <c r="AC4" i="15"/>
  <c r="C5" i="15"/>
  <c r="D5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W5" i="15"/>
  <c r="X5" i="15"/>
  <c r="Y5" i="15"/>
  <c r="Z5" i="15"/>
  <c r="AA5" i="15"/>
  <c r="AB5" i="15"/>
  <c r="AC5" i="15"/>
  <c r="C6" i="15"/>
  <c r="D6" i="15"/>
  <c r="E6" i="15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AA6" i="15"/>
  <c r="AB6" i="15"/>
  <c r="AC6" i="15"/>
  <c r="C7" i="15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Z7" i="15"/>
  <c r="AA7" i="15"/>
  <c r="AB7" i="15"/>
  <c r="AC7" i="15"/>
  <c r="C8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Y8" i="15"/>
  <c r="Z8" i="15"/>
  <c r="AA8" i="15"/>
  <c r="AB8" i="15"/>
  <c r="AC8" i="15"/>
  <c r="C9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Z9" i="15"/>
  <c r="AA9" i="15"/>
  <c r="AB9" i="15"/>
  <c r="AC9" i="15"/>
  <c r="C10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W10" i="15"/>
  <c r="X10" i="15"/>
  <c r="Y10" i="15"/>
  <c r="Z10" i="15"/>
  <c r="AA10" i="15"/>
  <c r="AB10" i="15"/>
  <c r="AC10" i="15"/>
  <c r="C11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T11" i="15"/>
  <c r="U11" i="15"/>
  <c r="V11" i="15"/>
  <c r="W11" i="15"/>
  <c r="X11" i="15"/>
  <c r="Y11" i="15"/>
  <c r="Z11" i="15"/>
  <c r="AA11" i="15"/>
  <c r="AB11" i="15"/>
  <c r="AC11" i="15"/>
  <c r="C12" i="15"/>
  <c r="D12" i="15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S12" i="15"/>
  <c r="T12" i="15"/>
  <c r="U12" i="15"/>
  <c r="V12" i="15"/>
  <c r="W12" i="15"/>
  <c r="X12" i="15"/>
  <c r="Y12" i="15"/>
  <c r="Z12" i="15"/>
  <c r="AA12" i="15"/>
  <c r="AB12" i="15"/>
  <c r="AC12" i="15"/>
  <c r="C13" i="15"/>
  <c r="D13" i="15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T13" i="15"/>
  <c r="U13" i="15"/>
  <c r="V13" i="15"/>
  <c r="W13" i="15"/>
  <c r="X13" i="15"/>
  <c r="Y13" i="15"/>
  <c r="Z13" i="15"/>
  <c r="AA13" i="15"/>
  <c r="AB13" i="15"/>
  <c r="AC13" i="15"/>
  <c r="C14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T14" i="15"/>
  <c r="U14" i="15"/>
  <c r="V14" i="15"/>
  <c r="W14" i="15"/>
  <c r="X14" i="15"/>
  <c r="Y14" i="15"/>
  <c r="Z14" i="15"/>
  <c r="AA14" i="15"/>
  <c r="AB14" i="15"/>
  <c r="AC14" i="15"/>
  <c r="C15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T15" i="15"/>
  <c r="U15" i="15"/>
  <c r="V15" i="15"/>
  <c r="W15" i="15"/>
  <c r="X15" i="15"/>
  <c r="Y15" i="15"/>
  <c r="Z15" i="15"/>
  <c r="AA15" i="15"/>
  <c r="AB15" i="15"/>
  <c r="AC15" i="15"/>
  <c r="C16" i="15"/>
  <c r="D16" i="15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T16" i="15"/>
  <c r="U16" i="15"/>
  <c r="V16" i="15"/>
  <c r="W16" i="15"/>
  <c r="X16" i="15"/>
  <c r="Y16" i="15"/>
  <c r="Z16" i="15"/>
  <c r="AA16" i="15"/>
  <c r="AB16" i="15"/>
  <c r="AC16" i="15"/>
  <c r="C17" i="15"/>
  <c r="D17" i="15"/>
  <c r="E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R17" i="15"/>
  <c r="S17" i="15"/>
  <c r="T17" i="15"/>
  <c r="U17" i="15"/>
  <c r="V17" i="15"/>
  <c r="W17" i="15"/>
  <c r="X17" i="15"/>
  <c r="Y17" i="15"/>
  <c r="Z17" i="15"/>
  <c r="AA17" i="15"/>
  <c r="AB17" i="15"/>
  <c r="AC17" i="15"/>
  <c r="C18" i="15"/>
  <c r="D18" i="15"/>
  <c r="E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R18" i="15"/>
  <c r="S18" i="15"/>
  <c r="T18" i="15"/>
  <c r="U18" i="15"/>
  <c r="V18" i="15"/>
  <c r="W18" i="15"/>
  <c r="X18" i="15"/>
  <c r="Y18" i="15"/>
  <c r="Z18" i="15"/>
  <c r="AA18" i="15"/>
  <c r="AB18" i="15"/>
  <c r="AC18" i="15"/>
  <c r="C19" i="15"/>
  <c r="D19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Q19" i="15"/>
  <c r="R19" i="15"/>
  <c r="S19" i="15"/>
  <c r="T19" i="15"/>
  <c r="U19" i="15"/>
  <c r="V19" i="15"/>
  <c r="W19" i="15"/>
  <c r="X19" i="15"/>
  <c r="Y19" i="15"/>
  <c r="Z19" i="15"/>
  <c r="AA19" i="15"/>
  <c r="AB19" i="15"/>
  <c r="AC19" i="15"/>
  <c r="C20" i="15"/>
  <c r="D20" i="15"/>
  <c r="E20" i="15"/>
  <c r="F20" i="15"/>
  <c r="G20" i="15"/>
  <c r="H20" i="15"/>
  <c r="I20" i="15"/>
  <c r="J20" i="15"/>
  <c r="K20" i="15"/>
  <c r="L20" i="15"/>
  <c r="M20" i="15"/>
  <c r="N20" i="15"/>
  <c r="O20" i="15"/>
  <c r="P20" i="15"/>
  <c r="Q20" i="15"/>
  <c r="R20" i="15"/>
  <c r="S20" i="15"/>
  <c r="T20" i="15"/>
  <c r="U20" i="15"/>
  <c r="V20" i="15"/>
  <c r="W20" i="15"/>
  <c r="X20" i="15"/>
  <c r="Y20" i="15"/>
  <c r="Z20" i="15"/>
  <c r="AA20" i="15"/>
  <c r="AB20" i="15"/>
  <c r="AC20" i="15"/>
  <c r="C21" i="15"/>
  <c r="D21" i="15"/>
  <c r="E21" i="15"/>
  <c r="F21" i="15"/>
  <c r="G21" i="15"/>
  <c r="H21" i="15"/>
  <c r="I21" i="15"/>
  <c r="J21" i="15"/>
  <c r="K21" i="15"/>
  <c r="L21" i="15"/>
  <c r="M21" i="15"/>
  <c r="N21" i="15"/>
  <c r="O21" i="15"/>
  <c r="P21" i="15"/>
  <c r="Q21" i="15"/>
  <c r="R21" i="15"/>
  <c r="S21" i="15"/>
  <c r="T21" i="15"/>
  <c r="U21" i="15"/>
  <c r="V21" i="15"/>
  <c r="W21" i="15"/>
  <c r="X21" i="15"/>
  <c r="Y21" i="15"/>
  <c r="Z21" i="15"/>
  <c r="AA21" i="15"/>
  <c r="AB21" i="15"/>
  <c r="AC21" i="15"/>
  <c r="C22" i="15"/>
  <c r="D22" i="15"/>
  <c r="E22" i="15"/>
  <c r="F22" i="15"/>
  <c r="G22" i="15"/>
  <c r="H22" i="15"/>
  <c r="I22" i="15"/>
  <c r="J22" i="15"/>
  <c r="K22" i="15"/>
  <c r="L22" i="15"/>
  <c r="M22" i="15"/>
  <c r="N22" i="15"/>
  <c r="O22" i="15"/>
  <c r="P22" i="15"/>
  <c r="Q22" i="15"/>
  <c r="R22" i="15"/>
  <c r="S22" i="15"/>
  <c r="T22" i="15"/>
  <c r="U22" i="15"/>
  <c r="V22" i="15"/>
  <c r="W22" i="15"/>
  <c r="X22" i="15"/>
  <c r="Y22" i="15"/>
  <c r="Z22" i="15"/>
  <c r="AA22" i="15"/>
  <c r="AB22" i="15"/>
  <c r="AC22" i="15"/>
  <c r="C23" i="15"/>
  <c r="D23" i="15"/>
  <c r="E23" i="15"/>
  <c r="F23" i="15"/>
  <c r="G23" i="15"/>
  <c r="H23" i="15"/>
  <c r="I23" i="15"/>
  <c r="J23" i="15"/>
  <c r="K23" i="15"/>
  <c r="L23" i="15"/>
  <c r="M23" i="15"/>
  <c r="N23" i="15"/>
  <c r="O23" i="15"/>
  <c r="P23" i="15"/>
  <c r="Q23" i="15"/>
  <c r="R23" i="15"/>
  <c r="S23" i="15"/>
  <c r="T23" i="15"/>
  <c r="U23" i="15"/>
  <c r="V23" i="15"/>
  <c r="W23" i="15"/>
  <c r="X23" i="15"/>
  <c r="Y23" i="15"/>
  <c r="Z23" i="15"/>
  <c r="AA23" i="15"/>
  <c r="AB23" i="15"/>
  <c r="AC23" i="15"/>
  <c r="C24" i="15"/>
  <c r="D24" i="15"/>
  <c r="E24" i="15"/>
  <c r="F24" i="15"/>
  <c r="G24" i="15"/>
  <c r="H24" i="15"/>
  <c r="I24" i="15"/>
  <c r="J24" i="15"/>
  <c r="K24" i="15"/>
  <c r="L24" i="15"/>
  <c r="M24" i="15"/>
  <c r="N24" i="15"/>
  <c r="O24" i="15"/>
  <c r="P24" i="15"/>
  <c r="Q24" i="15"/>
  <c r="R24" i="15"/>
  <c r="S24" i="15"/>
  <c r="T24" i="15"/>
  <c r="U24" i="15"/>
  <c r="V24" i="15"/>
  <c r="W24" i="15"/>
  <c r="X24" i="15"/>
  <c r="Y24" i="15"/>
  <c r="Z24" i="15"/>
  <c r="AA24" i="15"/>
  <c r="AB24" i="15"/>
  <c r="AC24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O25" i="15"/>
  <c r="P25" i="15"/>
  <c r="Q25" i="15"/>
  <c r="R25" i="15"/>
  <c r="S25" i="15"/>
  <c r="T25" i="15"/>
  <c r="U25" i="15"/>
  <c r="V25" i="15"/>
  <c r="W25" i="15"/>
  <c r="X25" i="15"/>
  <c r="Y25" i="15"/>
  <c r="Z25" i="15"/>
  <c r="AA25" i="15"/>
  <c r="AB25" i="15"/>
  <c r="AC25" i="15"/>
  <c r="C26" i="15"/>
  <c r="D26" i="15"/>
  <c r="E26" i="15"/>
  <c r="F26" i="15"/>
  <c r="G26" i="15"/>
  <c r="H26" i="15"/>
  <c r="I26" i="15"/>
  <c r="J26" i="15"/>
  <c r="K26" i="15"/>
  <c r="L26" i="15"/>
  <c r="M26" i="15"/>
  <c r="N26" i="15"/>
  <c r="O26" i="15"/>
  <c r="P26" i="15"/>
  <c r="Q26" i="15"/>
  <c r="R26" i="15"/>
  <c r="S26" i="15"/>
  <c r="T26" i="15"/>
  <c r="U26" i="15"/>
  <c r="V26" i="15"/>
  <c r="W26" i="15"/>
  <c r="X26" i="15"/>
  <c r="Y26" i="15"/>
  <c r="Z26" i="15"/>
  <c r="AA26" i="15"/>
  <c r="AB26" i="15"/>
  <c r="AC26" i="15"/>
  <c r="C27" i="15"/>
  <c r="D27" i="15"/>
  <c r="E27" i="15"/>
  <c r="F27" i="15"/>
  <c r="G27" i="15"/>
  <c r="H27" i="15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Z27" i="15"/>
  <c r="AA27" i="15"/>
  <c r="AB27" i="15"/>
  <c r="AC27" i="15"/>
  <c r="C28" i="15"/>
  <c r="D28" i="15"/>
  <c r="E28" i="15"/>
  <c r="F28" i="15"/>
  <c r="G28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Z28" i="15"/>
  <c r="AA28" i="15"/>
  <c r="AB28" i="15"/>
  <c r="AC28" i="15"/>
  <c r="C29" i="15"/>
  <c r="D29" i="15"/>
  <c r="E29" i="15"/>
  <c r="F29" i="15"/>
  <c r="G29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Z29" i="15"/>
  <c r="AA29" i="15"/>
  <c r="AB29" i="15"/>
  <c r="AC29" i="15"/>
  <c r="C30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Z30" i="15"/>
  <c r="AA30" i="15"/>
  <c r="AB30" i="15"/>
  <c r="AC30" i="15"/>
  <c r="C31" i="15"/>
  <c r="D31" i="15"/>
  <c r="E31" i="15"/>
  <c r="F31" i="15"/>
  <c r="G31" i="15"/>
  <c r="H31" i="15"/>
  <c r="I31" i="15"/>
  <c r="J31" i="15"/>
  <c r="K31" i="15"/>
  <c r="L31" i="15"/>
  <c r="M31" i="15"/>
  <c r="N31" i="15"/>
  <c r="O31" i="15"/>
  <c r="P31" i="15"/>
  <c r="Q31" i="15"/>
  <c r="R31" i="15"/>
  <c r="S31" i="15"/>
  <c r="T31" i="15"/>
  <c r="U31" i="15"/>
  <c r="V31" i="15"/>
  <c r="W31" i="15"/>
  <c r="X31" i="15"/>
  <c r="Y31" i="15"/>
  <c r="Z31" i="15"/>
  <c r="AA31" i="15"/>
  <c r="AB31" i="15"/>
  <c r="AC31" i="15"/>
  <c r="C32" i="15"/>
  <c r="D32" i="15"/>
  <c r="E32" i="15"/>
  <c r="F32" i="15"/>
  <c r="G32" i="15"/>
  <c r="H32" i="15"/>
  <c r="I32" i="15"/>
  <c r="J32" i="15"/>
  <c r="K32" i="15"/>
  <c r="L32" i="15"/>
  <c r="M32" i="15"/>
  <c r="N32" i="15"/>
  <c r="O32" i="15"/>
  <c r="P32" i="15"/>
  <c r="Q32" i="15"/>
  <c r="R32" i="15"/>
  <c r="S32" i="15"/>
  <c r="T32" i="15"/>
  <c r="U32" i="15"/>
  <c r="V32" i="15"/>
  <c r="W32" i="15"/>
  <c r="X32" i="15"/>
  <c r="Y32" i="15"/>
  <c r="Z32" i="15"/>
  <c r="AA32" i="15"/>
  <c r="AB32" i="15"/>
  <c r="AC32" i="15"/>
  <c r="C33" i="15"/>
  <c r="D33" i="15"/>
  <c r="E33" i="15"/>
  <c r="F33" i="15"/>
  <c r="G33" i="15"/>
  <c r="H33" i="15"/>
  <c r="I33" i="15"/>
  <c r="J33" i="15"/>
  <c r="K33" i="15"/>
  <c r="L33" i="15"/>
  <c r="M33" i="15"/>
  <c r="N33" i="15"/>
  <c r="O33" i="15"/>
  <c r="P33" i="15"/>
  <c r="Q33" i="15"/>
  <c r="R33" i="15"/>
  <c r="S33" i="15"/>
  <c r="T33" i="15"/>
  <c r="U33" i="15"/>
  <c r="V33" i="15"/>
  <c r="W33" i="15"/>
  <c r="X33" i="15"/>
  <c r="Y33" i="15"/>
  <c r="Z33" i="15"/>
  <c r="AA33" i="15"/>
  <c r="AB33" i="15"/>
  <c r="AC33" i="15"/>
  <c r="C34" i="15"/>
  <c r="D34" i="15"/>
  <c r="E34" i="15"/>
  <c r="F34" i="15"/>
  <c r="G34" i="15"/>
  <c r="H34" i="15"/>
  <c r="I34" i="15"/>
  <c r="J34" i="15"/>
  <c r="K34" i="15"/>
  <c r="L34" i="15"/>
  <c r="M34" i="15"/>
  <c r="N34" i="15"/>
  <c r="O34" i="15"/>
  <c r="P34" i="15"/>
  <c r="Q34" i="15"/>
  <c r="R34" i="15"/>
  <c r="S34" i="15"/>
  <c r="T34" i="15"/>
  <c r="U34" i="15"/>
  <c r="V34" i="15"/>
  <c r="W34" i="15"/>
  <c r="X34" i="15"/>
  <c r="Y34" i="15"/>
  <c r="Z34" i="15"/>
  <c r="AA34" i="15"/>
  <c r="AB34" i="15"/>
  <c r="AC34" i="15"/>
  <c r="C35" i="15"/>
  <c r="D35" i="15"/>
  <c r="E35" i="15"/>
  <c r="F35" i="15"/>
  <c r="G35" i="15"/>
  <c r="H35" i="15"/>
  <c r="I35" i="15"/>
  <c r="J35" i="15"/>
  <c r="K35" i="15"/>
  <c r="L35" i="15"/>
  <c r="M35" i="15"/>
  <c r="N35" i="15"/>
  <c r="O35" i="15"/>
  <c r="P35" i="15"/>
  <c r="Q35" i="15"/>
  <c r="R35" i="15"/>
  <c r="S35" i="15"/>
  <c r="T35" i="15"/>
  <c r="U35" i="15"/>
  <c r="V35" i="15"/>
  <c r="W35" i="15"/>
  <c r="X35" i="15"/>
  <c r="Y35" i="15"/>
  <c r="Z35" i="15"/>
  <c r="AA35" i="15"/>
  <c r="AB35" i="15"/>
  <c r="AC35" i="15"/>
  <c r="C36" i="15"/>
  <c r="D36" i="15"/>
  <c r="E36" i="15"/>
  <c r="F36" i="15"/>
  <c r="G36" i="15"/>
  <c r="H36" i="15"/>
  <c r="I36" i="15"/>
  <c r="J36" i="15"/>
  <c r="K36" i="15"/>
  <c r="L36" i="15"/>
  <c r="M36" i="15"/>
  <c r="N36" i="15"/>
  <c r="O36" i="15"/>
  <c r="P36" i="15"/>
  <c r="Q36" i="15"/>
  <c r="R36" i="15"/>
  <c r="S36" i="15"/>
  <c r="T36" i="15"/>
  <c r="U36" i="15"/>
  <c r="V36" i="15"/>
  <c r="W36" i="15"/>
  <c r="X36" i="15"/>
  <c r="Y36" i="15"/>
  <c r="Z36" i="15"/>
  <c r="AA36" i="15"/>
  <c r="AB36" i="15"/>
  <c r="AC36" i="15"/>
  <c r="C37" i="15"/>
  <c r="D37" i="15"/>
  <c r="E37" i="15"/>
  <c r="F37" i="15"/>
  <c r="G37" i="15"/>
  <c r="H37" i="15"/>
  <c r="I37" i="15"/>
  <c r="J37" i="15"/>
  <c r="K37" i="15"/>
  <c r="L37" i="15"/>
  <c r="M37" i="15"/>
  <c r="N37" i="15"/>
  <c r="O37" i="15"/>
  <c r="P37" i="15"/>
  <c r="Q37" i="15"/>
  <c r="R37" i="15"/>
  <c r="S37" i="15"/>
  <c r="T37" i="15"/>
  <c r="U37" i="15"/>
  <c r="V37" i="15"/>
  <c r="W37" i="15"/>
  <c r="X37" i="15"/>
  <c r="Y37" i="15"/>
  <c r="Z37" i="15"/>
  <c r="AA37" i="15"/>
  <c r="AB37" i="15"/>
  <c r="AC37" i="15"/>
  <c r="C38" i="15"/>
  <c r="D38" i="15"/>
  <c r="E38" i="15"/>
  <c r="F38" i="15"/>
  <c r="G38" i="15"/>
  <c r="H38" i="15"/>
  <c r="I38" i="15"/>
  <c r="J38" i="15"/>
  <c r="K38" i="15"/>
  <c r="L38" i="15"/>
  <c r="M38" i="15"/>
  <c r="N38" i="15"/>
  <c r="O38" i="15"/>
  <c r="P38" i="15"/>
  <c r="Q38" i="15"/>
  <c r="R38" i="15"/>
  <c r="S38" i="15"/>
  <c r="T38" i="15"/>
  <c r="U38" i="15"/>
  <c r="V38" i="15"/>
  <c r="W38" i="15"/>
  <c r="X38" i="15"/>
  <c r="Y38" i="15"/>
  <c r="Z38" i="15"/>
  <c r="AA38" i="15"/>
  <c r="AB38" i="15"/>
  <c r="AC38" i="15"/>
  <c r="C39" i="15"/>
  <c r="D39" i="15"/>
  <c r="E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R39" i="15"/>
  <c r="S39" i="15"/>
  <c r="T39" i="15"/>
  <c r="U39" i="15"/>
  <c r="V39" i="15"/>
  <c r="W39" i="15"/>
  <c r="X39" i="15"/>
  <c r="Y39" i="15"/>
  <c r="Z39" i="15"/>
  <c r="AA39" i="15"/>
  <c r="AB39" i="15"/>
  <c r="AC39" i="15"/>
  <c r="C40" i="15"/>
  <c r="D40" i="15"/>
  <c r="E40" i="15"/>
  <c r="F40" i="15"/>
  <c r="G40" i="15"/>
  <c r="H40" i="15"/>
  <c r="I40" i="15"/>
  <c r="J40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W40" i="15"/>
  <c r="X40" i="15"/>
  <c r="Y40" i="15"/>
  <c r="Z40" i="15"/>
  <c r="AA40" i="15"/>
  <c r="AB40" i="15"/>
  <c r="AC40" i="15"/>
  <c r="C41" i="15"/>
  <c r="D41" i="15"/>
  <c r="E41" i="15"/>
  <c r="F41" i="15"/>
  <c r="G41" i="15"/>
  <c r="H41" i="15"/>
  <c r="I41" i="15"/>
  <c r="J41" i="15"/>
  <c r="K41" i="15"/>
  <c r="L41" i="15"/>
  <c r="M41" i="15"/>
  <c r="N41" i="15"/>
  <c r="O41" i="15"/>
  <c r="P41" i="15"/>
  <c r="Q41" i="15"/>
  <c r="R41" i="15"/>
  <c r="S41" i="15"/>
  <c r="T41" i="15"/>
  <c r="U41" i="15"/>
  <c r="V41" i="15"/>
  <c r="W41" i="15"/>
  <c r="X41" i="15"/>
  <c r="Y41" i="15"/>
  <c r="Z41" i="15"/>
  <c r="AA41" i="15"/>
  <c r="AB41" i="15"/>
  <c r="AC41" i="15"/>
  <c r="C42" i="15"/>
  <c r="D42" i="15"/>
  <c r="E42" i="15"/>
  <c r="F42" i="15"/>
  <c r="G42" i="15"/>
  <c r="H42" i="15"/>
  <c r="I42" i="15"/>
  <c r="J42" i="15"/>
  <c r="K42" i="15"/>
  <c r="L42" i="15"/>
  <c r="M42" i="15"/>
  <c r="N42" i="15"/>
  <c r="O42" i="15"/>
  <c r="P42" i="15"/>
  <c r="Q42" i="15"/>
  <c r="R42" i="15"/>
  <c r="S42" i="15"/>
  <c r="T42" i="15"/>
  <c r="U42" i="15"/>
  <c r="V42" i="15"/>
  <c r="W42" i="15"/>
  <c r="X42" i="15"/>
  <c r="Y42" i="15"/>
  <c r="Z42" i="15"/>
  <c r="AA42" i="15"/>
  <c r="AB42" i="15"/>
  <c r="AC42" i="15"/>
  <c r="C43" i="15"/>
  <c r="D43" i="15"/>
  <c r="E43" i="15"/>
  <c r="F43" i="15"/>
  <c r="G43" i="15"/>
  <c r="H43" i="15"/>
  <c r="I43" i="15"/>
  <c r="J43" i="15"/>
  <c r="K43" i="15"/>
  <c r="L43" i="15"/>
  <c r="M43" i="15"/>
  <c r="N43" i="15"/>
  <c r="O43" i="15"/>
  <c r="P43" i="15"/>
  <c r="Q43" i="15"/>
  <c r="R43" i="15"/>
  <c r="S43" i="15"/>
  <c r="T43" i="15"/>
  <c r="U43" i="15"/>
  <c r="V43" i="15"/>
  <c r="W43" i="15"/>
  <c r="X43" i="15"/>
  <c r="Y43" i="15"/>
  <c r="Z43" i="15"/>
  <c r="AA43" i="15"/>
  <c r="AB43" i="15"/>
  <c r="AC43" i="15"/>
  <c r="C44" i="15"/>
  <c r="D44" i="15"/>
  <c r="E44" i="15"/>
  <c r="F44" i="15"/>
  <c r="G44" i="15"/>
  <c r="H44" i="15"/>
  <c r="I44" i="15"/>
  <c r="J44" i="15"/>
  <c r="K44" i="15"/>
  <c r="L44" i="15"/>
  <c r="M44" i="15"/>
  <c r="N44" i="15"/>
  <c r="O44" i="15"/>
  <c r="P44" i="15"/>
  <c r="Q44" i="15"/>
  <c r="R44" i="15"/>
  <c r="S44" i="15"/>
  <c r="T44" i="15"/>
  <c r="U44" i="15"/>
  <c r="V44" i="15"/>
  <c r="W44" i="15"/>
  <c r="X44" i="15"/>
  <c r="Y44" i="15"/>
  <c r="Z44" i="15"/>
  <c r="AA44" i="15"/>
  <c r="AB44" i="15"/>
  <c r="AC44" i="15"/>
  <c r="C45" i="15"/>
  <c r="D45" i="15"/>
  <c r="E45" i="15"/>
  <c r="F45" i="15"/>
  <c r="G45" i="15"/>
  <c r="H45" i="15"/>
  <c r="I45" i="15"/>
  <c r="J45" i="15"/>
  <c r="K45" i="15"/>
  <c r="L45" i="15"/>
  <c r="M45" i="15"/>
  <c r="N45" i="15"/>
  <c r="O45" i="15"/>
  <c r="P45" i="15"/>
  <c r="Q45" i="15"/>
  <c r="R45" i="15"/>
  <c r="S45" i="15"/>
  <c r="T45" i="15"/>
  <c r="U45" i="15"/>
  <c r="V45" i="15"/>
  <c r="W45" i="15"/>
  <c r="X45" i="15"/>
  <c r="Y45" i="15"/>
  <c r="Z45" i="15"/>
  <c r="AA45" i="15"/>
  <c r="AB45" i="15"/>
  <c r="AC45" i="15"/>
  <c r="C46" i="15"/>
  <c r="D46" i="15"/>
  <c r="E46" i="15"/>
  <c r="F46" i="15"/>
  <c r="G46" i="15"/>
  <c r="H46" i="15"/>
  <c r="I46" i="15"/>
  <c r="J46" i="15"/>
  <c r="K46" i="15"/>
  <c r="L46" i="15"/>
  <c r="M46" i="15"/>
  <c r="N46" i="15"/>
  <c r="O46" i="15"/>
  <c r="P46" i="15"/>
  <c r="Q46" i="15"/>
  <c r="R46" i="15"/>
  <c r="S46" i="15"/>
  <c r="T46" i="15"/>
  <c r="U46" i="15"/>
  <c r="V46" i="15"/>
  <c r="W46" i="15"/>
  <c r="X46" i="15"/>
  <c r="Y46" i="15"/>
  <c r="Z46" i="15"/>
  <c r="AA46" i="15"/>
  <c r="AB46" i="15"/>
  <c r="AC46" i="15"/>
  <c r="C47" i="15"/>
  <c r="D47" i="15"/>
  <c r="E47" i="15"/>
  <c r="F47" i="15"/>
  <c r="G47" i="15"/>
  <c r="H47" i="15"/>
  <c r="I47" i="15"/>
  <c r="J47" i="15"/>
  <c r="K47" i="15"/>
  <c r="L47" i="15"/>
  <c r="M47" i="15"/>
  <c r="N47" i="15"/>
  <c r="O47" i="15"/>
  <c r="P47" i="15"/>
  <c r="Q47" i="15"/>
  <c r="R47" i="15"/>
  <c r="S47" i="15"/>
  <c r="T47" i="15"/>
  <c r="U47" i="15"/>
  <c r="V47" i="15"/>
  <c r="W47" i="15"/>
  <c r="X47" i="15"/>
  <c r="Y47" i="15"/>
  <c r="Z47" i="15"/>
  <c r="AA47" i="15"/>
  <c r="AB47" i="15"/>
  <c r="AC47" i="15"/>
  <c r="C48" i="15"/>
  <c r="D48" i="15"/>
  <c r="E48" i="15"/>
  <c r="F48" i="15"/>
  <c r="G48" i="15"/>
  <c r="H48" i="15"/>
  <c r="I48" i="15"/>
  <c r="J48" i="15"/>
  <c r="K48" i="15"/>
  <c r="L48" i="15"/>
  <c r="M48" i="15"/>
  <c r="N48" i="15"/>
  <c r="O48" i="15"/>
  <c r="P48" i="15"/>
  <c r="Q48" i="15"/>
  <c r="R48" i="15"/>
  <c r="S48" i="15"/>
  <c r="T48" i="15"/>
  <c r="U48" i="15"/>
  <c r="V48" i="15"/>
  <c r="W48" i="15"/>
  <c r="X48" i="15"/>
  <c r="Y48" i="15"/>
  <c r="Z48" i="15"/>
  <c r="AA48" i="15"/>
  <c r="AB48" i="15"/>
  <c r="AC48" i="15"/>
  <c r="C49" i="15"/>
  <c r="D49" i="15"/>
  <c r="E49" i="15"/>
  <c r="F49" i="15"/>
  <c r="G49" i="15"/>
  <c r="H49" i="15"/>
  <c r="I49" i="15"/>
  <c r="J49" i="15"/>
  <c r="K49" i="15"/>
  <c r="L49" i="15"/>
  <c r="M49" i="15"/>
  <c r="N49" i="15"/>
  <c r="O49" i="15"/>
  <c r="P49" i="15"/>
  <c r="Q49" i="15"/>
  <c r="R49" i="15"/>
  <c r="S49" i="15"/>
  <c r="T49" i="15"/>
  <c r="U49" i="15"/>
  <c r="V49" i="15"/>
  <c r="W49" i="15"/>
  <c r="X49" i="15"/>
  <c r="Y49" i="15"/>
  <c r="Z49" i="15"/>
  <c r="AA49" i="15"/>
  <c r="AB49" i="15"/>
  <c r="AC49" i="15"/>
  <c r="C50" i="15"/>
  <c r="D50" i="15"/>
  <c r="E50" i="15"/>
  <c r="F50" i="15"/>
  <c r="G50" i="15"/>
  <c r="H50" i="15"/>
  <c r="I50" i="15"/>
  <c r="J50" i="15"/>
  <c r="K50" i="15"/>
  <c r="L50" i="15"/>
  <c r="M50" i="15"/>
  <c r="N50" i="15"/>
  <c r="O50" i="15"/>
  <c r="P50" i="15"/>
  <c r="Q50" i="15"/>
  <c r="R50" i="15"/>
  <c r="S50" i="15"/>
  <c r="T50" i="15"/>
  <c r="U50" i="15"/>
  <c r="V50" i="15"/>
  <c r="W50" i="15"/>
  <c r="X50" i="15"/>
  <c r="Y50" i="15"/>
  <c r="Z50" i="15"/>
  <c r="AA50" i="15"/>
  <c r="AB50" i="15"/>
  <c r="AC50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3" i="15"/>
  <c r="C1" i="15"/>
  <c r="D1" i="15" s="1"/>
  <c r="E1" i="15" s="1"/>
  <c r="F1" i="15" s="1"/>
  <c r="G1" i="15" s="1"/>
  <c r="H1" i="15" s="1"/>
  <c r="I1" i="15" s="1"/>
  <c r="J1" i="15" s="1"/>
  <c r="K1" i="15" s="1"/>
  <c r="L1" i="15" s="1"/>
  <c r="M1" i="15" s="1"/>
  <c r="N1" i="15" s="1"/>
  <c r="O1" i="15" s="1"/>
  <c r="P1" i="15" s="1"/>
  <c r="Q1" i="15" s="1"/>
  <c r="R1" i="15" s="1"/>
  <c r="S1" i="15" s="1"/>
  <c r="T1" i="15" s="1"/>
  <c r="U1" i="15" s="1"/>
  <c r="V1" i="15" s="1"/>
  <c r="W1" i="15" s="1"/>
  <c r="X1" i="15" s="1"/>
  <c r="Y1" i="15" s="1"/>
  <c r="Z1" i="15" s="1"/>
  <c r="AA1" i="15" s="1"/>
  <c r="AB1" i="15" s="1"/>
  <c r="AC1" i="15" s="1"/>
  <c r="AD1" i="15" s="1"/>
  <c r="AE1" i="15" s="1"/>
  <c r="AF1" i="15" s="1"/>
  <c r="AF2" i="15" s="1"/>
  <c r="B2" i="15"/>
  <c r="C3" i="14"/>
  <c r="D3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B3" i="14"/>
  <c r="AC3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Y4" i="14"/>
  <c r="Z4" i="14"/>
  <c r="AA4" i="14"/>
  <c r="AB4" i="14"/>
  <c r="AC4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AB5" i="14"/>
  <c r="AC5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Y6" i="14"/>
  <c r="Z6" i="14"/>
  <c r="AA6" i="14"/>
  <c r="AB6" i="14"/>
  <c r="AC6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AB8" i="14"/>
  <c r="AC8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AB12" i="14"/>
  <c r="AC12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AA13" i="14"/>
  <c r="AB13" i="14"/>
  <c r="AC13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Y15" i="14"/>
  <c r="Z15" i="14"/>
  <c r="AA15" i="14"/>
  <c r="AB15" i="14"/>
  <c r="AC15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Z16" i="14"/>
  <c r="AA16" i="14"/>
  <c r="AB16" i="14"/>
  <c r="AC16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Y29" i="14"/>
  <c r="Z29" i="14"/>
  <c r="AA29" i="14"/>
  <c r="AB29" i="14"/>
  <c r="AC29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Y30" i="14"/>
  <c r="Z30" i="14"/>
  <c r="AA30" i="14"/>
  <c r="AB30" i="14"/>
  <c r="AC30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Y31" i="14"/>
  <c r="Z31" i="14"/>
  <c r="AA31" i="14"/>
  <c r="AB31" i="14"/>
  <c r="AC31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Y32" i="14"/>
  <c r="Z32" i="14"/>
  <c r="AA32" i="14"/>
  <c r="AB32" i="14"/>
  <c r="AC32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AB33" i="14"/>
  <c r="AC33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Y34" i="14"/>
  <c r="Z34" i="14"/>
  <c r="AA34" i="14"/>
  <c r="AB34" i="14"/>
  <c r="AC34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Y35" i="14"/>
  <c r="Z35" i="14"/>
  <c r="AA35" i="14"/>
  <c r="AB35" i="14"/>
  <c r="AC35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Y36" i="14"/>
  <c r="Z36" i="14"/>
  <c r="AA36" i="14"/>
  <c r="AB36" i="14"/>
  <c r="AC36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Y37" i="14"/>
  <c r="Z37" i="14"/>
  <c r="AA37" i="14"/>
  <c r="AB37" i="14"/>
  <c r="AC37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Y40" i="14"/>
  <c r="Z40" i="14"/>
  <c r="AA40" i="14"/>
  <c r="AB40" i="14"/>
  <c r="AC40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Y42" i="14"/>
  <c r="Z42" i="14"/>
  <c r="AA42" i="14"/>
  <c r="AB42" i="14"/>
  <c r="AC42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Y43" i="14"/>
  <c r="Z43" i="14"/>
  <c r="AA43" i="14"/>
  <c r="AB43" i="14"/>
  <c r="AC43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Y45" i="14"/>
  <c r="Z45" i="14"/>
  <c r="AA45" i="14"/>
  <c r="AB45" i="14"/>
  <c r="AC45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Y46" i="14"/>
  <c r="Z46" i="14"/>
  <c r="AA46" i="14"/>
  <c r="AB46" i="14"/>
  <c r="AC46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Y47" i="14"/>
  <c r="Z47" i="14"/>
  <c r="AA47" i="14"/>
  <c r="AB47" i="14"/>
  <c r="AC47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Y48" i="14"/>
  <c r="Z48" i="14"/>
  <c r="AA48" i="14"/>
  <c r="AB48" i="14"/>
  <c r="AC48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Y49" i="14"/>
  <c r="Z49" i="14"/>
  <c r="AA49" i="14"/>
  <c r="AB49" i="14"/>
  <c r="AC49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Y50" i="14"/>
  <c r="Z50" i="14"/>
  <c r="AA50" i="14"/>
  <c r="AB50" i="14"/>
  <c r="AC50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3" i="14"/>
  <c r="C1" i="14"/>
  <c r="D1" i="14" s="1"/>
  <c r="E1" i="14" s="1"/>
  <c r="F1" i="14" s="1"/>
  <c r="G1" i="14" s="1"/>
  <c r="H1" i="14" s="1"/>
  <c r="I1" i="14" s="1"/>
  <c r="J1" i="14" s="1"/>
  <c r="K1" i="14" s="1"/>
  <c r="L1" i="14" s="1"/>
  <c r="M1" i="14" s="1"/>
  <c r="N1" i="14" s="1"/>
  <c r="O1" i="14" s="1"/>
  <c r="P1" i="14" s="1"/>
  <c r="Q1" i="14" s="1"/>
  <c r="R1" i="14" s="1"/>
  <c r="S1" i="14" s="1"/>
  <c r="T1" i="14" s="1"/>
  <c r="U1" i="14" s="1"/>
  <c r="V1" i="14" s="1"/>
  <c r="W1" i="14" s="1"/>
  <c r="X1" i="14" s="1"/>
  <c r="Y1" i="14" s="1"/>
  <c r="Z1" i="14" s="1"/>
  <c r="AA1" i="14" s="1"/>
  <c r="AB1" i="14" s="1"/>
  <c r="AC1" i="14" s="1"/>
  <c r="AD1" i="14" s="1"/>
  <c r="AE1" i="14" s="1"/>
  <c r="AF1" i="14" s="1"/>
  <c r="B2" i="14"/>
  <c r="B2" i="5"/>
  <c r="C19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C30" i="13"/>
  <c r="D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C31" i="13"/>
  <c r="D31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C32" i="13"/>
  <c r="D32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AB43" i="13"/>
  <c r="AC43" i="13"/>
  <c r="AD43" i="13"/>
  <c r="AE43" i="13"/>
  <c r="AF43" i="13"/>
  <c r="C44" i="13"/>
  <c r="D44" i="13"/>
  <c r="E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C46" i="13"/>
  <c r="D46" i="13"/>
  <c r="E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C48" i="13"/>
  <c r="D48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19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E9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E7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E6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E5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B2" i="13"/>
  <c r="B2" i="11"/>
  <c r="B2" i="10"/>
  <c r="E2" i="4"/>
  <c r="D2" i="4"/>
  <c r="C2" i="4"/>
  <c r="B2" i="12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B50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3" i="11"/>
  <c r="C3" i="10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C3" i="10"/>
  <c r="AD3" i="10"/>
  <c r="AE3" i="10"/>
  <c r="C4" i="10"/>
  <c r="D4" i="10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AA4" i="10"/>
  <c r="AB4" i="10"/>
  <c r="AC4" i="10"/>
  <c r="AD4" i="10"/>
  <c r="AE4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3" i="10"/>
  <c r="E1" i="7" l="1"/>
  <c r="D2" i="7"/>
  <c r="D1" i="17"/>
  <c r="D2" i="17" s="1"/>
  <c r="D50" i="17" s="1"/>
  <c r="F1" i="10"/>
  <c r="F2" i="10" s="1"/>
  <c r="F1" i="11"/>
  <c r="F2" i="11" s="1"/>
  <c r="F2" i="4"/>
  <c r="C2" i="14"/>
  <c r="C2" i="15"/>
  <c r="H1" i="4"/>
  <c r="G1" i="11"/>
  <c r="G2" i="11" s="1"/>
  <c r="G1" i="10"/>
  <c r="G2" i="10" s="1"/>
  <c r="B51" i="11"/>
  <c r="E2" i="5"/>
  <c r="F1" i="5"/>
  <c r="D1" i="2"/>
  <c r="D1" i="13"/>
  <c r="D2" i="13" s="1"/>
  <c r="E1" i="6"/>
  <c r="E2" i="18" s="1"/>
  <c r="D1" i="12"/>
  <c r="D2" i="12" s="1"/>
  <c r="D1" i="1"/>
  <c r="AE51" i="10"/>
  <c r="AD51" i="10"/>
  <c r="AC51" i="10"/>
  <c r="AE51" i="13"/>
  <c r="Y51" i="13"/>
  <c r="S51" i="13"/>
  <c r="M51" i="13"/>
  <c r="G51" i="13"/>
  <c r="AD51" i="13"/>
  <c r="X51" i="13"/>
  <c r="R51" i="13"/>
  <c r="L51" i="13"/>
  <c r="F51" i="13"/>
  <c r="AC51" i="13"/>
  <c r="W51" i="13"/>
  <c r="Q51" i="13"/>
  <c r="K51" i="13"/>
  <c r="E51" i="13"/>
  <c r="B51" i="13"/>
  <c r="AB51" i="13"/>
  <c r="V51" i="13"/>
  <c r="P51" i="13"/>
  <c r="J51" i="13"/>
  <c r="D51" i="13"/>
  <c r="AA51" i="13"/>
  <c r="U51" i="13"/>
  <c r="O51" i="13"/>
  <c r="I51" i="13"/>
  <c r="C51" i="13"/>
  <c r="AF51" i="13"/>
  <c r="Z51" i="13"/>
  <c r="T51" i="13"/>
  <c r="N51" i="13"/>
  <c r="H51" i="13"/>
  <c r="AB51" i="10"/>
  <c r="V51" i="10"/>
  <c r="P51" i="10"/>
  <c r="J51" i="10"/>
  <c r="D51" i="10"/>
  <c r="AA51" i="10"/>
  <c r="U51" i="10"/>
  <c r="O51" i="10"/>
  <c r="I51" i="10"/>
  <c r="C51" i="10"/>
  <c r="Z51" i="10"/>
  <c r="T51" i="10"/>
  <c r="N51" i="10"/>
  <c r="H51" i="10"/>
  <c r="B51" i="10"/>
  <c r="Y51" i="10"/>
  <c r="S51" i="10"/>
  <c r="M51" i="10"/>
  <c r="G51" i="10"/>
  <c r="X51" i="10"/>
  <c r="R51" i="10"/>
  <c r="L51" i="10"/>
  <c r="F51" i="10"/>
  <c r="W51" i="10"/>
  <c r="Q51" i="10"/>
  <c r="K51" i="10"/>
  <c r="E51" i="10"/>
  <c r="B51" i="14"/>
  <c r="AF51" i="14"/>
  <c r="T51" i="14"/>
  <c r="E51" i="15"/>
  <c r="W51" i="14"/>
  <c r="Q51" i="14"/>
  <c r="E51" i="14"/>
  <c r="AF51" i="15"/>
  <c r="T51" i="15"/>
  <c r="N51" i="15"/>
  <c r="AB51" i="14"/>
  <c r="V51" i="14"/>
  <c r="P51" i="14"/>
  <c r="J51" i="14"/>
  <c r="D51" i="14"/>
  <c r="AE51" i="15"/>
  <c r="Y51" i="15"/>
  <c r="S51" i="15"/>
  <c r="M51" i="15"/>
  <c r="G51" i="15"/>
  <c r="H51" i="14"/>
  <c r="K51" i="15"/>
  <c r="AC51" i="14"/>
  <c r="K51" i="14"/>
  <c r="B51" i="15"/>
  <c r="Z51" i="15"/>
  <c r="H51" i="15"/>
  <c r="AA51" i="14"/>
  <c r="U51" i="14"/>
  <c r="O51" i="14"/>
  <c r="I51" i="14"/>
  <c r="C51" i="14"/>
  <c r="AD51" i="15"/>
  <c r="X51" i="15"/>
  <c r="R51" i="15"/>
  <c r="L51" i="15"/>
  <c r="F51" i="15"/>
  <c r="Z51" i="14"/>
  <c r="N51" i="14"/>
  <c r="AC51" i="15"/>
  <c r="W51" i="15"/>
  <c r="Q51" i="15"/>
  <c r="AE51" i="14"/>
  <c r="Y51" i="14"/>
  <c r="S51" i="14"/>
  <c r="M51" i="14"/>
  <c r="G51" i="14"/>
  <c r="AB51" i="15"/>
  <c r="V51" i="15"/>
  <c r="P51" i="15"/>
  <c r="J51" i="15"/>
  <c r="D51" i="15"/>
  <c r="AD51" i="14"/>
  <c r="X51" i="14"/>
  <c r="R51" i="14"/>
  <c r="L51" i="14"/>
  <c r="F51" i="14"/>
  <c r="AA51" i="15"/>
  <c r="U51" i="15"/>
  <c r="O51" i="15"/>
  <c r="I51" i="15"/>
  <c r="C51" i="15"/>
  <c r="D2" i="15"/>
  <c r="E2" i="14"/>
  <c r="D2" i="14"/>
  <c r="AA51" i="11"/>
  <c r="C51" i="11"/>
  <c r="H51" i="11"/>
  <c r="AE51" i="11"/>
  <c r="Y51" i="11"/>
  <c r="S51" i="11"/>
  <c r="M51" i="11"/>
  <c r="G51" i="11"/>
  <c r="O51" i="11"/>
  <c r="N51" i="11"/>
  <c r="AD51" i="11"/>
  <c r="X51" i="11"/>
  <c r="R51" i="11"/>
  <c r="L51" i="11"/>
  <c r="F51" i="11"/>
  <c r="U51" i="11"/>
  <c r="Z51" i="11"/>
  <c r="AC51" i="11"/>
  <c r="W51" i="11"/>
  <c r="Q51" i="11"/>
  <c r="K51" i="11"/>
  <c r="E51" i="11"/>
  <c r="I51" i="11"/>
  <c r="T51" i="11"/>
  <c r="AB51" i="11"/>
  <c r="V51" i="11"/>
  <c r="P51" i="11"/>
  <c r="J51" i="11"/>
  <c r="D51" i="11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C5" i="12"/>
  <c r="D5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C6" i="12"/>
  <c r="D6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C8" i="12"/>
  <c r="D8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C9" i="12"/>
  <c r="D9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C13" i="12"/>
  <c r="D13" i="12"/>
  <c r="E13" i="12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D19" i="12"/>
  <c r="AE19" i="12"/>
  <c r="AD20" i="12"/>
  <c r="AE20" i="12"/>
  <c r="AD21" i="12"/>
  <c r="AE21" i="12"/>
  <c r="AD22" i="12"/>
  <c r="AE22" i="12"/>
  <c r="AD23" i="12"/>
  <c r="AE23" i="12"/>
  <c r="AD24" i="12"/>
  <c r="AE24" i="12"/>
  <c r="AD25" i="12"/>
  <c r="AE25" i="12"/>
  <c r="AD26" i="12"/>
  <c r="AE26" i="12"/>
  <c r="AD27" i="12"/>
  <c r="AE27" i="12"/>
  <c r="AD28" i="12"/>
  <c r="AE28" i="12"/>
  <c r="AD29" i="12"/>
  <c r="AE29" i="12"/>
  <c r="AD30" i="12"/>
  <c r="AE30" i="12"/>
  <c r="AD31" i="12"/>
  <c r="AE31" i="12"/>
  <c r="AD32" i="12"/>
  <c r="AE32" i="12"/>
  <c r="AD33" i="12"/>
  <c r="AE33" i="12"/>
  <c r="AD34" i="12"/>
  <c r="AE34" i="12"/>
  <c r="AD35" i="12"/>
  <c r="AE35" i="12"/>
  <c r="AD36" i="12"/>
  <c r="AE36" i="12"/>
  <c r="AD37" i="12"/>
  <c r="AE37" i="12"/>
  <c r="AD38" i="12"/>
  <c r="AE38" i="12"/>
  <c r="AD39" i="12"/>
  <c r="AE39" i="12"/>
  <c r="AD40" i="12"/>
  <c r="AE40" i="12"/>
  <c r="AD41" i="12"/>
  <c r="AE41" i="12"/>
  <c r="AD42" i="12"/>
  <c r="AE42" i="12"/>
  <c r="AD43" i="12"/>
  <c r="AE43" i="12"/>
  <c r="AD44" i="12"/>
  <c r="AE44" i="12"/>
  <c r="AD45" i="12"/>
  <c r="AE45" i="12"/>
  <c r="AD46" i="12"/>
  <c r="AE46" i="12"/>
  <c r="AD47" i="12"/>
  <c r="AE47" i="12"/>
  <c r="AD48" i="12"/>
  <c r="AE48" i="12"/>
  <c r="C49" i="12"/>
  <c r="D49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C50" i="12"/>
  <c r="D50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49" i="12"/>
  <c r="B50" i="12"/>
  <c r="B3" i="12"/>
  <c r="E1" i="13" l="1"/>
  <c r="E2" i="13" s="1"/>
  <c r="E1" i="2"/>
  <c r="F1" i="7"/>
  <c r="AG51" i="14"/>
  <c r="AG51" i="10"/>
  <c r="F2" i="7"/>
  <c r="F1" i="17"/>
  <c r="F2" i="17" s="1"/>
  <c r="F50" i="17" s="1"/>
  <c r="E1" i="17"/>
  <c r="E2" i="17" s="1"/>
  <c r="E50" i="17" s="1"/>
  <c r="E2" i="7"/>
  <c r="AG51" i="11"/>
  <c r="AG51" i="15"/>
  <c r="AG51" i="13"/>
  <c r="H1" i="10"/>
  <c r="H2" i="10" s="1"/>
  <c r="I1" i="4"/>
  <c r="H1" i="11"/>
  <c r="H2" i="11" s="1"/>
  <c r="H2" i="4"/>
  <c r="G1" i="5"/>
  <c r="F2" i="5"/>
  <c r="G1" i="7"/>
  <c r="F1" i="13"/>
  <c r="F2" i="13" s="1"/>
  <c r="F1" i="2"/>
  <c r="F2" i="2" s="1"/>
  <c r="F50" i="2" s="1"/>
  <c r="E1" i="1"/>
  <c r="E1" i="12"/>
  <c r="E2" i="12" s="1"/>
  <c r="E2" i="6"/>
  <c r="F1" i="6"/>
  <c r="F2" i="18" s="1"/>
  <c r="U51" i="12"/>
  <c r="Z51" i="12"/>
  <c r="T51" i="12"/>
  <c r="N51" i="12"/>
  <c r="H51" i="12"/>
  <c r="AA51" i="12"/>
  <c r="I51" i="12"/>
  <c r="AE51" i="12"/>
  <c r="Y51" i="12"/>
  <c r="S51" i="12"/>
  <c r="M51" i="12"/>
  <c r="G51" i="12"/>
  <c r="O51" i="12"/>
  <c r="AD51" i="12"/>
  <c r="X51" i="12"/>
  <c r="R51" i="12"/>
  <c r="L51" i="12"/>
  <c r="F51" i="12"/>
  <c r="C51" i="12"/>
  <c r="AC51" i="12"/>
  <c r="W51" i="12"/>
  <c r="Q51" i="12"/>
  <c r="K51" i="12"/>
  <c r="E51" i="12"/>
  <c r="B51" i="12"/>
  <c r="AB51" i="12"/>
  <c r="V51" i="12"/>
  <c r="P51" i="12"/>
  <c r="J51" i="12"/>
  <c r="D51" i="12"/>
  <c r="E2" i="15"/>
  <c r="F2" i="14"/>
  <c r="C2" i="2"/>
  <c r="C50" i="2" s="1"/>
  <c r="D2" i="2"/>
  <c r="D50" i="2" s="1"/>
  <c r="E2" i="2"/>
  <c r="E50" i="2" s="1"/>
  <c r="B2" i="2"/>
  <c r="B50" i="2" s="1"/>
  <c r="C2" i="1"/>
  <c r="D2" i="1"/>
  <c r="E2" i="1"/>
  <c r="B2" i="1"/>
  <c r="G1" i="17" l="1"/>
  <c r="G2" i="17" s="1"/>
  <c r="G50" i="17" s="1"/>
  <c r="G2" i="7"/>
  <c r="AG51" i="12"/>
  <c r="J1" i="4"/>
  <c r="I1" i="11"/>
  <c r="I2" i="11" s="1"/>
  <c r="I1" i="10"/>
  <c r="I2" i="10" s="1"/>
  <c r="I2" i="4"/>
  <c r="H1" i="5"/>
  <c r="G2" i="5"/>
  <c r="G1" i="13"/>
  <c r="G2" i="13" s="1"/>
  <c r="G1" i="2"/>
  <c r="G2" i="2" s="1"/>
  <c r="G50" i="2" s="1"/>
  <c r="H1" i="7"/>
  <c r="F1" i="12"/>
  <c r="F2" i="12" s="1"/>
  <c r="F1" i="1"/>
  <c r="F2" i="1" s="1"/>
  <c r="G1" i="6"/>
  <c r="G2" i="18" s="1"/>
  <c r="F2" i="6"/>
  <c r="F2" i="15"/>
  <c r="G2" i="14"/>
  <c r="H1" i="17" l="1"/>
  <c r="H2" i="17" s="1"/>
  <c r="H50" i="17" s="1"/>
  <c r="H2" i="7"/>
  <c r="J1" i="10"/>
  <c r="J2" i="10" s="1"/>
  <c r="K1" i="4"/>
  <c r="J1" i="11"/>
  <c r="J2" i="11" s="1"/>
  <c r="J2" i="4"/>
  <c r="I1" i="5"/>
  <c r="H2" i="5"/>
  <c r="H1" i="13"/>
  <c r="H2" i="13" s="1"/>
  <c r="H1" i="2"/>
  <c r="H2" i="2" s="1"/>
  <c r="H50" i="2" s="1"/>
  <c r="I1" i="7"/>
  <c r="G1" i="12"/>
  <c r="G2" i="12" s="1"/>
  <c r="G1" i="1"/>
  <c r="G2" i="1" s="1"/>
  <c r="H1" i="6"/>
  <c r="H2" i="18" s="1"/>
  <c r="G2" i="6"/>
  <c r="G2" i="15"/>
  <c r="H2" i="14"/>
  <c r="I1" i="17" l="1"/>
  <c r="I2" i="17" s="1"/>
  <c r="I50" i="17" s="1"/>
  <c r="I2" i="7"/>
  <c r="L1" i="4"/>
  <c r="K1" i="11"/>
  <c r="K2" i="11" s="1"/>
  <c r="K1" i="10"/>
  <c r="K2" i="10" s="1"/>
  <c r="K2" i="4"/>
  <c r="J1" i="5"/>
  <c r="I2" i="5"/>
  <c r="I1" i="13"/>
  <c r="I2" i="13" s="1"/>
  <c r="I1" i="2"/>
  <c r="I2" i="2" s="1"/>
  <c r="I50" i="2" s="1"/>
  <c r="J1" i="7"/>
  <c r="H1" i="12"/>
  <c r="H2" i="12" s="1"/>
  <c r="H1" i="1"/>
  <c r="H2" i="1" s="1"/>
  <c r="H2" i="6"/>
  <c r="I1" i="6"/>
  <c r="I2" i="18" s="1"/>
  <c r="H2" i="15"/>
  <c r="I2" i="14"/>
  <c r="J2" i="7" l="1"/>
  <c r="J1" i="17"/>
  <c r="J2" i="17" s="1"/>
  <c r="J50" i="17" s="1"/>
  <c r="M1" i="4"/>
  <c r="L1" i="11"/>
  <c r="L2" i="11" s="1"/>
  <c r="L1" i="10"/>
  <c r="L2" i="10" s="1"/>
  <c r="L2" i="4"/>
  <c r="K1" i="5"/>
  <c r="J2" i="5"/>
  <c r="J1" i="2"/>
  <c r="J2" i="2" s="1"/>
  <c r="J50" i="2" s="1"/>
  <c r="J1" i="13"/>
  <c r="J2" i="13" s="1"/>
  <c r="K1" i="7"/>
  <c r="I1" i="12"/>
  <c r="I2" i="12" s="1"/>
  <c r="I1" i="1"/>
  <c r="I2" i="1" s="1"/>
  <c r="I2" i="6"/>
  <c r="J1" i="6"/>
  <c r="J2" i="18" s="1"/>
  <c r="I2" i="15"/>
  <c r="J2" i="14"/>
  <c r="K1" i="17" l="1"/>
  <c r="K2" i="17" s="1"/>
  <c r="K50" i="17" s="1"/>
  <c r="K2" i="7"/>
  <c r="N1" i="4"/>
  <c r="M1" i="11"/>
  <c r="M2" i="11" s="1"/>
  <c r="M1" i="10"/>
  <c r="M2" i="10" s="1"/>
  <c r="M2" i="4"/>
  <c r="L1" i="5"/>
  <c r="K2" i="5"/>
  <c r="K1" i="13"/>
  <c r="K2" i="13" s="1"/>
  <c r="K1" i="2"/>
  <c r="K2" i="2" s="1"/>
  <c r="K50" i="2" s="1"/>
  <c r="L1" i="7"/>
  <c r="J1" i="1"/>
  <c r="J2" i="1" s="1"/>
  <c r="J1" i="12"/>
  <c r="J2" i="12" s="1"/>
  <c r="K1" i="6"/>
  <c r="K2" i="18" s="1"/>
  <c r="J2" i="6"/>
  <c r="J2" i="15"/>
  <c r="K2" i="14"/>
  <c r="L2" i="7" l="1"/>
  <c r="L1" i="17"/>
  <c r="L2" i="17" s="1"/>
  <c r="L50" i="17" s="1"/>
  <c r="N1" i="10"/>
  <c r="N2" i="10" s="1"/>
  <c r="O1" i="4"/>
  <c r="N1" i="11"/>
  <c r="N2" i="11" s="1"/>
  <c r="N2" i="4"/>
  <c r="M1" i="5"/>
  <c r="L2" i="5"/>
  <c r="L1" i="13"/>
  <c r="L2" i="13" s="1"/>
  <c r="L1" i="2"/>
  <c r="L2" i="2" s="1"/>
  <c r="L50" i="2" s="1"/>
  <c r="M1" i="7"/>
  <c r="K1" i="1"/>
  <c r="K2" i="1" s="1"/>
  <c r="K1" i="12"/>
  <c r="K2" i="12" s="1"/>
  <c r="K2" i="6"/>
  <c r="L1" i="6"/>
  <c r="L2" i="18" s="1"/>
  <c r="K2" i="15"/>
  <c r="L2" i="14"/>
  <c r="M1" i="17" l="1"/>
  <c r="M2" i="17" s="1"/>
  <c r="M50" i="17" s="1"/>
  <c r="M2" i="7"/>
  <c r="P1" i="4"/>
  <c r="O1" i="11"/>
  <c r="O2" i="11" s="1"/>
  <c r="O1" i="10"/>
  <c r="O2" i="10" s="1"/>
  <c r="O2" i="4"/>
  <c r="N1" i="5"/>
  <c r="M2" i="5"/>
  <c r="M1" i="13"/>
  <c r="M2" i="13" s="1"/>
  <c r="M1" i="2"/>
  <c r="M2" i="2" s="1"/>
  <c r="M50" i="2" s="1"/>
  <c r="N1" i="7"/>
  <c r="L1" i="12"/>
  <c r="L2" i="12" s="1"/>
  <c r="L1" i="1"/>
  <c r="L2" i="1" s="1"/>
  <c r="M1" i="6"/>
  <c r="M2" i="18" s="1"/>
  <c r="L2" i="6"/>
  <c r="L2" i="15"/>
  <c r="M2" i="14"/>
  <c r="N1" i="17" l="1"/>
  <c r="N2" i="17" s="1"/>
  <c r="N50" i="17" s="1"/>
  <c r="N2" i="7"/>
  <c r="P1" i="10"/>
  <c r="P2" i="10" s="1"/>
  <c r="Q1" i="4"/>
  <c r="P1" i="11"/>
  <c r="P2" i="11" s="1"/>
  <c r="P2" i="4"/>
  <c r="O1" i="5"/>
  <c r="N2" i="5"/>
  <c r="N1" i="2"/>
  <c r="N2" i="2" s="1"/>
  <c r="N50" i="2" s="1"/>
  <c r="N1" i="13"/>
  <c r="N2" i="13" s="1"/>
  <c r="O1" i="7"/>
  <c r="M1" i="1"/>
  <c r="M2" i="1" s="1"/>
  <c r="M1" i="12"/>
  <c r="M2" i="12" s="1"/>
  <c r="N1" i="6"/>
  <c r="N2" i="18" s="1"/>
  <c r="M2" i="6"/>
  <c r="M2" i="15"/>
  <c r="N2" i="14"/>
  <c r="O1" i="17" l="1"/>
  <c r="O2" i="17" s="1"/>
  <c r="O50" i="17" s="1"/>
  <c r="O2" i="7"/>
  <c r="R1" i="4"/>
  <c r="Q1" i="11"/>
  <c r="Q2" i="11" s="1"/>
  <c r="Q1" i="10"/>
  <c r="Q2" i="10" s="1"/>
  <c r="Q2" i="4"/>
  <c r="P1" i="5"/>
  <c r="O2" i="5"/>
  <c r="O1" i="13"/>
  <c r="O2" i="13" s="1"/>
  <c r="O1" i="2"/>
  <c r="O2" i="2" s="1"/>
  <c r="O50" i="2" s="1"/>
  <c r="P1" i="7"/>
  <c r="N1" i="12"/>
  <c r="N2" i="12" s="1"/>
  <c r="N1" i="1"/>
  <c r="N2" i="1" s="1"/>
  <c r="N2" i="6"/>
  <c r="O1" i="6"/>
  <c r="O2" i="18" s="1"/>
  <c r="N2" i="15"/>
  <c r="O2" i="14"/>
  <c r="P2" i="7" l="1"/>
  <c r="P1" i="17"/>
  <c r="P2" i="17" s="1"/>
  <c r="P50" i="17" s="1"/>
  <c r="S1" i="4"/>
  <c r="R1" i="11"/>
  <c r="R2" i="11" s="1"/>
  <c r="R1" i="10"/>
  <c r="R2" i="10" s="1"/>
  <c r="R2" i="4"/>
  <c r="Q1" i="5"/>
  <c r="P2" i="5"/>
  <c r="P1" i="2"/>
  <c r="P2" i="2" s="1"/>
  <c r="P50" i="2" s="1"/>
  <c r="P1" i="13"/>
  <c r="P2" i="13" s="1"/>
  <c r="Q1" i="7"/>
  <c r="O1" i="12"/>
  <c r="O2" i="12" s="1"/>
  <c r="O1" i="1"/>
  <c r="O2" i="1" s="1"/>
  <c r="P1" i="6"/>
  <c r="P2" i="18" s="1"/>
  <c r="O2" i="6"/>
  <c r="O2" i="15"/>
  <c r="P2" i="14"/>
  <c r="Q1" i="17" l="1"/>
  <c r="Q2" i="17" s="1"/>
  <c r="Q50" i="17" s="1"/>
  <c r="Q2" i="7"/>
  <c r="T1" i="4"/>
  <c r="S1" i="11"/>
  <c r="S2" i="11" s="1"/>
  <c r="S1" i="10"/>
  <c r="S2" i="10" s="1"/>
  <c r="S2" i="4"/>
  <c r="R1" i="5"/>
  <c r="Q2" i="5"/>
  <c r="Q1" i="13"/>
  <c r="Q2" i="13" s="1"/>
  <c r="Q1" i="2"/>
  <c r="Q2" i="2" s="1"/>
  <c r="Q50" i="2" s="1"/>
  <c r="R1" i="7"/>
  <c r="P1" i="12"/>
  <c r="P2" i="12" s="1"/>
  <c r="P1" i="1"/>
  <c r="P2" i="1" s="1"/>
  <c r="Q1" i="6"/>
  <c r="Q2" i="18" s="1"/>
  <c r="P2" i="6"/>
  <c r="P2" i="15"/>
  <c r="Q2" i="14"/>
  <c r="R2" i="7" l="1"/>
  <c r="R1" i="17"/>
  <c r="R2" i="17" s="1"/>
  <c r="R50" i="17" s="1"/>
  <c r="T1" i="10"/>
  <c r="T2" i="10" s="1"/>
  <c r="U1" i="4"/>
  <c r="T1" i="11"/>
  <c r="T2" i="11" s="1"/>
  <c r="T2" i="4"/>
  <c r="S1" i="5"/>
  <c r="R2" i="5"/>
  <c r="R1" i="13"/>
  <c r="R2" i="13" s="1"/>
  <c r="R1" i="2"/>
  <c r="R2" i="2" s="1"/>
  <c r="R50" i="2" s="1"/>
  <c r="S1" i="7"/>
  <c r="Q1" i="1"/>
  <c r="Q2" i="1" s="1"/>
  <c r="Q1" i="12"/>
  <c r="Q2" i="12" s="1"/>
  <c r="R1" i="6"/>
  <c r="R2" i="18" s="1"/>
  <c r="Q2" i="6"/>
  <c r="Q2" i="15"/>
  <c r="R2" i="14"/>
  <c r="S1" i="17" l="1"/>
  <c r="S2" i="17" s="1"/>
  <c r="S50" i="17" s="1"/>
  <c r="S2" i="7"/>
  <c r="V1" i="4"/>
  <c r="U1" i="11"/>
  <c r="U2" i="11" s="1"/>
  <c r="U1" i="10"/>
  <c r="U2" i="10" s="1"/>
  <c r="U2" i="4"/>
  <c r="T1" i="5"/>
  <c r="S2" i="5"/>
  <c r="S1" i="13"/>
  <c r="S2" i="13" s="1"/>
  <c r="S1" i="2"/>
  <c r="S2" i="2" s="1"/>
  <c r="S50" i="2" s="1"/>
  <c r="T1" i="7"/>
  <c r="R1" i="12"/>
  <c r="R2" i="12" s="1"/>
  <c r="R1" i="1"/>
  <c r="R2" i="1" s="1"/>
  <c r="R2" i="6"/>
  <c r="S1" i="6"/>
  <c r="S2" i="18" s="1"/>
  <c r="R2" i="15"/>
  <c r="S2" i="14"/>
  <c r="T1" i="17" l="1"/>
  <c r="T2" i="17" s="1"/>
  <c r="T50" i="17" s="1"/>
  <c r="T2" i="7"/>
  <c r="V1" i="10"/>
  <c r="V2" i="10" s="1"/>
  <c r="W1" i="4"/>
  <c r="V1" i="11"/>
  <c r="V2" i="11" s="1"/>
  <c r="V2" i="4"/>
  <c r="U1" i="5"/>
  <c r="T2" i="5"/>
  <c r="T1" i="2"/>
  <c r="T2" i="2" s="1"/>
  <c r="T50" i="2" s="1"/>
  <c r="T1" i="13"/>
  <c r="T2" i="13" s="1"/>
  <c r="U1" i="7"/>
  <c r="S1" i="12"/>
  <c r="S2" i="12" s="1"/>
  <c r="S1" i="1"/>
  <c r="S2" i="1" s="1"/>
  <c r="S2" i="6"/>
  <c r="T1" i="6"/>
  <c r="T2" i="18" s="1"/>
  <c r="S2" i="15"/>
  <c r="T2" i="14"/>
  <c r="U1" i="17" l="1"/>
  <c r="U2" i="17" s="1"/>
  <c r="U50" i="17" s="1"/>
  <c r="U2" i="7"/>
  <c r="X1" i="4"/>
  <c r="W1" i="11"/>
  <c r="W2" i="11" s="1"/>
  <c r="W1" i="10"/>
  <c r="W2" i="10" s="1"/>
  <c r="W2" i="4"/>
  <c r="V1" i="5"/>
  <c r="U2" i="5"/>
  <c r="U1" i="13"/>
  <c r="U2" i="13" s="1"/>
  <c r="U1" i="2"/>
  <c r="U2" i="2" s="1"/>
  <c r="U50" i="2" s="1"/>
  <c r="V1" i="7"/>
  <c r="T1" i="12"/>
  <c r="T2" i="12" s="1"/>
  <c r="T1" i="1"/>
  <c r="T2" i="1" s="1"/>
  <c r="U1" i="6"/>
  <c r="U2" i="18" s="1"/>
  <c r="T2" i="6"/>
  <c r="T2" i="15"/>
  <c r="U2" i="14"/>
  <c r="V2" i="7" l="1"/>
  <c r="V1" i="17"/>
  <c r="V2" i="17" s="1"/>
  <c r="V50" i="17" s="1"/>
  <c r="Y1" i="4"/>
  <c r="X1" i="11"/>
  <c r="X2" i="11" s="1"/>
  <c r="X1" i="10"/>
  <c r="X2" i="10" s="1"/>
  <c r="X2" i="4"/>
  <c r="W1" i="5"/>
  <c r="V2" i="5"/>
  <c r="V1" i="2"/>
  <c r="V2" i="2" s="1"/>
  <c r="V50" i="2" s="1"/>
  <c r="V1" i="13"/>
  <c r="V2" i="13" s="1"/>
  <c r="W1" i="7"/>
  <c r="U1" i="12"/>
  <c r="U2" i="12" s="1"/>
  <c r="U1" i="1"/>
  <c r="U2" i="1" s="1"/>
  <c r="V1" i="6"/>
  <c r="V2" i="18" s="1"/>
  <c r="U2" i="6"/>
  <c r="U2" i="15"/>
  <c r="V2" i="14"/>
  <c r="W1" i="17" l="1"/>
  <c r="W2" i="17" s="1"/>
  <c r="W50" i="17" s="1"/>
  <c r="W2" i="7"/>
  <c r="Z1" i="4"/>
  <c r="Y1" i="11"/>
  <c r="Y2" i="11" s="1"/>
  <c r="Y1" i="10"/>
  <c r="Y2" i="10" s="1"/>
  <c r="Y2" i="4"/>
  <c r="X1" i="5"/>
  <c r="W2" i="5"/>
  <c r="W1" i="13"/>
  <c r="W2" i="13" s="1"/>
  <c r="W1" i="2"/>
  <c r="W2" i="2" s="1"/>
  <c r="W50" i="2" s="1"/>
  <c r="X1" i="7"/>
  <c r="V1" i="12"/>
  <c r="V2" i="12" s="1"/>
  <c r="V1" i="1"/>
  <c r="V2" i="1" s="1"/>
  <c r="W1" i="6"/>
  <c r="W2" i="18" s="1"/>
  <c r="V2" i="6"/>
  <c r="V2" i="15"/>
  <c r="W2" i="14"/>
  <c r="X2" i="7" l="1"/>
  <c r="X1" i="17"/>
  <c r="X2" i="17" s="1"/>
  <c r="X50" i="17" s="1"/>
  <c r="Z1" i="10"/>
  <c r="Z2" i="10" s="1"/>
  <c r="AA1" i="4"/>
  <c r="Z1" i="11"/>
  <c r="Z2" i="11" s="1"/>
  <c r="Z2" i="4"/>
  <c r="Y1" i="5"/>
  <c r="X2" i="5"/>
  <c r="X1" i="13"/>
  <c r="X2" i="13" s="1"/>
  <c r="X1" i="2"/>
  <c r="X2" i="2" s="1"/>
  <c r="X50" i="2" s="1"/>
  <c r="Y1" i="7"/>
  <c r="W1" i="12"/>
  <c r="W2" i="12" s="1"/>
  <c r="W1" i="1"/>
  <c r="W2" i="1" s="1"/>
  <c r="X1" i="6"/>
  <c r="X2" i="18" s="1"/>
  <c r="W2" i="6"/>
  <c r="W2" i="15"/>
  <c r="X2" i="14"/>
  <c r="Y1" i="17" l="1"/>
  <c r="Y2" i="17" s="1"/>
  <c r="Y50" i="17" s="1"/>
  <c r="Y2" i="7"/>
  <c r="AB1" i="4"/>
  <c r="AA1" i="11"/>
  <c r="AA2" i="11" s="1"/>
  <c r="AA1" i="10"/>
  <c r="AA2" i="10" s="1"/>
  <c r="AA2" i="4"/>
  <c r="Z1" i="5"/>
  <c r="Y2" i="5"/>
  <c r="Y1" i="13"/>
  <c r="Y2" i="13" s="1"/>
  <c r="Y1" i="2"/>
  <c r="Y2" i="2" s="1"/>
  <c r="Y50" i="2" s="1"/>
  <c r="Z1" i="7"/>
  <c r="X1" i="12"/>
  <c r="X2" i="12" s="1"/>
  <c r="X1" i="1"/>
  <c r="X2" i="1" s="1"/>
  <c r="Y1" i="6"/>
  <c r="Y2" i="18" s="1"/>
  <c r="X2" i="6"/>
  <c r="X2" i="15"/>
  <c r="Y2" i="14"/>
  <c r="Z1" i="17" l="1"/>
  <c r="Z2" i="17" s="1"/>
  <c r="Z50" i="17" s="1"/>
  <c r="Z2" i="7"/>
  <c r="AB1" i="10"/>
  <c r="AB2" i="10" s="1"/>
  <c r="AC1" i="4"/>
  <c r="AB1" i="11"/>
  <c r="AB2" i="11" s="1"/>
  <c r="AB2" i="4"/>
  <c r="AA1" i="5"/>
  <c r="Z2" i="5"/>
  <c r="Z1" i="2"/>
  <c r="Z2" i="2" s="1"/>
  <c r="Z50" i="2" s="1"/>
  <c r="Z1" i="13"/>
  <c r="Z2" i="13" s="1"/>
  <c r="AA1" i="7"/>
  <c r="Y1" i="12"/>
  <c r="Y2" i="12" s="1"/>
  <c r="Y1" i="1"/>
  <c r="Y2" i="1" s="1"/>
  <c r="Y2" i="6"/>
  <c r="Z1" i="6"/>
  <c r="Z2" i="18" s="1"/>
  <c r="Y2" i="15"/>
  <c r="Z2" i="14"/>
  <c r="AA1" i="17" l="1"/>
  <c r="AA2" i="17" s="1"/>
  <c r="AA50" i="17" s="1"/>
  <c r="AA2" i="7"/>
  <c r="AC1" i="11"/>
  <c r="AC2" i="11" s="1"/>
  <c r="AC1" i="10"/>
  <c r="AC2" i="10" s="1"/>
  <c r="AC2" i="4"/>
  <c r="AB1" i="5"/>
  <c r="AA2" i="5"/>
  <c r="AA1" i="13"/>
  <c r="AA2" i="13" s="1"/>
  <c r="AA1" i="2"/>
  <c r="AA2" i="2" s="1"/>
  <c r="AA50" i="2" s="1"/>
  <c r="AB1" i="7"/>
  <c r="Z1" i="12"/>
  <c r="Z2" i="12" s="1"/>
  <c r="Z1" i="1"/>
  <c r="Z2" i="1" s="1"/>
  <c r="AA1" i="6"/>
  <c r="AA2" i="18" s="1"/>
  <c r="Z2" i="6"/>
  <c r="Z2" i="15"/>
  <c r="AA2" i="14"/>
  <c r="AB2" i="7" l="1"/>
  <c r="AB1" i="17"/>
  <c r="AB2" i="17" s="1"/>
  <c r="AB50" i="17" s="1"/>
  <c r="AD1" i="11"/>
  <c r="AD2" i="11" s="1"/>
  <c r="AD1" i="10"/>
  <c r="AD2" i="10" s="1"/>
  <c r="AD2" i="4"/>
  <c r="AC1" i="5"/>
  <c r="AB2" i="5"/>
  <c r="AB1" i="2"/>
  <c r="AB2" i="2" s="1"/>
  <c r="AB50" i="2" s="1"/>
  <c r="AB1" i="13"/>
  <c r="AB2" i="13" s="1"/>
  <c r="AC1" i="7"/>
  <c r="AA1" i="12"/>
  <c r="AA2" i="12" s="1"/>
  <c r="AA1" i="1"/>
  <c r="AA2" i="1" s="1"/>
  <c r="AB1" i="6"/>
  <c r="AB2" i="18" s="1"/>
  <c r="AA2" i="6"/>
  <c r="AA2" i="15"/>
  <c r="AB2" i="14"/>
  <c r="AC1" i="17" l="1"/>
  <c r="AC2" i="17" s="1"/>
  <c r="AC50" i="17" s="1"/>
  <c r="AC2" i="7"/>
  <c r="AE1" i="11"/>
  <c r="AE2" i="11" s="1"/>
  <c r="AE1" i="10"/>
  <c r="AE2" i="10" s="1"/>
  <c r="AE2" i="4"/>
  <c r="AD1" i="5"/>
  <c r="AC2" i="5"/>
  <c r="AC1" i="13"/>
  <c r="AC2" i="13" s="1"/>
  <c r="AC1" i="2"/>
  <c r="AC2" i="2" s="1"/>
  <c r="AC50" i="2" s="1"/>
  <c r="AD1" i="7"/>
  <c r="AB1" i="12"/>
  <c r="AB2" i="12" s="1"/>
  <c r="AB1" i="1"/>
  <c r="AB2" i="1" s="1"/>
  <c r="AC1" i="6"/>
  <c r="AC2" i="18" s="1"/>
  <c r="AB2" i="6"/>
  <c r="AB2" i="15"/>
  <c r="AC2" i="14"/>
  <c r="AD2" i="7" l="1"/>
  <c r="AD1" i="17"/>
  <c r="AD2" i="17" s="1"/>
  <c r="AD50" i="17" s="1"/>
  <c r="AF1" i="10"/>
  <c r="AF2" i="10" s="1"/>
  <c r="AF2" i="4"/>
  <c r="AF1" i="11"/>
  <c r="AF2" i="11" s="1"/>
  <c r="AE1" i="5"/>
  <c r="AD2" i="5"/>
  <c r="AD1" i="13"/>
  <c r="AD2" i="13" s="1"/>
  <c r="AD1" i="2"/>
  <c r="AD2" i="2" s="1"/>
  <c r="AD50" i="2" s="1"/>
  <c r="AE1" i="7"/>
  <c r="AE1" i="17" s="1"/>
  <c r="AE2" i="17" s="1"/>
  <c r="AE50" i="17" s="1"/>
  <c r="AC1" i="12"/>
  <c r="AC2" i="12" s="1"/>
  <c r="AC1" i="1"/>
  <c r="AC2" i="1" s="1"/>
  <c r="AC2" i="6"/>
  <c r="AC2" i="15"/>
  <c r="AD2" i="14"/>
  <c r="AF1" i="5" l="1"/>
  <c r="AF2" i="5" s="1"/>
  <c r="AE2" i="5"/>
  <c r="AE1" i="13"/>
  <c r="AE2" i="13" s="1"/>
  <c r="AE1" i="2"/>
  <c r="AE2" i="2" s="1"/>
  <c r="AE50" i="2" s="1"/>
  <c r="AE2" i="7"/>
  <c r="AF1" i="7"/>
  <c r="AF2" i="17" s="1"/>
  <c r="AF50" i="17" s="1"/>
  <c r="AD1" i="12"/>
  <c r="AD2" i="12" s="1"/>
  <c r="AD1" i="1"/>
  <c r="AD2" i="1" s="1"/>
  <c r="AD2" i="6"/>
  <c r="AD2" i="15"/>
  <c r="AE2" i="14"/>
  <c r="AF2" i="14"/>
  <c r="AN36" i="5" l="1" a="1"/>
  <c r="AN36" i="5" s="1"/>
  <c r="AM42" i="5" a="1"/>
  <c r="AM42" i="5" s="1"/>
  <c r="AI43" i="5" a="1"/>
  <c r="AI43" i="5" s="1"/>
  <c r="AJ37" i="5" a="1"/>
  <c r="AJ37" i="5" s="1"/>
  <c r="AM22" i="5" a="1"/>
  <c r="AM22" i="5" s="1"/>
  <c r="AI20" i="5" a="1"/>
  <c r="AI20" i="5" s="1"/>
  <c r="AK31" i="5" a="1"/>
  <c r="AK31" i="5" s="1"/>
  <c r="AN44" i="5" a="1"/>
  <c r="AN44" i="5" s="1"/>
  <c r="AK47" i="5" a="1"/>
  <c r="AK47" i="5" s="1"/>
  <c r="AL40" i="5" a="1"/>
  <c r="AL40" i="5" s="1"/>
  <c r="AO33" i="5" a="1"/>
  <c r="AO33" i="5" s="1"/>
  <c r="AJ48" i="5" a="1"/>
  <c r="AJ48" i="5" s="1"/>
  <c r="AN41" i="5" a="1"/>
  <c r="AN41" i="5" s="1"/>
  <c r="AI49" i="5" a="1"/>
  <c r="AI49" i="5" s="1"/>
  <c r="AJ26" i="5" a="1"/>
  <c r="AJ26" i="5" s="1"/>
  <c r="AL33" i="5" a="1"/>
  <c r="AL33" i="5" s="1"/>
  <c r="AN46" i="5" a="1"/>
  <c r="AN46" i="5" s="1"/>
  <c r="AL50" i="5" a="1"/>
  <c r="AL50" i="5" s="1"/>
  <c r="AJ24" i="5" a="1"/>
  <c r="AJ24" i="5" s="1"/>
  <c r="AI41" i="5" a="1"/>
  <c r="AI41" i="5" s="1"/>
  <c r="AM44" i="5" a="1"/>
  <c r="AM44" i="5" s="1"/>
  <c r="AJ29" i="5" a="1"/>
  <c r="AJ29" i="5" s="1"/>
  <c r="AN47" i="5" a="1"/>
  <c r="AN47" i="5" s="1"/>
  <c r="AJ38" i="5" a="1"/>
  <c r="AJ38" i="5" s="1"/>
  <c r="AJ47" i="5" a="1"/>
  <c r="AJ47" i="5" s="1"/>
  <c r="AK19" i="5" a="1"/>
  <c r="AK19" i="5" s="1"/>
  <c r="AN39" i="5" a="1"/>
  <c r="AN39" i="5" s="1"/>
  <c r="AI28" i="5" a="1"/>
  <c r="AI28" i="5" s="1"/>
  <c r="AO24" i="5" a="1"/>
  <c r="AO24" i="5" s="1"/>
  <c r="AI48" i="5" a="1"/>
  <c r="AI48" i="5" s="1"/>
  <c r="AI29" i="5" a="1"/>
  <c r="AI29" i="5" s="1"/>
  <c r="AI50" i="5" a="1"/>
  <c r="AI50" i="5" s="1"/>
  <c r="AK48" i="5" a="1"/>
  <c r="AK48" i="5" s="1"/>
  <c r="AN21" i="5" a="1"/>
  <c r="AN21" i="5" s="1"/>
  <c r="AL44" i="5" a="1"/>
  <c r="AL44" i="5" s="1"/>
  <c r="AM30" i="5" a="1"/>
  <c r="AM30" i="5" s="1"/>
  <c r="AN28" i="5" a="1"/>
  <c r="AN28" i="5" s="1"/>
  <c r="AN40" i="5" a="1"/>
  <c r="AN40" i="5" s="1"/>
  <c r="AL27" i="5" a="1"/>
  <c r="AL27" i="5" s="1"/>
  <c r="AO46" i="5" a="1"/>
  <c r="AO46" i="5" s="1"/>
  <c r="AO23" i="5" a="1"/>
  <c r="AO23" i="5" s="1"/>
  <c r="AN42" i="5" a="1"/>
  <c r="AN42" i="5" s="1"/>
  <c r="AK23" i="5" a="1"/>
  <c r="AK23" i="5" s="1"/>
  <c r="AL35" i="5" a="1"/>
  <c r="AL35" i="5" s="1"/>
  <c r="AJ34" i="5" a="1"/>
  <c r="AJ34" i="5" s="1"/>
  <c r="AI26" i="5" a="1"/>
  <c r="AI26" i="5" s="1"/>
  <c r="AM32" i="5" a="1"/>
  <c r="AM32" i="5" s="1"/>
  <c r="AJ19" i="5" a="1"/>
  <c r="AJ19" i="5" s="1"/>
  <c r="AK28" i="5" a="1"/>
  <c r="AK28" i="5" s="1"/>
  <c r="AK26" i="5" a="1"/>
  <c r="AK26" i="5" s="1"/>
  <c r="AO35" i="5" a="1"/>
  <c r="AO35" i="5" s="1"/>
  <c r="AL32" i="5" a="1"/>
  <c r="AL32" i="5" s="1"/>
  <c r="AL31" i="5" a="1"/>
  <c r="AL31" i="5" s="1"/>
  <c r="AL49" i="5" a="1"/>
  <c r="AL49" i="5" s="1"/>
  <c r="AJ27" i="5" a="1"/>
  <c r="AJ27" i="5" s="1"/>
  <c r="AL48" i="5" a="1"/>
  <c r="AL48" i="5" s="1"/>
  <c r="AO44" i="5" a="1"/>
  <c r="AO44" i="5" s="1"/>
  <c r="AO47" i="5" a="1"/>
  <c r="AO47" i="5" s="1"/>
  <c r="AK38" i="5" a="1"/>
  <c r="AK38" i="5" s="1"/>
  <c r="AO49" i="5" a="1"/>
  <c r="AO49" i="5" s="1"/>
  <c r="AK20" i="5" a="1"/>
  <c r="AK20" i="5" s="1"/>
  <c r="AK22" i="5" a="1"/>
  <c r="AK22" i="5" s="1"/>
  <c r="AN31" i="5" a="1"/>
  <c r="AN31" i="5" s="1"/>
  <c r="AK34" i="5" a="1"/>
  <c r="AK34" i="5" s="1"/>
  <c r="AL26" i="5" a="1"/>
  <c r="AL26" i="5" s="1"/>
  <c r="AL34" i="5" a="1"/>
  <c r="AL34" i="5" s="1"/>
  <c r="AJ35" i="5" a="1"/>
  <c r="AJ35" i="5" s="1"/>
  <c r="AM24" i="5" a="1"/>
  <c r="AM24" i="5" s="1"/>
  <c r="AI46" i="5" a="1"/>
  <c r="AI46" i="5" s="1"/>
  <c r="AI39" i="5" a="1"/>
  <c r="AI39" i="5" s="1"/>
  <c r="AO30" i="5" a="1"/>
  <c r="AO30" i="5" s="1"/>
  <c r="AI34" i="5" a="1"/>
  <c r="AI34" i="5" s="1"/>
  <c r="AO21" i="5" a="1"/>
  <c r="AO21" i="5" s="1"/>
  <c r="AK37" i="5" a="1"/>
  <c r="AK37" i="5" s="1"/>
  <c r="AM28" i="5" a="1"/>
  <c r="AM28" i="5" s="1"/>
  <c r="AO50" i="5" a="1"/>
  <c r="AO50" i="5" s="1"/>
  <c r="AN49" i="5" a="1"/>
  <c r="AN49" i="5" s="1"/>
  <c r="AI32" i="5" a="1"/>
  <c r="AI32" i="5" s="1"/>
  <c r="AN23" i="5" a="1"/>
  <c r="AN23" i="5" s="1"/>
  <c r="AM34" i="5" a="1"/>
  <c r="AM34" i="5" s="1"/>
  <c r="AM26" i="5" a="1"/>
  <c r="AM26" i="5" s="1"/>
  <c r="AL28" i="5" a="1"/>
  <c r="AL28" i="5" s="1"/>
  <c r="AI36" i="5" a="1"/>
  <c r="AI36" i="5" s="1"/>
  <c r="AI38" i="5" a="1"/>
  <c r="AI38" i="5" s="1"/>
  <c r="AL24" i="5" a="1"/>
  <c r="AL24" i="5" s="1"/>
  <c r="AO48" i="5" a="1"/>
  <c r="AO48" i="5" s="1"/>
  <c r="AI30" i="5" a="1"/>
  <c r="AI30" i="5" s="1"/>
  <c r="AL36" i="5" a="1"/>
  <c r="AL36" i="5" s="1"/>
  <c r="AO25" i="5" a="1"/>
  <c r="AO25" i="5" s="1"/>
  <c r="AL47" i="5" a="1"/>
  <c r="AL47" i="5" s="1"/>
  <c r="AJ31" i="5" a="1"/>
  <c r="AJ31" i="5" s="1"/>
  <c r="AJ49" i="5" a="1"/>
  <c r="AJ49" i="5" s="1"/>
  <c r="AI37" i="5" a="1"/>
  <c r="AI37" i="5" s="1"/>
  <c r="AN32" i="5" a="1"/>
  <c r="AN32" i="5" s="1"/>
  <c r="AO31" i="5" a="1"/>
  <c r="AO31" i="5" s="1"/>
  <c r="AM31" i="5" a="1"/>
  <c r="AM31" i="5" s="1"/>
  <c r="AO39" i="5" a="1"/>
  <c r="AO39" i="5" s="1"/>
  <c r="AK41" i="5" a="1"/>
  <c r="AK41" i="5" s="1"/>
  <c r="AI24" i="5" a="1"/>
  <c r="AI24" i="5" s="1"/>
  <c r="AO28" i="5" a="1"/>
  <c r="AO28" i="5" s="1"/>
  <c r="AM38" i="5" a="1"/>
  <c r="AM38" i="5" s="1"/>
  <c r="AN34" i="5" a="1"/>
  <c r="AN34" i="5" s="1"/>
  <c r="AN37" i="5" a="1"/>
  <c r="AN37" i="5" s="1"/>
  <c r="AM23" i="5" a="1"/>
  <c r="AM23" i="5" s="1"/>
  <c r="AN24" i="5" a="1"/>
  <c r="AN24" i="5" s="1"/>
  <c r="AJ50" i="5" a="1"/>
  <c r="AJ50" i="5" s="1"/>
  <c r="AN50" i="5" a="1"/>
  <c r="AN50" i="5" s="1"/>
  <c r="AI42" i="5" a="1"/>
  <c r="AI42" i="5" s="1"/>
  <c r="AM45" i="5" a="1"/>
  <c r="AM45" i="5" s="1"/>
  <c r="AM49" i="5" a="1"/>
  <c r="AM49" i="5" s="1"/>
  <c r="AM21" i="5" a="1"/>
  <c r="AM21" i="5" s="1"/>
  <c r="AO41" i="5" a="1"/>
  <c r="AO41" i="5" s="1"/>
  <c r="AO29" i="5" a="1"/>
  <c r="AO29" i="5" s="1"/>
  <c r="AO36" i="5" a="1"/>
  <c r="AO36" i="5" s="1"/>
  <c r="AL46" i="5" a="1"/>
  <c r="AL46" i="5" s="1"/>
  <c r="AJ46" i="5" a="1"/>
  <c r="AJ46" i="5" s="1"/>
  <c r="AM40" i="5" a="1"/>
  <c r="AM40" i="5" s="1"/>
  <c r="AI44" i="5" a="1"/>
  <c r="AI44" i="5" s="1"/>
  <c r="AO34" i="5" a="1"/>
  <c r="AO34" i="5" s="1"/>
  <c r="AJ43" i="5" a="1"/>
  <c r="AJ43" i="5" s="1"/>
  <c r="AL43" i="5" a="1"/>
  <c r="AL43" i="5" s="1"/>
  <c r="AK42" i="5" a="1"/>
  <c r="AK42" i="5" s="1"/>
  <c r="AJ42" i="5" a="1"/>
  <c r="AJ42" i="5" s="1"/>
  <c r="AK35" i="5" a="1"/>
  <c r="AK35" i="5" s="1"/>
  <c r="AL22" i="5" a="1"/>
  <c r="AL22" i="5" s="1"/>
  <c r="AL39" i="5" a="1"/>
  <c r="AL39" i="5" s="1"/>
  <c r="AJ22" i="5" a="1"/>
  <c r="AJ22" i="5" s="1"/>
  <c r="AM50" i="5" a="1"/>
  <c r="AM50" i="5" s="1"/>
  <c r="AN48" i="5" a="1"/>
  <c r="AN48" i="5" s="1"/>
  <c r="AM27" i="5" a="1"/>
  <c r="AM27" i="5" s="1"/>
  <c r="AM29" i="5" a="1"/>
  <c r="AM29" i="5" s="1"/>
  <c r="AN29" i="5" a="1"/>
  <c r="AN29" i="5" s="1"/>
  <c r="AO22" i="5" a="1"/>
  <c r="AO22" i="5" s="1"/>
  <c r="AM35" i="5" a="1"/>
  <c r="AM35" i="5" s="1"/>
  <c r="AJ36" i="5" a="1"/>
  <c r="AJ36" i="5" s="1"/>
  <c r="AL21" i="5" a="1"/>
  <c r="AL21" i="5" s="1"/>
  <c r="AM20" i="5" a="1"/>
  <c r="AM20" i="5" s="1"/>
  <c r="AI33" i="5" a="1"/>
  <c r="AI33" i="5" s="1"/>
  <c r="AI27" i="5" a="1"/>
  <c r="AI27" i="5" s="1"/>
  <c r="AL23" i="5" a="1"/>
  <c r="AL23" i="5" s="1"/>
  <c r="AN26" i="5" a="1"/>
  <c r="AN26" i="5" s="1"/>
  <c r="AM39" i="5" a="1"/>
  <c r="AM39" i="5" s="1"/>
  <c r="AJ39" i="5" a="1"/>
  <c r="AJ39" i="5" s="1"/>
  <c r="AI25" i="5" a="1"/>
  <c r="AI25" i="5" s="1"/>
  <c r="AN43" i="5" a="1"/>
  <c r="AN43" i="5" s="1"/>
  <c r="AJ30" i="5" a="1"/>
  <c r="AJ30" i="5" s="1"/>
  <c r="AL25" i="5" a="1"/>
  <c r="AL25" i="5" s="1"/>
  <c r="AJ40" i="5" a="1"/>
  <c r="AJ40" i="5" s="1"/>
  <c r="AK36" i="5" a="1"/>
  <c r="AK36" i="5" s="1"/>
  <c r="AO26" i="5" a="1"/>
  <c r="AO26" i="5" s="1"/>
  <c r="AO37" i="5" a="1"/>
  <c r="AO37" i="5" s="1"/>
  <c r="AO45" i="5" a="1"/>
  <c r="AO45" i="5" s="1"/>
  <c r="AO40" i="5" a="1"/>
  <c r="AO40" i="5" s="1"/>
  <c r="AJ25" i="5" a="1"/>
  <c r="AJ25" i="5" s="1"/>
  <c r="AN20" i="5" a="1"/>
  <c r="AN20" i="5" s="1"/>
  <c r="AO20" i="5" a="1"/>
  <c r="AO20" i="5" s="1"/>
  <c r="AM48" i="5" a="1"/>
  <c r="AM48" i="5" s="1"/>
  <c r="AK45" i="5" a="1"/>
  <c r="AK45" i="5" s="1"/>
  <c r="AM19" i="5" a="1"/>
  <c r="AM19" i="5" s="1"/>
  <c r="AJ44" i="5" a="1"/>
  <c r="AJ44" i="5" s="1"/>
  <c r="AK43" i="5" a="1"/>
  <c r="AK43" i="5" s="1"/>
  <c r="AM36" i="5" a="1"/>
  <c r="AM36" i="5" s="1"/>
  <c r="AN30" i="5" a="1"/>
  <c r="AN30" i="5" s="1"/>
  <c r="AN38" i="5" a="1"/>
  <c r="AN38" i="5" s="1"/>
  <c r="AI40" i="5" a="1"/>
  <c r="AI40" i="5" s="1"/>
  <c r="AK24" i="5" a="1"/>
  <c r="AK24" i="5" s="1"/>
  <c r="AO19" i="5" a="1"/>
  <c r="AO19" i="5" s="1"/>
  <c r="AJ28" i="5" a="1"/>
  <c r="AJ28" i="5" s="1"/>
  <c r="AN35" i="5" a="1"/>
  <c r="AN35" i="5" s="1"/>
  <c r="AO43" i="5" a="1"/>
  <c r="AO43" i="5" s="1"/>
  <c r="AM47" i="5" a="1"/>
  <c r="AM47" i="5" s="1"/>
  <c r="AI21" i="5" a="1"/>
  <c r="AI21" i="5" s="1"/>
  <c r="AI45" i="5" a="1"/>
  <c r="AI45" i="5" s="1"/>
  <c r="AK49" i="5" a="1"/>
  <c r="AK49" i="5" s="1"/>
  <c r="AK27" i="5" a="1"/>
  <c r="AK27" i="5" s="1"/>
  <c r="AI47" i="5" a="1"/>
  <c r="AI47" i="5" s="1"/>
  <c r="AL30" i="5" a="1"/>
  <c r="AL30" i="5" s="1"/>
  <c r="AL38" i="5" a="1"/>
  <c r="AL38" i="5" s="1"/>
  <c r="AM43" i="5" a="1"/>
  <c r="AM43" i="5" s="1"/>
  <c r="AK30" i="5" a="1"/>
  <c r="AK30" i="5" s="1"/>
  <c r="AK33" i="5" a="1"/>
  <c r="AK33" i="5" s="1"/>
  <c r="AO38" i="5" a="1"/>
  <c r="AO38" i="5" s="1"/>
  <c r="AL19" i="5" a="1"/>
  <c r="AL19" i="5" s="1"/>
  <c r="AI31" i="5" a="1"/>
  <c r="AI31" i="5" s="1"/>
  <c r="AJ33" i="5" a="1"/>
  <c r="AJ33" i="5" s="1"/>
  <c r="AK40" i="5" a="1"/>
  <c r="AK40" i="5" s="1"/>
  <c r="AN27" i="5" a="1"/>
  <c r="AN27" i="5" s="1"/>
  <c r="AI35" i="5" a="1"/>
  <c r="AI35" i="5" s="1"/>
  <c r="AL20" i="5" a="1"/>
  <c r="AL20" i="5" s="1"/>
  <c r="AL37" i="5" a="1"/>
  <c r="AL37" i="5" s="1"/>
  <c r="AJ41" i="5" a="1"/>
  <c r="AJ41" i="5" s="1"/>
  <c r="AK21" i="5" a="1"/>
  <c r="AK21" i="5" s="1"/>
  <c r="AL29" i="5" a="1"/>
  <c r="AL29" i="5" s="1"/>
  <c r="AJ20" i="5" a="1"/>
  <c r="AJ20" i="5" s="1"/>
  <c r="AI22" i="5" a="1"/>
  <c r="AI22" i="5" s="1"/>
  <c r="AK25" i="5" a="1"/>
  <c r="AK25" i="5" s="1"/>
  <c r="AK50" i="5" a="1"/>
  <c r="AK50" i="5" s="1"/>
  <c r="AL41" i="5" a="1"/>
  <c r="AL41" i="5" s="1"/>
  <c r="AK44" i="5" a="1"/>
  <c r="AK44" i="5" s="1"/>
  <c r="AN19" i="5" a="1"/>
  <c r="AN19" i="5" s="1"/>
  <c r="AM25" i="5" a="1"/>
  <c r="AM25" i="5" s="1"/>
  <c r="AN22" i="5" a="1"/>
  <c r="AN22" i="5" s="1"/>
  <c r="AO27" i="5" a="1"/>
  <c r="AO27" i="5" s="1"/>
  <c r="AN33" i="5" a="1"/>
  <c r="AN33" i="5" s="1"/>
  <c r="AI23" i="5" a="1"/>
  <c r="AI23" i="5" s="1"/>
  <c r="AK29" i="5" a="1"/>
  <c r="AK29" i="5" s="1"/>
  <c r="AK46" i="5" a="1"/>
  <c r="AK46" i="5" s="1"/>
  <c r="AM46" i="5" a="1"/>
  <c r="AM46" i="5" s="1"/>
  <c r="AL45" i="5" a="1"/>
  <c r="AL45" i="5" s="1"/>
  <c r="AJ23" i="5" a="1"/>
  <c r="AJ23" i="5" s="1"/>
  <c r="AN45" i="5" a="1"/>
  <c r="AN45" i="5" s="1"/>
  <c r="AM33" i="5" a="1"/>
  <c r="AM33" i="5" s="1"/>
  <c r="AK32" i="5" a="1"/>
  <c r="AK32" i="5" s="1"/>
  <c r="AI19" i="5" a="1"/>
  <c r="AI19" i="5" s="1"/>
  <c r="AJ32" i="5" a="1"/>
  <c r="AJ32" i="5" s="1"/>
  <c r="AN25" i="5" a="1"/>
  <c r="AN25" i="5" s="1"/>
  <c r="AM41" i="5" a="1"/>
  <c r="AM41" i="5" s="1"/>
  <c r="AJ21" i="5" a="1"/>
  <c r="AJ21" i="5" s="1"/>
  <c r="AJ45" i="5" a="1"/>
  <c r="AJ45" i="5" s="1"/>
  <c r="AO32" i="5" a="1"/>
  <c r="AO32" i="5" s="1"/>
  <c r="AO42" i="5" a="1"/>
  <c r="AO42" i="5" s="1"/>
  <c r="AL42" i="5" a="1"/>
  <c r="AL42" i="5" s="1"/>
  <c r="AM37" i="5" a="1"/>
  <c r="AM37" i="5" s="1"/>
  <c r="AK39" i="5" a="1"/>
  <c r="AK39" i="5" s="1"/>
  <c r="AF1" i="13"/>
  <c r="AF2" i="13" s="1"/>
  <c r="AF1" i="2"/>
  <c r="AF2" i="2" s="1"/>
  <c r="AF50" i="2" s="1"/>
  <c r="AG50" i="2" s="1"/>
  <c r="AF2" i="7"/>
  <c r="AE1" i="1"/>
  <c r="AE2" i="1" s="1"/>
  <c r="AE1" i="12"/>
  <c r="AE2" i="12" s="1"/>
  <c r="AE2" i="6"/>
  <c r="AE2" i="15"/>
  <c r="AO45" i="7" l="1" a="1"/>
  <c r="AO45" i="7" s="1"/>
  <c r="AO19" i="7" a="1"/>
  <c r="AO19" i="7" s="1"/>
  <c r="AK33" i="7" a="1"/>
  <c r="AK33" i="7" s="1"/>
  <c r="AK24" i="7" a="1"/>
  <c r="AK24" i="7" s="1"/>
  <c r="AJ43" i="7" a="1"/>
  <c r="AJ43" i="7" s="1"/>
  <c r="AN19" i="7" a="1"/>
  <c r="AN19" i="7" s="1"/>
  <c r="AL46" i="7" a="1"/>
  <c r="AL46" i="7" s="1"/>
  <c r="AK25" i="7" a="1"/>
  <c r="AK25" i="7" s="1"/>
  <c r="AL48" i="7" a="1"/>
  <c r="AL48" i="7" s="1"/>
  <c r="AJ19" i="7" a="1"/>
  <c r="AJ19" i="7" s="1"/>
  <c r="AK37" i="7" a="1"/>
  <c r="AK37" i="7" s="1"/>
  <c r="AK41" i="7" a="1"/>
  <c r="AK41" i="7" s="1"/>
  <c r="AL22" i="7" a="1"/>
  <c r="AL22" i="7" s="1"/>
  <c r="AO35" i="7" a="1"/>
  <c r="AO35" i="7" s="1"/>
  <c r="AM20" i="7" a="1"/>
  <c r="AM20" i="7" s="1"/>
  <c r="AL47" i="7" a="1"/>
  <c r="AL47" i="7" s="1"/>
  <c r="AK45" i="7" a="1"/>
  <c r="AK45" i="7" s="1"/>
  <c r="AO42" i="7" a="1"/>
  <c r="AO42" i="7" s="1"/>
  <c r="AJ36" i="7" a="1"/>
  <c r="AJ36" i="7" s="1"/>
  <c r="AL36" i="7" a="1"/>
  <c r="AL36" i="7" s="1"/>
  <c r="AK35" i="7" a="1"/>
  <c r="AK35" i="7" s="1"/>
  <c r="AL24" i="7" a="1"/>
  <c r="AL24" i="7" s="1"/>
  <c r="AJ46" i="7" a="1"/>
  <c r="AJ46" i="7" s="1"/>
  <c r="AL40" i="7" a="1"/>
  <c r="AL40" i="7" s="1"/>
  <c r="AN32" i="7" a="1"/>
  <c r="AN32" i="7" s="1"/>
  <c r="AL44" i="7" a="1"/>
  <c r="AL44" i="7" s="1"/>
  <c r="AL43" i="7" a="1"/>
  <c r="AL43" i="7" s="1"/>
  <c r="AM22" i="7" a="1"/>
  <c r="AM22" i="7" s="1"/>
  <c r="AM41" i="7" a="1"/>
  <c r="AM41" i="7" s="1"/>
  <c r="AO25" i="7" a="1"/>
  <c r="AO25" i="7" s="1"/>
  <c r="AJ33" i="7" a="1"/>
  <c r="AJ33" i="7" s="1"/>
  <c r="AM34" i="7" a="1"/>
  <c r="AM34" i="7" s="1"/>
  <c r="AO28" i="7" a="1"/>
  <c r="AO28" i="7" s="1"/>
  <c r="AN42" i="7" a="1"/>
  <c r="AN42" i="7" s="1"/>
  <c r="AJ29" i="7" a="1"/>
  <c r="AJ29" i="7" s="1"/>
  <c r="AL37" i="7" a="1"/>
  <c r="AL37" i="7" s="1"/>
  <c r="AM48" i="7" a="1"/>
  <c r="AM48" i="7" s="1"/>
  <c r="AO27" i="7" a="1"/>
  <c r="AO27" i="7" s="1"/>
  <c r="AM23" i="7" a="1"/>
  <c r="AM23" i="7" s="1"/>
  <c r="AO49" i="7" a="1"/>
  <c r="AO49" i="7" s="1"/>
  <c r="AJ48" i="7" a="1"/>
  <c r="AJ48" i="7" s="1"/>
  <c r="AO40" i="7" a="1"/>
  <c r="AO40" i="7" s="1"/>
  <c r="AN41" i="7" a="1"/>
  <c r="AN41" i="7" s="1"/>
  <c r="AK22" i="7" a="1"/>
  <c r="AK22" i="7" s="1"/>
  <c r="AN50" i="7" a="1"/>
  <c r="AN50" i="7" s="1"/>
  <c r="AK46" i="7" a="1"/>
  <c r="AK46" i="7" s="1"/>
  <c r="AN21" i="7" a="1"/>
  <c r="AN21" i="7" s="1"/>
  <c r="AL42" i="7" a="1"/>
  <c r="AL42" i="7" s="1"/>
  <c r="AN26" i="7" a="1"/>
  <c r="AN26" i="7" s="1"/>
  <c r="AJ44" i="7" a="1"/>
  <c r="AJ44" i="7" s="1"/>
  <c r="AM24" i="7" a="1"/>
  <c r="AM24" i="7" s="1"/>
  <c r="AN34" i="7" a="1"/>
  <c r="AN34" i="7" s="1"/>
  <c r="AL28" i="7" a="1"/>
  <c r="AL28" i="7" s="1"/>
  <c r="AJ23" i="7" a="1"/>
  <c r="AJ23" i="7" s="1"/>
  <c r="AN43" i="7" a="1"/>
  <c r="AN43" i="7" s="1"/>
  <c r="AJ26" i="7" a="1"/>
  <c r="AJ26" i="7" s="1"/>
  <c r="AO24" i="7" a="1"/>
  <c r="AO24" i="7" s="1"/>
  <c r="AM43" i="7" a="1"/>
  <c r="AM43" i="7" s="1"/>
  <c r="AN37" i="7" a="1"/>
  <c r="AN37" i="7" s="1"/>
  <c r="AO50" i="7" a="1"/>
  <c r="AO50" i="7" s="1"/>
  <c r="AL45" i="7" a="1"/>
  <c r="AL45" i="7" s="1"/>
  <c r="AJ27" i="7" a="1"/>
  <c r="AJ27" i="7" s="1"/>
  <c r="AJ37" i="7" a="1"/>
  <c r="AJ37" i="7" s="1"/>
  <c r="AL32" i="7" a="1"/>
  <c r="AL32" i="7" s="1"/>
  <c r="AL21" i="7" a="1"/>
  <c r="AL21" i="7" s="1"/>
  <c r="AK26" i="7" a="1"/>
  <c r="AK26" i="7" s="1"/>
  <c r="AK36" i="7" a="1"/>
  <c r="AK36" i="7" s="1"/>
  <c r="AM25" i="7" a="1"/>
  <c r="AM25" i="7" s="1"/>
  <c r="AK27" i="7" a="1"/>
  <c r="AK27" i="7" s="1"/>
  <c r="AN28" i="7" a="1"/>
  <c r="AN28" i="7" s="1"/>
  <c r="AL39" i="7" a="1"/>
  <c r="AL39" i="7" s="1"/>
  <c r="AN23" i="7" a="1"/>
  <c r="AN23" i="7" s="1"/>
  <c r="AO20" i="7" a="1"/>
  <c r="AO20" i="7" s="1"/>
  <c r="AM32" i="7" a="1"/>
  <c r="AM32" i="7" s="1"/>
  <c r="AM44" i="7" a="1"/>
  <c r="AM44" i="7" s="1"/>
  <c r="AO48" i="7" a="1"/>
  <c r="AO48" i="7" s="1"/>
  <c r="AM29" i="7" a="1"/>
  <c r="AM29" i="7" s="1"/>
  <c r="AL33" i="7" a="1"/>
  <c r="AL33" i="7" s="1"/>
  <c r="AJ41" i="7" a="1"/>
  <c r="AJ41" i="7" s="1"/>
  <c r="AO41" i="7" a="1"/>
  <c r="AO41" i="7" s="1"/>
  <c r="AK47" i="7" a="1"/>
  <c r="AK47" i="7" s="1"/>
  <c r="AK23" i="7" a="1"/>
  <c r="AK23" i="7" s="1"/>
  <c r="AL23" i="7" a="1"/>
  <c r="AL23" i="7" s="1"/>
  <c r="AM46" i="7" a="1"/>
  <c r="AM46" i="7" s="1"/>
  <c r="AM40" i="7" a="1"/>
  <c r="AM40" i="7" s="1"/>
  <c r="AJ38" i="7" a="1"/>
  <c r="AJ38" i="7" s="1"/>
  <c r="AL41" i="7" a="1"/>
  <c r="AL41" i="7" s="1"/>
  <c r="AO22" i="7" a="1"/>
  <c r="AO22" i="7" s="1"/>
  <c r="AO30" i="7" a="1"/>
  <c r="AO30" i="7" s="1"/>
  <c r="AM42" i="7" a="1"/>
  <c r="AM42" i="7" s="1"/>
  <c r="AM31" i="7" a="1"/>
  <c r="AM31" i="7" s="1"/>
  <c r="AN36" i="7" a="1"/>
  <c r="AN36" i="7" s="1"/>
  <c r="AJ20" i="7" a="1"/>
  <c r="AJ20" i="7" s="1"/>
  <c r="AM49" i="7" a="1"/>
  <c r="AM49" i="7" s="1"/>
  <c r="AK43" i="7" a="1"/>
  <c r="AK43" i="7" s="1"/>
  <c r="AN24" i="7" a="1"/>
  <c r="AN24" i="7" s="1"/>
  <c r="AO37" i="7" a="1"/>
  <c r="AO37" i="7" s="1"/>
  <c r="AK19" i="7" a="1"/>
  <c r="AK19" i="7" s="1"/>
  <c r="AO43" i="7" a="1"/>
  <c r="AO43" i="7" s="1"/>
  <c r="AL49" i="7" a="1"/>
  <c r="AL49" i="7" s="1"/>
  <c r="AM47" i="7" a="1"/>
  <c r="AM47" i="7" s="1"/>
  <c r="AJ47" i="7" a="1"/>
  <c r="AJ47" i="7" s="1"/>
  <c r="AN25" i="7" a="1"/>
  <c r="AN25" i="7" s="1"/>
  <c r="AM38" i="7" a="1"/>
  <c r="AM38" i="7" s="1"/>
  <c r="AK44" i="7" a="1"/>
  <c r="AK44" i="7" s="1"/>
  <c r="AO33" i="7" a="1"/>
  <c r="AO33" i="7" s="1"/>
  <c r="AM28" i="7" a="1"/>
  <c r="AM28" i="7" s="1"/>
  <c r="AJ39" i="7" a="1"/>
  <c r="AJ39" i="7" s="1"/>
  <c r="AK21" i="7" a="1"/>
  <c r="AK21" i="7" s="1"/>
  <c r="AO26" i="7" a="1"/>
  <c r="AO26" i="7" s="1"/>
  <c r="AK20" i="7" a="1"/>
  <c r="AK20" i="7" s="1"/>
  <c r="AL30" i="7" a="1"/>
  <c r="AL30" i="7" s="1"/>
  <c r="AM30" i="7" a="1"/>
  <c r="AM30" i="7" s="1"/>
  <c r="AN48" i="7" a="1"/>
  <c r="AN48" i="7" s="1"/>
  <c r="AL26" i="7" a="1"/>
  <c r="AL26" i="7" s="1"/>
  <c r="AL25" i="7" a="1"/>
  <c r="AL25" i="7" s="1"/>
  <c r="AL19" i="7" a="1"/>
  <c r="AL19" i="7" s="1"/>
  <c r="AL35" i="7" a="1"/>
  <c r="AL35" i="7" s="1"/>
  <c r="AM36" i="7" a="1"/>
  <c r="AM36" i="7" s="1"/>
  <c r="AK31" i="7" a="1"/>
  <c r="AK31" i="7" s="1"/>
  <c r="AM33" i="7" a="1"/>
  <c r="AM33" i="7" s="1"/>
  <c r="AM21" i="7" a="1"/>
  <c r="AM21" i="7" s="1"/>
  <c r="AM35" i="7" a="1"/>
  <c r="AM35" i="7" s="1"/>
  <c r="AN31" i="7" a="1"/>
  <c r="AN31" i="7" s="1"/>
  <c r="AJ40" i="7" a="1"/>
  <c r="AJ40" i="7" s="1"/>
  <c r="AK38" i="7" a="1"/>
  <c r="AK38" i="7" s="1"/>
  <c r="AO34" i="7" a="1"/>
  <c r="AO34" i="7" s="1"/>
  <c r="AJ25" i="7" a="1"/>
  <c r="AJ25" i="7" s="1"/>
  <c r="AN35" i="7" a="1"/>
  <c r="AN35" i="7" s="1"/>
  <c r="AO23" i="7" a="1"/>
  <c r="AO23" i="7" s="1"/>
  <c r="AL27" i="7" a="1"/>
  <c r="AL27" i="7" s="1"/>
  <c r="AJ35" i="7" a="1"/>
  <c r="AJ35" i="7" s="1"/>
  <c r="AN33" i="7" a="1"/>
  <c r="AN33" i="7" s="1"/>
  <c r="AK48" i="7" a="1"/>
  <c r="AK48" i="7" s="1"/>
  <c r="AL31" i="7" a="1"/>
  <c r="AL31" i="7" s="1"/>
  <c r="AK39" i="7" a="1"/>
  <c r="AK39" i="7" s="1"/>
  <c r="AJ31" i="7" a="1"/>
  <c r="AJ31" i="7" s="1"/>
  <c r="AO47" i="7" a="1"/>
  <c r="AO47" i="7" s="1"/>
  <c r="AL38" i="7" a="1"/>
  <c r="AL38" i="7" s="1"/>
  <c r="AN40" i="7" a="1"/>
  <c r="AN40" i="7" s="1"/>
  <c r="AO38" i="7" a="1"/>
  <c r="AO38" i="7" s="1"/>
  <c r="AM50" i="7" a="1"/>
  <c r="AM50" i="7" s="1"/>
  <c r="AK28" i="7" a="1"/>
  <c r="AK28" i="7" s="1"/>
  <c r="AM45" i="7" a="1"/>
  <c r="AM45" i="7" s="1"/>
  <c r="AN20" i="7" a="1"/>
  <c r="AN20" i="7" s="1"/>
  <c r="AK29" i="7" a="1"/>
  <c r="AK29" i="7" s="1"/>
  <c r="AN39" i="7" a="1"/>
  <c r="AN39" i="7" s="1"/>
  <c r="AN44" i="7" a="1"/>
  <c r="AN44" i="7" s="1"/>
  <c r="AN27" i="7" a="1"/>
  <c r="AN27" i="7" s="1"/>
  <c r="AM37" i="7" a="1"/>
  <c r="AM37" i="7" s="1"/>
  <c r="AK40" i="7" a="1"/>
  <c r="AK40" i="7" s="1"/>
  <c r="AO46" i="7" a="1"/>
  <c r="AO46" i="7" s="1"/>
  <c r="AK42" i="7" a="1"/>
  <c r="AK42" i="7" s="1"/>
  <c r="AN47" i="7" a="1"/>
  <c r="AN47" i="7" s="1"/>
  <c r="AN38" i="7" a="1"/>
  <c r="AN38" i="7" s="1"/>
  <c r="AJ42" i="7" a="1"/>
  <c r="AJ42" i="7" s="1"/>
  <c r="AN45" i="7" a="1"/>
  <c r="AN45" i="7" s="1"/>
  <c r="AK32" i="7" a="1"/>
  <c r="AK32" i="7" s="1"/>
  <c r="AM27" i="7" a="1"/>
  <c r="AM27" i="7" s="1"/>
  <c r="AK34" i="7" a="1"/>
  <c r="AK34" i="7" s="1"/>
  <c r="AM19" i="7" a="1"/>
  <c r="AM19" i="7" s="1"/>
  <c r="AN46" i="7" a="1"/>
  <c r="AN46" i="7" s="1"/>
  <c r="AO36" i="7" a="1"/>
  <c r="AO36" i="7" s="1"/>
  <c r="AO29" i="7" a="1"/>
  <c r="AO29" i="7" s="1"/>
  <c r="AJ34" i="7" a="1"/>
  <c r="AJ34" i="7" s="1"/>
  <c r="AO31" i="7" a="1"/>
  <c r="AO31" i="7" s="1"/>
  <c r="AK50" i="7" a="1"/>
  <c r="AK50" i="7" s="1"/>
  <c r="AL34" i="7" a="1"/>
  <c r="AL34" i="7" s="1"/>
  <c r="AL29" i="7" a="1"/>
  <c r="AL29" i="7" s="1"/>
  <c r="AL50" i="7" a="1"/>
  <c r="AL50" i="7" s="1"/>
  <c r="AN22" i="7" a="1"/>
  <c r="AN22" i="7" s="1"/>
  <c r="AL20" i="7" a="1"/>
  <c r="AL20" i="7" s="1"/>
  <c r="AK49" i="7" a="1"/>
  <c r="AK49" i="7" s="1"/>
  <c r="AN49" i="7" a="1"/>
  <c r="AN49" i="7" s="1"/>
  <c r="AO21" i="7" a="1"/>
  <c r="AO21" i="7" s="1"/>
  <c r="AJ28" i="7" a="1"/>
  <c r="AJ28" i="7" s="1"/>
  <c r="AJ49" i="7" a="1"/>
  <c r="AJ49" i="7" s="1"/>
  <c r="AJ24" i="7" a="1"/>
  <c r="AJ24" i="7" s="1"/>
  <c r="AM39" i="7" a="1"/>
  <c r="AM39" i="7" s="1"/>
  <c r="AK30" i="7" a="1"/>
  <c r="AK30" i="7" s="1"/>
  <c r="AO44" i="7" a="1"/>
  <c r="AO44" i="7" s="1"/>
  <c r="AJ32" i="7" a="1"/>
  <c r="AJ32" i="7" s="1"/>
  <c r="AI29" i="7" a="1"/>
  <c r="AI29" i="7" s="1"/>
  <c r="AI48" i="7" a="1"/>
  <c r="AI48" i="7" s="1"/>
  <c r="AO32" i="7" a="1"/>
  <c r="AO32" i="7" s="1"/>
  <c r="AJ45" i="7" a="1"/>
  <c r="AJ45" i="7" s="1"/>
  <c r="AI32" i="7" a="1"/>
  <c r="AI32" i="7" s="1"/>
  <c r="AI20" i="7" a="1"/>
  <c r="AI20" i="7" s="1"/>
  <c r="AI46" i="7" a="1"/>
  <c r="AI46" i="7" s="1"/>
  <c r="AN30" i="7" a="1"/>
  <c r="AN30" i="7" s="1"/>
  <c r="AI42" i="7" a="1"/>
  <c r="AI42" i="7" s="1"/>
  <c r="AI21" i="7" a="1"/>
  <c r="AI21" i="7" s="1"/>
  <c r="AJ22" i="7" a="1"/>
  <c r="AJ22" i="7" s="1"/>
  <c r="AI39" i="7" a="1"/>
  <c r="AI39" i="7" s="1"/>
  <c r="AI24" i="7" a="1"/>
  <c r="AI24" i="7" s="1"/>
  <c r="AI33" i="7" a="1"/>
  <c r="AI33" i="7" s="1"/>
  <c r="AI28" i="7" a="1"/>
  <c r="AI28" i="7" s="1"/>
  <c r="AI26" i="7" a="1"/>
  <c r="AI26" i="7" s="1"/>
  <c r="AI37" i="7" a="1"/>
  <c r="AI37" i="7" s="1"/>
  <c r="AI44" i="7" a="1"/>
  <c r="AI44" i="7" s="1"/>
  <c r="AI40" i="7" a="1"/>
  <c r="AI40" i="7" s="1"/>
  <c r="AM26" i="7" a="1"/>
  <c r="AM26" i="7" s="1"/>
  <c r="AI36" i="7" a="1"/>
  <c r="AI36" i="7" s="1"/>
  <c r="AI41" i="7" a="1"/>
  <c r="AI41" i="7" s="1"/>
  <c r="AI25" i="7" a="1"/>
  <c r="AI25" i="7" s="1"/>
  <c r="AI38" i="7" a="1"/>
  <c r="AI38" i="7" s="1"/>
  <c r="AJ30" i="7" a="1"/>
  <c r="AJ30" i="7" s="1"/>
  <c r="AI23" i="7" a="1"/>
  <c r="AI23" i="7" s="1"/>
  <c r="AI35" i="7" a="1"/>
  <c r="AI35" i="7" s="1"/>
  <c r="AI30" i="7" a="1"/>
  <c r="AI30" i="7" s="1"/>
  <c r="AN29" i="7" a="1"/>
  <c r="AN29" i="7" s="1"/>
  <c r="AI31" i="7" a="1"/>
  <c r="AI31" i="7" s="1"/>
  <c r="AO39" i="7" a="1"/>
  <c r="AO39" i="7" s="1"/>
  <c r="AJ50" i="7" a="1"/>
  <c r="AJ50" i="7" s="1"/>
  <c r="AI47" i="7" a="1"/>
  <c r="AI47" i="7" s="1"/>
  <c r="AI49" i="7" a="1"/>
  <c r="AI49" i="7" s="1"/>
  <c r="AJ21" i="7" a="1"/>
  <c r="AJ21" i="7" s="1"/>
  <c r="AI22" i="7" a="1"/>
  <c r="AI22" i="7" s="1"/>
  <c r="AI50" i="7" a="1"/>
  <c r="AI50" i="7" s="1"/>
  <c r="AI45" i="7" a="1"/>
  <c r="AI45" i="7" s="1"/>
  <c r="AI34" i="7" a="1"/>
  <c r="AI34" i="7" s="1"/>
  <c r="AI27" i="7" a="1"/>
  <c r="AI27" i="7" s="1"/>
  <c r="AI19" i="7" a="1"/>
  <c r="AI19" i="7" s="1"/>
  <c r="AI43" i="7" a="1"/>
  <c r="AI43" i="7" s="1"/>
  <c r="AK31" i="6" a="1"/>
  <c r="AK31" i="6" s="1"/>
  <c r="AK32" i="6" a="1"/>
  <c r="AK32" i="6" s="1"/>
  <c r="AJ30" i="6" a="1"/>
  <c r="AJ30" i="6" s="1"/>
  <c r="AO36" i="6" a="1"/>
  <c r="AO36" i="6" s="1"/>
  <c r="AL33" i="6" a="1"/>
  <c r="AL33" i="6" s="1"/>
  <c r="AL22" i="6" a="1"/>
  <c r="AL22" i="6" s="1"/>
  <c r="AM49" i="6" a="1"/>
  <c r="AM49" i="6" s="1"/>
  <c r="AK34" i="6" a="1"/>
  <c r="AK34" i="6" s="1"/>
  <c r="AN45" i="6" a="1"/>
  <c r="AN45" i="6" s="1"/>
  <c r="AL28" i="6" a="1"/>
  <c r="AL28" i="6" s="1"/>
  <c r="AK50" i="6" a="1"/>
  <c r="AK50" i="6" s="1"/>
  <c r="AN49" i="6" a="1"/>
  <c r="AN49" i="6" s="1"/>
  <c r="AO47" i="6" a="1"/>
  <c r="AO47" i="6" s="1"/>
  <c r="AL30" i="6" a="1"/>
  <c r="AL30" i="6" s="1"/>
  <c r="AJ23" i="6" a="1"/>
  <c r="AJ23" i="6" s="1"/>
  <c r="AM48" i="6" a="1"/>
  <c r="AM48" i="6" s="1"/>
  <c r="AJ44" i="6" a="1"/>
  <c r="AJ44" i="6" s="1"/>
  <c r="AK26" i="6" a="1"/>
  <c r="AK26" i="6" s="1"/>
  <c r="AM41" i="6" a="1"/>
  <c r="AM41" i="6" s="1"/>
  <c r="AO32" i="6" a="1"/>
  <c r="AO32" i="6" s="1"/>
  <c r="AK46" i="6" a="1"/>
  <c r="AK46" i="6" s="1"/>
  <c r="AM39" i="6" a="1"/>
  <c r="AM39" i="6" s="1"/>
  <c r="AM37" i="6" a="1"/>
  <c r="AM37" i="6" s="1"/>
  <c r="AM21" i="6" a="1"/>
  <c r="AM21" i="6" s="1"/>
  <c r="AK49" i="6" a="1"/>
  <c r="AK49" i="6" s="1"/>
  <c r="AJ36" i="6" a="1"/>
  <c r="AJ36" i="6" s="1"/>
  <c r="AN47" i="6" a="1"/>
  <c r="AN47" i="6" s="1"/>
  <c r="AL29" i="6" a="1"/>
  <c r="AL29" i="6" s="1"/>
  <c r="AJ21" i="6" a="1"/>
  <c r="AJ21" i="6" s="1"/>
  <c r="AL32" i="6" a="1"/>
  <c r="AL32" i="6" s="1"/>
  <c r="AN41" i="6" a="1"/>
  <c r="AN41" i="6" s="1"/>
  <c r="AO31" i="6" a="1"/>
  <c r="AO31" i="6" s="1"/>
  <c r="AL45" i="6" a="1"/>
  <c r="AL45" i="6" s="1"/>
  <c r="AM38" i="6" a="1"/>
  <c r="AM38" i="6" s="1"/>
  <c r="AN26" i="6" a="1"/>
  <c r="AN26" i="6" s="1"/>
  <c r="AO23" i="6" a="1"/>
  <c r="AO23" i="6" s="1"/>
  <c r="AM22" i="6" a="1"/>
  <c r="AM22" i="6" s="1"/>
  <c r="AK39" i="6" a="1"/>
  <c r="AK39" i="6" s="1"/>
  <c r="AN25" i="6" a="1"/>
  <c r="AN25" i="6" s="1"/>
  <c r="AM35" i="6" a="1"/>
  <c r="AM35" i="6" s="1"/>
  <c r="AN35" i="6" a="1"/>
  <c r="AN35" i="6" s="1"/>
  <c r="AN24" i="6" a="1"/>
  <c r="AN24" i="6" s="1"/>
  <c r="AL40" i="6" a="1"/>
  <c r="AL40" i="6" s="1"/>
  <c r="AK38" i="6" a="1"/>
  <c r="AK38" i="6" s="1"/>
  <c r="AK20" i="6" a="1"/>
  <c r="AK20" i="6" s="1"/>
  <c r="AL21" i="6" a="1"/>
  <c r="AL21" i="6" s="1"/>
  <c r="AJ33" i="6" a="1"/>
  <c r="AJ33" i="6" s="1"/>
  <c r="AJ42" i="6" a="1"/>
  <c r="AJ42" i="6" s="1"/>
  <c r="AO26" i="6" a="1"/>
  <c r="AO26" i="6" s="1"/>
  <c r="AL42" i="6" a="1"/>
  <c r="AL42" i="6" s="1"/>
  <c r="AK22" i="6" a="1"/>
  <c r="AK22" i="6" s="1"/>
  <c r="AL49" i="6" a="1"/>
  <c r="AL49" i="6" s="1"/>
  <c r="AL43" i="6" a="1"/>
  <c r="AL43" i="6" s="1"/>
  <c r="AN48" i="6" a="1"/>
  <c r="AN48" i="6" s="1"/>
  <c r="AN50" i="6" a="1"/>
  <c r="AN50" i="6" s="1"/>
  <c r="AO41" i="6" a="1"/>
  <c r="AO41" i="6" s="1"/>
  <c r="AF2" i="6"/>
  <c r="AF1" i="12"/>
  <c r="AF2" i="12" s="1"/>
  <c r="AF1" i="1"/>
  <c r="AF2" i="1" s="1"/>
  <c r="AN23" i="6" l="1" a="1"/>
  <c r="AN23" i="6" s="1"/>
  <c r="AL44" i="6" a="1"/>
  <c r="AL44" i="6" s="1"/>
  <c r="AM19" i="6" a="1"/>
  <c r="AM19" i="6" s="1"/>
  <c r="AK43" i="6" a="1"/>
  <c r="AK43" i="6" s="1"/>
  <c r="AL46" i="6" a="1"/>
  <c r="AL46" i="6" s="1"/>
  <c r="AM20" i="6" a="1"/>
  <c r="AM20" i="6" s="1"/>
  <c r="AO33" i="6" a="1"/>
  <c r="AO33" i="6" s="1"/>
  <c r="AJ35" i="6" a="1"/>
  <c r="AJ35" i="6" s="1"/>
  <c r="AO48" i="6" a="1"/>
  <c r="AO48" i="6" s="1"/>
  <c r="AO24" i="6" a="1"/>
  <c r="AO24" i="6" s="1"/>
  <c r="AM30" i="6" a="1"/>
  <c r="AM30" i="6" s="1"/>
  <c r="AN39" i="6" a="1"/>
  <c r="AN39" i="6" s="1"/>
  <c r="AK42" i="6" a="1"/>
  <c r="AK42" i="6" s="1"/>
  <c r="AO20" i="6" a="1"/>
  <c r="AO20" i="6" s="1"/>
  <c r="AK40" i="6" a="1"/>
  <c r="AK40" i="6" s="1"/>
  <c r="AN34" i="6" a="1"/>
  <c r="AN34" i="6" s="1"/>
  <c r="AN33" i="6" a="1"/>
  <c r="AN33" i="6" s="1"/>
  <c r="AM50" i="6" a="1"/>
  <c r="AM50" i="6" s="1"/>
  <c r="AN42" i="6" a="1"/>
  <c r="AN42" i="6" s="1"/>
  <c r="AO46" i="6" a="1"/>
  <c r="AO46" i="6" s="1"/>
  <c r="AK19" i="6" a="1"/>
  <c r="AK19" i="6" s="1"/>
  <c r="AL47" i="6" a="1"/>
  <c r="AL47" i="6" s="1"/>
  <c r="AO34" i="6" a="1"/>
  <c r="AO34" i="6" s="1"/>
  <c r="AN36" i="6" a="1"/>
  <c r="AN36" i="6" s="1"/>
  <c r="AO50" i="6" a="1"/>
  <c r="AO50" i="6" s="1"/>
  <c r="AO22" i="6" a="1"/>
  <c r="AO22" i="6" s="1"/>
  <c r="AJ43" i="6" a="1"/>
  <c r="AJ43" i="6" s="1"/>
  <c r="AJ50" i="6" a="1"/>
  <c r="AJ50" i="6" s="1"/>
  <c r="AN44" i="6" a="1"/>
  <c r="AN44" i="6" s="1"/>
  <c r="AM47" i="6" a="1"/>
  <c r="AM47" i="6" s="1"/>
  <c r="AO19" i="6" a="1"/>
  <c r="AO19" i="6" s="1"/>
  <c r="AO29" i="6" a="1"/>
  <c r="AO29" i="6" s="1"/>
  <c r="AO28" i="6" a="1"/>
  <c r="AO28" i="6" s="1"/>
  <c r="AO37" i="6" a="1"/>
  <c r="AO37" i="6" s="1"/>
  <c r="AN31" i="6" a="1"/>
  <c r="AN31" i="6" s="1"/>
  <c r="AN37" i="6" a="1"/>
  <c r="AN37" i="6" s="1"/>
  <c r="AN22" i="6" a="1"/>
  <c r="AN22" i="6" s="1"/>
  <c r="AL48" i="6" a="1"/>
  <c r="AL48" i="6" s="1"/>
  <c r="AK28" i="6" a="1"/>
  <c r="AK28" i="6" s="1"/>
  <c r="AO39" i="6" a="1"/>
  <c r="AO39" i="6" s="1"/>
  <c r="AL20" i="6" a="1"/>
  <c r="AL20" i="6" s="1"/>
  <c r="AN32" i="6" a="1"/>
  <c r="AN32" i="6" s="1"/>
  <c r="AO27" i="6" a="1"/>
  <c r="AO27" i="6" s="1"/>
  <c r="AJ37" i="6" a="1"/>
  <c r="AJ37" i="6" s="1"/>
  <c r="AM36" i="6" a="1"/>
  <c r="AM36" i="6" s="1"/>
  <c r="AL25" i="6" a="1"/>
  <c r="AL25" i="6" s="1"/>
  <c r="AN38" i="6" a="1"/>
  <c r="AN38" i="6" s="1"/>
  <c r="AL26" i="6" a="1"/>
  <c r="AL26" i="6" s="1"/>
  <c r="AN21" i="6" a="1"/>
  <c r="AN21" i="6" s="1"/>
  <c r="AM24" i="6" a="1"/>
  <c r="AM24" i="6" s="1"/>
  <c r="AM45" i="6" a="1"/>
  <c r="AM45" i="6" s="1"/>
  <c r="AO44" i="6" a="1"/>
  <c r="AO44" i="6" s="1"/>
  <c r="AM40" i="6" a="1"/>
  <c r="AM40" i="6" s="1"/>
  <c r="AL35" i="6" a="1"/>
  <c r="AL35" i="6" s="1"/>
  <c r="AO38" i="6" a="1"/>
  <c r="AO38" i="6" s="1"/>
  <c r="AM32" i="6" a="1"/>
  <c r="AM32" i="6" s="1"/>
  <c r="AO35" i="6" a="1"/>
  <c r="AO35" i="6" s="1"/>
  <c r="AJ39" i="6" a="1"/>
  <c r="AJ39" i="6" s="1"/>
  <c r="AJ38" i="6" a="1"/>
  <c r="AJ38" i="6" s="1"/>
  <c r="AM33" i="6" a="1"/>
  <c r="AM33" i="6" s="1"/>
  <c r="AK41" i="6" a="1"/>
  <c r="AK41" i="6" s="1"/>
  <c r="AL37" i="6" a="1"/>
  <c r="AL37" i="6" s="1"/>
  <c r="AL36" i="6" a="1"/>
  <c r="AL36" i="6" s="1"/>
  <c r="AJ25" i="6" a="1"/>
  <c r="AJ25" i="6" s="1"/>
  <c r="AN27" i="6" a="1"/>
  <c r="AN27" i="6" s="1"/>
  <c r="AK25" i="6" a="1"/>
  <c r="AK25" i="6" s="1"/>
  <c r="AM25" i="6" a="1"/>
  <c r="AM25" i="6" s="1"/>
  <c r="AJ29" i="6" a="1"/>
  <c r="AJ29" i="6" s="1"/>
  <c r="AL50" i="6" a="1"/>
  <c r="AL50" i="6" s="1"/>
  <c r="AM43" i="6" a="1"/>
  <c r="AM43" i="6" s="1"/>
  <c r="AJ45" i="6" a="1"/>
  <c r="AJ45" i="6" s="1"/>
  <c r="AK36" i="6" a="1"/>
  <c r="AK36" i="6" s="1"/>
  <c r="AK48" i="6" a="1"/>
  <c r="AK48" i="6" s="1"/>
  <c r="AK45" i="6" a="1"/>
  <c r="AK45" i="6" s="1"/>
  <c r="AN40" i="6" a="1"/>
  <c r="AN40" i="6" s="1"/>
  <c r="AK47" i="6" a="1"/>
  <c r="AK47" i="6" s="1"/>
  <c r="AL23" i="6" a="1"/>
  <c r="AL23" i="6" s="1"/>
  <c r="AN43" i="6" a="1"/>
  <c r="AN43" i="6" s="1"/>
  <c r="AK21" i="6" a="1"/>
  <c r="AK21" i="6" s="1"/>
  <c r="AJ48" i="6" a="1"/>
  <c r="AJ48" i="6" s="1"/>
  <c r="AL41" i="6" a="1"/>
  <c r="AL41" i="6" s="1"/>
  <c r="AO42" i="6" a="1"/>
  <c r="AO42" i="6" s="1"/>
  <c r="AK29" i="6" a="1"/>
  <c r="AK29" i="6" s="1"/>
  <c r="AJ32" i="6" a="1"/>
  <c r="AJ32" i="6" s="1"/>
  <c r="AO30" i="6" a="1"/>
  <c r="AO30" i="6" s="1"/>
  <c r="AK35" i="6" a="1"/>
  <c r="AK35" i="6" s="1"/>
  <c r="AJ34" i="6" a="1"/>
  <c r="AJ34" i="6" s="1"/>
  <c r="AJ28" i="6" a="1"/>
  <c r="AJ28" i="6" s="1"/>
  <c r="AJ47" i="6" a="1"/>
  <c r="AJ47" i="6" s="1"/>
  <c r="AN28" i="6" a="1"/>
  <c r="AN28" i="6" s="1"/>
  <c r="AO43" i="6" a="1"/>
  <c r="AO43" i="6" s="1"/>
  <c r="AL31" i="6" a="1"/>
  <c r="AL31" i="6" s="1"/>
  <c r="AJ26" i="6" a="1"/>
  <c r="AJ26" i="6" s="1"/>
  <c r="AJ49" i="6" a="1"/>
  <c r="AJ49" i="6" s="1"/>
  <c r="AL27" i="6" a="1"/>
  <c r="AL27" i="6" s="1"/>
  <c r="AO45" i="6" a="1"/>
  <c r="AO45" i="6" s="1"/>
  <c r="AJ22" i="6" a="1"/>
  <c r="AJ22" i="6" s="1"/>
  <c r="AO21" i="6" a="1"/>
  <c r="AO21" i="6" s="1"/>
  <c r="AM23" i="6" a="1"/>
  <c r="AM23" i="6" s="1"/>
  <c r="AN19" i="6" a="1"/>
  <c r="AN19" i="6" s="1"/>
  <c r="AJ40" i="6" a="1"/>
  <c r="AJ40" i="6" s="1"/>
  <c r="AL38" i="6" a="1"/>
  <c r="AL38" i="6" s="1"/>
  <c r="AO25" i="6" a="1"/>
  <c r="AO25" i="6" s="1"/>
  <c r="AK30" i="6" a="1"/>
  <c r="AK30" i="6" s="1"/>
  <c r="AL19" i="6" a="1"/>
  <c r="AL19" i="6" s="1"/>
  <c r="AM34" i="6" a="1"/>
  <c r="AM34" i="6" s="1"/>
  <c r="AN46" i="6" a="1"/>
  <c r="AN46" i="6" s="1"/>
  <c r="AK33" i="6" a="1"/>
  <c r="AK33" i="6" s="1"/>
  <c r="AK24" i="6" a="1"/>
  <c r="AK24" i="6" s="1"/>
  <c r="AL39" i="6" a="1"/>
  <c r="AL39" i="6" s="1"/>
  <c r="AM44" i="6" a="1"/>
  <c r="AM44" i="6" s="1"/>
  <c r="AL24" i="6" a="1"/>
  <c r="AL24" i="6" s="1"/>
  <c r="AN30" i="6" a="1"/>
  <c r="AN30" i="6" s="1"/>
  <c r="AJ27" i="6" a="1"/>
  <c r="AJ27" i="6" s="1"/>
  <c r="AK44" i="6" a="1"/>
  <c r="AK44" i="6" s="1"/>
  <c r="AJ19" i="6" a="1"/>
  <c r="AJ19" i="6" s="1"/>
  <c r="AK37" i="6" a="1"/>
  <c r="AK37" i="6" s="1"/>
  <c r="AN29" i="6" a="1"/>
  <c r="AN29" i="6" s="1"/>
  <c r="AK27" i="6" a="1"/>
  <c r="AK27" i="6" s="1"/>
  <c r="AJ31" i="6" a="1"/>
  <c r="AJ31" i="6" s="1"/>
  <c r="AM26" i="6" a="1"/>
  <c r="AM26" i="6" s="1"/>
  <c r="AM27" i="6" a="1"/>
  <c r="AM27" i="6" s="1"/>
  <c r="AJ46" i="6" a="1"/>
  <c r="AJ46" i="6" s="1"/>
  <c r="AM46" i="6" a="1"/>
  <c r="AM46" i="6" s="1"/>
  <c r="AK23" i="6" a="1"/>
  <c r="AK23" i="6" s="1"/>
  <c r="AJ20" i="6" a="1"/>
  <c r="AJ20" i="6" s="1"/>
  <c r="AM31" i="6" a="1"/>
  <c r="AM31" i="6" s="1"/>
  <c r="AO49" i="6" a="1"/>
  <c r="AO49" i="6" s="1"/>
  <c r="AJ24" i="6" a="1"/>
  <c r="AJ24" i="6" s="1"/>
  <c r="AL34" i="6" a="1"/>
  <c r="AL34" i="6" s="1"/>
  <c r="AM42" i="6" a="1"/>
  <c r="AM42" i="6" s="1"/>
  <c r="AJ41" i="6" a="1"/>
  <c r="AJ41" i="6" s="1"/>
  <c r="AO40" i="6" a="1"/>
  <c r="AO40" i="6" s="1"/>
  <c r="AN20" i="6" a="1"/>
  <c r="AN20" i="6" s="1"/>
  <c r="AM28" i="6" a="1"/>
  <c r="AM28" i="6" s="1"/>
  <c r="AM29" i="6" a="1"/>
  <c r="AM29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<sst xmlns="http://schemas.openxmlformats.org/spreadsheetml/2006/main" count="750" uniqueCount="62">
  <si>
    <t>Row Labels</t>
  </si>
  <si>
    <t>Mon</t>
  </si>
  <si>
    <t>Tue</t>
  </si>
  <si>
    <t>Wed</t>
  </si>
  <si>
    <t>Thu</t>
  </si>
  <si>
    <t>Fri</t>
  </si>
  <si>
    <t>Sat</t>
  </si>
  <si>
    <t>Sun</t>
  </si>
  <si>
    <t>12:00 AM</t>
  </si>
  <si>
    <t>12:30 AM</t>
  </si>
  <si>
    <t xml:space="preserve"> 1:00 AM</t>
  </si>
  <si>
    <t xml:space="preserve"> 1:30 AM</t>
  </si>
  <si>
    <t xml:space="preserve"> 2:00 AM</t>
  </si>
  <si>
    <t xml:space="preserve"> 2:30 AM</t>
  </si>
  <si>
    <t xml:space="preserve"> 3:00 AM</t>
  </si>
  <si>
    <t xml:space="preserve"> 3:30 AM</t>
  </si>
  <si>
    <t xml:space="preserve"> 4:00 AM</t>
  </si>
  <si>
    <t xml:space="preserve"> 4:30 AM</t>
  </si>
  <si>
    <t xml:space="preserve"> 5:00 AM</t>
  </si>
  <si>
    <t xml:space="preserve"> 5:30 AM</t>
  </si>
  <si>
    <t xml:space="preserve"> 6:00 AM</t>
  </si>
  <si>
    <t xml:space="preserve"> 6:30 AM</t>
  </si>
  <si>
    <t xml:space="preserve"> 7:00 AM</t>
  </si>
  <si>
    <t xml:space="preserve"> 7:30 AM</t>
  </si>
  <si>
    <t xml:space="preserve"> 8:00 AM</t>
  </si>
  <si>
    <t xml:space="preserve"> 8:30 AM</t>
  </si>
  <si>
    <t xml:space="preserve"> 9:00 AM</t>
  </si>
  <si>
    <t xml:space="preserve"> 9:30 AM</t>
  </si>
  <si>
    <t>10:00 AM</t>
  </si>
  <si>
    <t>10:30 AM</t>
  </si>
  <si>
    <t>11:00 AM</t>
  </si>
  <si>
    <t>11:30 AM</t>
  </si>
  <si>
    <t>12:00 PM</t>
  </si>
  <si>
    <t>12:30 PM</t>
  </si>
  <si>
    <t xml:space="preserve"> 1:00 PM</t>
  </si>
  <si>
    <t xml:space="preserve"> 1:30 PM</t>
  </si>
  <si>
    <t xml:space="preserve"> 2:00 PM</t>
  </si>
  <si>
    <t xml:space="preserve"> 2:30 PM</t>
  </si>
  <si>
    <t xml:space="preserve"> 3:00 PM</t>
  </si>
  <si>
    <t xml:space="preserve"> 3:30 PM</t>
  </si>
  <si>
    <t xml:space="preserve"> 4:00 PM</t>
  </si>
  <si>
    <t xml:space="preserve"> 4:30 PM</t>
  </si>
  <si>
    <t xml:space="preserve"> 5:00 PM</t>
  </si>
  <si>
    <t xml:space="preserve"> 5:30 PM</t>
  </si>
  <si>
    <t xml:space="preserve"> 6:00 PM</t>
  </si>
  <si>
    <t xml:space="preserve"> 6:30 PM</t>
  </si>
  <si>
    <t xml:space="preserve"> 7:00 PM</t>
  </si>
  <si>
    <t xml:space="preserve"> 7:30 PM</t>
  </si>
  <si>
    <t xml:space="preserve"> 8:00 PM</t>
  </si>
  <si>
    <t xml:space="preserve"> 8:30 PM</t>
  </si>
  <si>
    <t xml:space="preserve"> 9:00 PM</t>
  </si>
  <si>
    <t xml:space="preserve"> 9:30 PM</t>
  </si>
  <si>
    <t>10:00 PM</t>
  </si>
  <si>
    <t>10:30 PM</t>
  </si>
  <si>
    <t>11:00 PM</t>
  </si>
  <si>
    <t>11:30 PM</t>
  </si>
  <si>
    <t>Time Period</t>
  </si>
  <si>
    <t>LOCK</t>
  </si>
  <si>
    <t xml:space="preserve"> Volume</t>
  </si>
  <si>
    <t xml:space="preserve">Hours </t>
  </si>
  <si>
    <t>Volume</t>
  </si>
  <si>
    <t>MAX REQUIRED FTE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</si>
</sst>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Tahoma"/>
      <family val="2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>
      <alignment horizontal="center" vertical="top" wrapText="1"/>
    </xf>
  </cellStyleXfs>
  <cellXfs count="23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8" fontId="0" fillId="0" borderId="0" xfId="0" applyNumberFormat="1" applyAlignment="1">
      <alignment horizontal="center" vertical="center"/>
    </xf>
    <xf numFmtId="18" fontId="1" fillId="4" borderId="2" xfId="0" applyNumberFormat="1" applyFont="1" applyFill="1" applyBorder="1" applyAlignment="1">
      <alignment horizontal="center" vertical="center"/>
    </xf>
    <xf numFmtId="3" fontId="1" fillId="4" borderId="2" xfId="0" applyNumberFormat="1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Normal 2" xfId="1" xr:uid="{CC46604C-8553-41D5-AF79-6D05A68138BD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93726-A92F-47BF-AB8E-EA9D0828AB43}">
  <sheetPr>
    <tabColor rgb="FFFF0000"/>
  </sheetPr>
  <dimension ref="A1:AO51"/>
  <sheetViews>
    <sheetView zoomScale="75" zoomScaleNormal="75" workbookViewId="0">
      <pane xSplit="1" ySplit="2" topLeftCell="B6" activePane="bottomRight" state="frozen"/>
      <selection activeCell="I28" sqref="I28"/>
      <selection pane="topRight" activeCell="I28" sqref="I28"/>
      <selection pane="bottomLeft" activeCell="I28" sqref="I28"/>
      <selection pane="bottomRight" activeCell="C39" sqref="C39"/>
    </sheetView>
  </sheetViews>
  <sheetFormatPr defaultColWidth="9.140625" defaultRowHeight="15" x14ac:dyDescent="0.25"/>
  <cols>
    <col min="1" max="1" width="9.7109375" style="3" bestFit="1" customWidth="1"/>
    <col min="2" max="10" width="7.7109375" style="3" bestFit="1" customWidth="1"/>
    <col min="11" max="32" width="8.85546875" style="3" bestFit="1" customWidth="1"/>
    <col min="33" max="34" width="9.140625" style="3"/>
    <col min="35" max="35" width="5.42578125" style="3" bestFit="1" customWidth="1"/>
    <col min="36" max="36" width="4.7109375" style="3" bestFit="1" customWidth="1"/>
    <col min="37" max="37" width="5.42578125" style="3" bestFit="1" customWidth="1"/>
    <col min="38" max="38" width="4.5703125" style="3" bestFit="1" customWidth="1"/>
    <col min="39" max="39" width="3.5703125" style="3" bestFit="1" customWidth="1"/>
    <col min="40" max="40" width="4" style="3" bestFit="1" customWidth="1"/>
    <col min="41" max="41" width="4.5703125" style="3" bestFit="1" customWidth="1"/>
    <col min="42" max="16384" width="9.140625" style="3"/>
  </cols>
  <sheetData>
    <row r="1" spans="1:41" x14ac:dyDescent="0.25">
      <c r="A1" s="1" t="s">
        <v>57</v>
      </c>
      <c r="B1" s="2">
        <v>46082</v>
      </c>
      <c r="C1" s="2">
        <f>B1+1</f>
        <v>46083</v>
      </c>
      <c r="D1" s="2">
        <f t="shared" ref="D1:AC1" si="0">C1+1</f>
        <v>46084</v>
      </c>
      <c r="E1" s="2">
        <f t="shared" si="0"/>
        <v>46085</v>
      </c>
      <c r="F1" s="2">
        <f t="shared" si="0"/>
        <v>46086</v>
      </c>
      <c r="G1" s="2">
        <f t="shared" si="0"/>
        <v>46087</v>
      </c>
      <c r="H1" s="2">
        <f t="shared" si="0"/>
        <v>46088</v>
      </c>
      <c r="I1" s="2">
        <f t="shared" si="0"/>
        <v>46089</v>
      </c>
      <c r="J1" s="2">
        <f t="shared" si="0"/>
        <v>46090</v>
      </c>
      <c r="K1" s="2">
        <f t="shared" si="0"/>
        <v>46091</v>
      </c>
      <c r="L1" s="2">
        <f t="shared" si="0"/>
        <v>46092</v>
      </c>
      <c r="M1" s="2">
        <f t="shared" si="0"/>
        <v>46093</v>
      </c>
      <c r="N1" s="2">
        <f t="shared" si="0"/>
        <v>46094</v>
      </c>
      <c r="O1" s="2">
        <f t="shared" si="0"/>
        <v>46095</v>
      </c>
      <c r="P1" s="2">
        <f t="shared" si="0"/>
        <v>46096</v>
      </c>
      <c r="Q1" s="2">
        <f t="shared" si="0"/>
        <v>46097</v>
      </c>
      <c r="R1" s="2">
        <f t="shared" si="0"/>
        <v>46098</v>
      </c>
      <c r="S1" s="2">
        <f t="shared" si="0"/>
        <v>46099</v>
      </c>
      <c r="T1" s="2">
        <f t="shared" si="0"/>
        <v>46100</v>
      </c>
      <c r="U1" s="2">
        <f t="shared" si="0"/>
        <v>46101</v>
      </c>
      <c r="V1" s="2">
        <f t="shared" si="0"/>
        <v>46102</v>
      </c>
      <c r="W1" s="2">
        <f t="shared" si="0"/>
        <v>46103</v>
      </c>
      <c r="X1" s="2">
        <f t="shared" si="0"/>
        <v>46104</v>
      </c>
      <c r="Y1" s="2">
        <f t="shared" si="0"/>
        <v>46105</v>
      </c>
      <c r="Z1" s="2">
        <f t="shared" si="0"/>
        <v>46106</v>
      </c>
      <c r="AA1" s="2">
        <f t="shared" si="0"/>
        <v>46107</v>
      </c>
      <c r="AB1" s="2">
        <f t="shared" si="0"/>
        <v>46108</v>
      </c>
      <c r="AC1" s="2">
        <f t="shared" si="0"/>
        <v>46109</v>
      </c>
      <c r="AD1" s="2">
        <f t="shared" ref="AD1" si="1">AC1+1</f>
        <v>46110</v>
      </c>
      <c r="AE1" s="2">
        <f t="shared" ref="AE1" si="2">AD1+1</f>
        <v>46111</v>
      </c>
      <c r="AF1" s="2">
        <f t="shared" ref="AF1" si="3">AE1+1</f>
        <v>46112</v>
      </c>
      <c r="AI1" s="22" t="s">
        <v>61</v>
      </c>
      <c r="AJ1" s="22"/>
      <c r="AK1" s="22"/>
      <c r="AL1" s="22"/>
      <c r="AM1" s="22"/>
      <c r="AN1" s="22"/>
      <c r="AO1" s="22"/>
    </row>
    <row r="2" spans="1:41" x14ac:dyDescent="0.25">
      <c r="A2" s="4"/>
      <c r="B2" s="5" t="str">
        <f>TEXT(B1,"ddd")</f>
        <v>Sun</v>
      </c>
      <c r="C2" s="5" t="str">
        <f t="shared" ref="C2:AE2" si="4">TEXT(C1,"ddd")</f>
        <v>Mon</v>
      </c>
      <c r="D2" s="5" t="str">
        <f t="shared" si="4"/>
        <v>Tue</v>
      </c>
      <c r="E2" s="5" t="str">
        <f t="shared" si="4"/>
        <v>Wed</v>
      </c>
      <c r="F2" s="5" t="str">
        <f t="shared" si="4"/>
        <v>Thu</v>
      </c>
      <c r="G2" s="5" t="str">
        <f t="shared" si="4"/>
        <v>Fri</v>
      </c>
      <c r="H2" s="5" t="str">
        <f t="shared" si="4"/>
        <v>Sat</v>
      </c>
      <c r="I2" s="5" t="str">
        <f t="shared" si="4"/>
        <v>Sun</v>
      </c>
      <c r="J2" s="5" t="str">
        <f t="shared" si="4"/>
        <v>Mon</v>
      </c>
      <c r="K2" s="5" t="str">
        <f t="shared" si="4"/>
        <v>Tue</v>
      </c>
      <c r="L2" s="5" t="str">
        <f t="shared" si="4"/>
        <v>Wed</v>
      </c>
      <c r="M2" s="5" t="str">
        <f t="shared" si="4"/>
        <v>Thu</v>
      </c>
      <c r="N2" s="5" t="str">
        <f t="shared" si="4"/>
        <v>Fri</v>
      </c>
      <c r="O2" s="5" t="str">
        <f t="shared" si="4"/>
        <v>Sat</v>
      </c>
      <c r="P2" s="5" t="str">
        <f t="shared" si="4"/>
        <v>Sun</v>
      </c>
      <c r="Q2" s="5" t="str">
        <f t="shared" si="4"/>
        <v>Mon</v>
      </c>
      <c r="R2" s="5" t="str">
        <f t="shared" si="4"/>
        <v>Tue</v>
      </c>
      <c r="S2" s="5" t="str">
        <f t="shared" si="4"/>
        <v>Wed</v>
      </c>
      <c r="T2" s="5" t="str">
        <f t="shared" si="4"/>
        <v>Thu</v>
      </c>
      <c r="U2" s="5" t="str">
        <f t="shared" si="4"/>
        <v>Fri</v>
      </c>
      <c r="V2" s="5" t="str">
        <f t="shared" si="4"/>
        <v>Sat</v>
      </c>
      <c r="W2" s="5" t="str">
        <f t="shared" si="4"/>
        <v>Sun</v>
      </c>
      <c r="X2" s="5" t="str">
        <f t="shared" si="4"/>
        <v>Mon</v>
      </c>
      <c r="Y2" s="5" t="str">
        <f t="shared" si="4"/>
        <v>Tue</v>
      </c>
      <c r="Z2" s="5" t="str">
        <f t="shared" si="4"/>
        <v>Wed</v>
      </c>
      <c r="AA2" s="5" t="str">
        <f t="shared" si="4"/>
        <v>Thu</v>
      </c>
      <c r="AB2" s="5" t="str">
        <f t="shared" si="4"/>
        <v>Fri</v>
      </c>
      <c r="AC2" s="5" t="str">
        <f t="shared" si="4"/>
        <v>Sat</v>
      </c>
      <c r="AD2" s="5" t="str">
        <f t="shared" si="4"/>
        <v>Sun</v>
      </c>
      <c r="AE2" s="5" t="str">
        <f t="shared" si="4"/>
        <v>Mon</v>
      </c>
      <c r="AF2" s="5" t="str">
        <f t="shared" ref="AF2" si="5">TEXT(AF1,"ddd")</f>
        <v>Tue</v>
      </c>
      <c r="AI2" s="6" t="s">
        <v>1</v>
      </c>
      <c r="AJ2" s="6" t="s">
        <v>2</v>
      </c>
      <c r="AK2" s="6" t="s">
        <v>3</v>
      </c>
      <c r="AL2" s="6" t="s">
        <v>4</v>
      </c>
      <c r="AM2" s="6" t="s">
        <v>5</v>
      </c>
      <c r="AN2" s="6" t="s">
        <v>6</v>
      </c>
      <c r="AO2" s="6" t="s">
        <v>7</v>
      </c>
    </row>
    <row r="3" spans="1:41" x14ac:dyDescent="0.25">
      <c r="A3" s="3" t="s">
        <v>8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I3" s="8"/>
      <c r="AJ3" s="8"/>
      <c r="AK3" s="8"/>
      <c r="AL3" s="8"/>
      <c r="AM3" s="8"/>
      <c r="AN3" s="8"/>
      <c r="AO3" s="8"/>
    </row>
    <row r="4" spans="1:41" x14ac:dyDescent="0.25">
      <c r="A4" s="3" t="s">
        <v>9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I4" s="8"/>
      <c r="AJ4" s="8"/>
      <c r="AK4" s="8"/>
      <c r="AL4" s="8"/>
      <c r="AM4" s="8"/>
      <c r="AN4" s="8"/>
      <c r="AO4" s="8"/>
    </row>
    <row r="5" spans="1:41" x14ac:dyDescent="0.25">
      <c r="A5" s="3" t="s">
        <v>10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I5" s="8"/>
      <c r="AJ5" s="8"/>
      <c r="AK5" s="8"/>
      <c r="AL5" s="8"/>
      <c r="AM5" s="8"/>
      <c r="AN5" s="8"/>
      <c r="AO5" s="8"/>
    </row>
    <row r="6" spans="1:41" x14ac:dyDescent="0.25">
      <c r="A6" s="3" t="s">
        <v>11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I6" s="8"/>
      <c r="AJ6" s="8"/>
      <c r="AK6" s="8"/>
      <c r="AL6" s="8"/>
      <c r="AM6" s="8"/>
      <c r="AN6" s="8"/>
      <c r="AO6" s="8"/>
    </row>
    <row r="7" spans="1:41" x14ac:dyDescent="0.25">
      <c r="A7" s="3" t="s">
        <v>12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I7" s="8"/>
      <c r="AJ7" s="8"/>
      <c r="AK7" s="8"/>
      <c r="AL7" s="8"/>
      <c r="AM7" s="8"/>
      <c r="AN7" s="8"/>
      <c r="AO7" s="8"/>
    </row>
    <row r="8" spans="1:41" x14ac:dyDescent="0.25">
      <c r="A8" s="3" t="s">
        <v>13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I8" s="8"/>
      <c r="AJ8" s="8"/>
      <c r="AK8" s="8"/>
      <c r="AL8" s="8"/>
      <c r="AM8" s="8"/>
      <c r="AN8" s="8"/>
      <c r="AO8" s="8"/>
    </row>
    <row r="9" spans="1:41" x14ac:dyDescent="0.25">
      <c r="A9" s="3" t="s">
        <v>14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I9" s="8"/>
      <c r="AJ9" s="8"/>
      <c r="AK9" s="8"/>
      <c r="AL9" s="8"/>
      <c r="AM9" s="8"/>
      <c r="AN9" s="8"/>
      <c r="AO9" s="8"/>
    </row>
    <row r="10" spans="1:41" x14ac:dyDescent="0.25">
      <c r="A10" s="3" t="s">
        <v>15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I10" s="8"/>
      <c r="AJ10" s="8"/>
      <c r="AK10" s="8"/>
      <c r="AL10" s="8"/>
      <c r="AM10" s="8"/>
      <c r="AN10" s="8"/>
      <c r="AO10" s="8"/>
    </row>
    <row r="11" spans="1:41" x14ac:dyDescent="0.25">
      <c r="A11" s="3" t="s">
        <v>16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I11" s="8"/>
      <c r="AJ11" s="8"/>
      <c r="AK11" s="8"/>
      <c r="AL11" s="8"/>
      <c r="AM11" s="8"/>
      <c r="AN11" s="8"/>
      <c r="AO11" s="8"/>
    </row>
    <row r="12" spans="1:41" x14ac:dyDescent="0.25">
      <c r="A12" s="3" t="s">
        <v>17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I12" s="8"/>
      <c r="AJ12" s="8"/>
      <c r="AK12" s="8"/>
      <c r="AL12" s="8"/>
      <c r="AM12" s="8"/>
      <c r="AN12" s="8"/>
      <c r="AO12" s="8"/>
    </row>
    <row r="13" spans="1:41" x14ac:dyDescent="0.25">
      <c r="A13" s="3" t="s">
        <v>18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I13" s="8"/>
      <c r="AJ13" s="8"/>
      <c r="AK13" s="8"/>
      <c r="AL13" s="8"/>
      <c r="AM13" s="8"/>
      <c r="AN13" s="8"/>
      <c r="AO13" s="8"/>
    </row>
    <row r="14" spans="1:41" x14ac:dyDescent="0.25">
      <c r="A14" s="3" t="s">
        <v>19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I14" s="8"/>
      <c r="AJ14" s="8"/>
      <c r="AK14" s="8"/>
      <c r="AL14" s="8"/>
      <c r="AM14" s="8"/>
      <c r="AN14" s="8"/>
      <c r="AO14" s="8"/>
    </row>
    <row r="15" spans="1:41" x14ac:dyDescent="0.25">
      <c r="A15" s="3" t="s">
        <v>20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I15" s="8"/>
      <c r="AJ15" s="8"/>
      <c r="AK15" s="8"/>
      <c r="AL15" s="8"/>
      <c r="AM15" s="8"/>
      <c r="AN15" s="8"/>
      <c r="AO15" s="8"/>
    </row>
    <row r="16" spans="1:41" x14ac:dyDescent="0.25">
      <c r="A16" s="3" t="s">
        <v>21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I16" s="8"/>
      <c r="AJ16" s="8"/>
      <c r="AK16" s="8"/>
      <c r="AL16" s="8"/>
      <c r="AM16" s="8"/>
      <c r="AN16" s="8"/>
      <c r="AO16" s="8"/>
    </row>
    <row r="17" spans="1:41" x14ac:dyDescent="0.25">
      <c r="A17" s="3" t="s">
        <v>22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I17" s="8"/>
      <c r="AJ17" s="8"/>
      <c r="AK17" s="8"/>
      <c r="AL17" s="8"/>
      <c r="AM17" s="8"/>
      <c r="AN17" s="8"/>
      <c r="AO17" s="8"/>
    </row>
    <row r="18" spans="1:41" x14ac:dyDescent="0.25">
      <c r="A18" s="3" t="s">
        <v>23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I18" s="8"/>
      <c r="AJ18" s="8"/>
      <c r="AK18" s="8"/>
      <c r="AL18" s="8"/>
      <c r="AM18" s="8"/>
      <c r="AN18" s="8"/>
      <c r="AO18" s="8"/>
    </row>
    <row r="19" spans="1:41" x14ac:dyDescent="0.25">
      <c r="A19" s="3" t="s">
        <v>24</v>
      </c>
      <c r="B19" s="7">
        <v>0</v>
      </c>
      <c r="C19" s="7">
        <v>8.6267112210497032</v>
      </c>
      <c r="D19" s="7">
        <v>5.7144456000224837</v>
      </c>
      <c r="E19" s="7">
        <v>4.3834101099997334</v>
      </c>
      <c r="F19" s="7">
        <v>5.003892819634399</v>
      </c>
      <c r="G19" s="7">
        <v>5.274103031894656</v>
      </c>
      <c r="H19" s="7">
        <v>0</v>
      </c>
      <c r="I19" s="7">
        <v>0</v>
      </c>
      <c r="J19" s="7">
        <v>7.9461817975794258</v>
      </c>
      <c r="K19" s="7">
        <v>4.4534646094746151</v>
      </c>
      <c r="L19" s="7">
        <v>4.073168755182401</v>
      </c>
      <c r="M19" s="7">
        <v>4.6736358935385285</v>
      </c>
      <c r="N19" s="7">
        <v>4.6135891797029158</v>
      </c>
      <c r="O19" s="7">
        <v>0</v>
      </c>
      <c r="P19" s="7">
        <v>0</v>
      </c>
      <c r="Q19" s="7">
        <v>7.6059170858442862</v>
      </c>
      <c r="R19" s="7">
        <v>4.4534646094746151</v>
      </c>
      <c r="S19" s="7">
        <v>4.3834101099997334</v>
      </c>
      <c r="T19" s="7">
        <v>4.6736358935385285</v>
      </c>
      <c r="U19" s="7">
        <v>4.6135891797029158</v>
      </c>
      <c r="V19" s="7">
        <v>0</v>
      </c>
      <c r="W19" s="7">
        <v>0</v>
      </c>
      <c r="X19" s="7">
        <v>7.9461817975794258</v>
      </c>
      <c r="Y19" s="7">
        <v>4.4534646094746151</v>
      </c>
      <c r="Z19" s="7">
        <v>4.3834101099997334</v>
      </c>
      <c r="AA19" s="7">
        <v>4.6736358935385285</v>
      </c>
      <c r="AB19" s="7">
        <v>4.9438461057987864</v>
      </c>
      <c r="AC19" s="7">
        <v>0</v>
      </c>
      <c r="AD19" s="7">
        <v>0</v>
      </c>
      <c r="AE19" s="7">
        <v>7.9461817975794258</v>
      </c>
      <c r="AF19" s="7">
        <v>4.7737137499312157</v>
      </c>
      <c r="AI19" s="9" cm="1">
        <f t="array" ref="AI19">MAX(_xlfn._xlws.FILTER($D19:$AF19, $D$2:$AF$2=AI$2))</f>
        <v>7.9461817975794258</v>
      </c>
      <c r="AJ19" s="9" cm="1">
        <f t="array" ref="AJ19">MAX(_xlfn._xlws.FILTER($B19:$AF19, $B$2:$AF$2=AJ$2))</f>
        <v>5.7144456000224837</v>
      </c>
      <c r="AK19" s="9" cm="1">
        <f t="array" ref="AK19">MAX(_xlfn._xlws.FILTER($B19:$AF19, $B$2:$AF$2=AK$2))</f>
        <v>4.3834101099997334</v>
      </c>
      <c r="AL19" s="9" cm="1">
        <f t="array" ref="AL19">MAX(_xlfn._xlws.FILTER($B19:$AF19, $B$2:$AF$2=AL$2))</f>
        <v>5.003892819634399</v>
      </c>
      <c r="AM19" s="9" cm="1">
        <f t="array" ref="AM19">MAX(_xlfn._xlws.FILTER($B19:$AF19, $B$2:$AF$2=AM$2))</f>
        <v>5.274103031894656</v>
      </c>
      <c r="AN19" s="9" cm="1">
        <f t="array" ref="AN19">MAX(_xlfn._xlws.FILTER($B19:$AF19, $B$2:$AF$2=AN$2))</f>
        <v>0</v>
      </c>
      <c r="AO19" s="9" cm="1">
        <f t="array" ref="AO19">MAX(_xlfn._xlws.FILTER($B19:$AF19, $B$2:$AF$2=AO$2))</f>
        <v>0</v>
      </c>
    </row>
    <row r="20" spans="1:41" x14ac:dyDescent="0.25">
      <c r="A20" s="3" t="s">
        <v>25</v>
      </c>
      <c r="B20" s="7">
        <v>0</v>
      </c>
      <c r="C20" s="7">
        <v>16.47281516223644</v>
      </c>
      <c r="D20" s="7">
        <v>10.338042565364669</v>
      </c>
      <c r="E20" s="7">
        <v>8.6867579348853159</v>
      </c>
      <c r="F20" s="7">
        <v>9.0170148609811864</v>
      </c>
      <c r="G20" s="7">
        <v>9.3973107152734023</v>
      </c>
      <c r="H20" s="7">
        <v>0</v>
      </c>
      <c r="I20" s="7">
        <v>0</v>
      </c>
      <c r="J20" s="7">
        <v>13.760705253994598</v>
      </c>
      <c r="K20" s="7">
        <v>7.9661973688579621</v>
      </c>
      <c r="L20" s="7">
        <v>8.336485437510909</v>
      </c>
      <c r="M20" s="7">
        <v>9.0170148609811864</v>
      </c>
      <c r="N20" s="7">
        <v>8.6567345779675104</v>
      </c>
      <c r="O20" s="7">
        <v>0</v>
      </c>
      <c r="P20" s="7">
        <v>0</v>
      </c>
      <c r="Q20" s="7">
        <v>13.380409399702382</v>
      </c>
      <c r="R20" s="7">
        <v>7.9661973688579621</v>
      </c>
      <c r="S20" s="7">
        <v>8.6867579348853159</v>
      </c>
      <c r="T20" s="7">
        <v>8.6467267923282414</v>
      </c>
      <c r="U20" s="7">
        <v>8.6567345779675104</v>
      </c>
      <c r="V20" s="7">
        <v>0</v>
      </c>
      <c r="W20" s="7">
        <v>0</v>
      </c>
      <c r="X20" s="7">
        <v>13.760705253994598</v>
      </c>
      <c r="Y20" s="7">
        <v>8.3064620805931018</v>
      </c>
      <c r="Z20" s="7">
        <v>9.0470382178989919</v>
      </c>
      <c r="AA20" s="7">
        <v>9.3873029296341333</v>
      </c>
      <c r="AB20" s="7">
        <v>9.0270226466204555</v>
      </c>
      <c r="AC20" s="7">
        <v>0</v>
      </c>
      <c r="AD20" s="7">
        <v>0</v>
      </c>
      <c r="AE20" s="7">
        <v>14.541312533857564</v>
      </c>
      <c r="AF20" s="7">
        <v>8.6467267923282414</v>
      </c>
      <c r="AI20" s="9" cm="1">
        <f t="array" ref="AI20">MAX(_xlfn._xlws.FILTER($D20:$AF20, $D$2:$AF$2=AI$2))</f>
        <v>14.541312533857564</v>
      </c>
      <c r="AJ20" s="9" cm="1">
        <f t="array" ref="AJ20">MAX(_xlfn._xlws.FILTER($B20:$AF20, $B$2:$AF$2=AJ$2))</f>
        <v>10.338042565364669</v>
      </c>
      <c r="AK20" s="9" cm="1">
        <f t="array" ref="AK20">MAX(_xlfn._xlws.FILTER($B20:$AF20, $B$2:$AF$2=AK$2))</f>
        <v>9.0470382178989919</v>
      </c>
      <c r="AL20" s="9" cm="1">
        <f t="array" ref="AL20">MAX(_xlfn._xlws.FILTER($B20:$AF20, $B$2:$AF$2=AL$2))</f>
        <v>9.3873029296341333</v>
      </c>
      <c r="AM20" s="9" cm="1">
        <f t="array" ref="AM20">MAX(_xlfn._xlws.FILTER($B20:$AF20, $B$2:$AF$2=AM$2))</f>
        <v>9.3973107152734023</v>
      </c>
      <c r="AN20" s="9" cm="1">
        <f t="array" ref="AN20">MAX(_xlfn._xlws.FILTER($B20:$AF20, $B$2:$AF$2=AN$2))</f>
        <v>0</v>
      </c>
      <c r="AO20" s="9" cm="1">
        <f t="array" ref="AO20">MAX(_xlfn._xlws.FILTER($B20:$AF20, $B$2:$AF$2=AO$2))</f>
        <v>0</v>
      </c>
    </row>
    <row r="21" spans="1:41" x14ac:dyDescent="0.25">
      <c r="A21" s="3" t="s">
        <v>26</v>
      </c>
      <c r="B21" s="7">
        <v>0</v>
      </c>
      <c r="C21" s="7">
        <v>34.8671251672125</v>
      </c>
      <c r="D21" s="7">
        <v>22.447463188879915</v>
      </c>
      <c r="E21" s="7">
        <v>18.144115363994331</v>
      </c>
      <c r="F21" s="7">
        <v>18.864675930021686</v>
      </c>
      <c r="G21" s="7">
        <v>19.044816071528523</v>
      </c>
      <c r="H21" s="7">
        <v>5.7744923138580964</v>
      </c>
      <c r="I21" s="7">
        <v>0</v>
      </c>
      <c r="J21" s="7">
        <v>25.559884522692506</v>
      </c>
      <c r="K21" s="7">
        <v>15.57211445470225</v>
      </c>
      <c r="L21" s="7">
        <v>15.432005455752487</v>
      </c>
      <c r="M21" s="7">
        <v>15.772270167487624</v>
      </c>
      <c r="N21" s="7">
        <v>15.532083312145174</v>
      </c>
      <c r="O21" s="7">
        <v>4.7536981786526784</v>
      </c>
      <c r="P21" s="7">
        <v>0</v>
      </c>
      <c r="Q21" s="7">
        <v>24.749253885911738</v>
      </c>
      <c r="R21" s="7">
        <v>15.211834171688572</v>
      </c>
      <c r="S21" s="7">
        <v>15.82230909568397</v>
      </c>
      <c r="T21" s="7">
        <v>15.381966527556143</v>
      </c>
      <c r="U21" s="7">
        <v>15.922386952076657</v>
      </c>
      <c r="V21" s="7">
        <v>4.4134334669175397</v>
      </c>
      <c r="W21" s="7">
        <v>0</v>
      </c>
      <c r="X21" s="7">
        <v>25.559884522692506</v>
      </c>
      <c r="Y21" s="7">
        <v>15.57211445470225</v>
      </c>
      <c r="Z21" s="7">
        <v>16.592908589907665</v>
      </c>
      <c r="AA21" s="7">
        <v>16.542869661711322</v>
      </c>
      <c r="AB21" s="7">
        <v>16.702994231939623</v>
      </c>
      <c r="AC21" s="7">
        <v>5.093962890387818</v>
      </c>
      <c r="AD21" s="7">
        <v>0</v>
      </c>
      <c r="AE21" s="7">
        <v>26.370515159473282</v>
      </c>
      <c r="AF21" s="7">
        <v>17.023243372396227</v>
      </c>
      <c r="AI21" s="9" cm="1">
        <f t="array" ref="AI21">MAX(_xlfn._xlws.FILTER($D21:$AF21, $D$2:$AF$2=AI$2))</f>
        <v>26.370515159473282</v>
      </c>
      <c r="AJ21" s="9" cm="1">
        <f t="array" ref="AJ21">MAX(_xlfn._xlws.FILTER($B21:$AF21, $B$2:$AF$2=AJ$2))</f>
        <v>22.447463188879915</v>
      </c>
      <c r="AK21" s="9" cm="1">
        <f t="array" ref="AK21">MAX(_xlfn._xlws.FILTER($B21:$AF21, $B$2:$AF$2=AK$2))</f>
        <v>18.144115363994331</v>
      </c>
      <c r="AL21" s="9" cm="1">
        <f t="array" ref="AL21">MAX(_xlfn._xlws.FILTER($B21:$AF21, $B$2:$AF$2=AL$2))</f>
        <v>18.864675930021686</v>
      </c>
      <c r="AM21" s="9" cm="1">
        <f t="array" ref="AM21">MAX(_xlfn._xlws.FILTER($B21:$AF21, $B$2:$AF$2=AM$2))</f>
        <v>19.044816071528523</v>
      </c>
      <c r="AN21" s="9" cm="1">
        <f t="array" ref="AN21">MAX(_xlfn._xlws.FILTER($B21:$AF21, $B$2:$AF$2=AN$2))</f>
        <v>5.7744923138580964</v>
      </c>
      <c r="AO21" s="9" cm="1">
        <f t="array" ref="AO21">MAX(_xlfn._xlws.FILTER($B21:$AF21, $B$2:$AF$2=AO$2))</f>
        <v>0</v>
      </c>
    </row>
    <row r="22" spans="1:41" x14ac:dyDescent="0.25">
      <c r="A22" s="3" t="s">
        <v>27</v>
      </c>
      <c r="B22" s="7">
        <v>0</v>
      </c>
      <c r="C22" s="7">
        <v>47.797184213147773</v>
      </c>
      <c r="D22" s="7">
        <v>34.666969454427118</v>
      </c>
      <c r="E22" s="7">
        <v>31.274330122714993</v>
      </c>
      <c r="F22" s="7">
        <v>29.933286847052976</v>
      </c>
      <c r="G22" s="7">
        <v>28.41210342988412</v>
      </c>
      <c r="H22" s="7">
        <v>9.3372640014377897</v>
      </c>
      <c r="I22" s="7">
        <v>0</v>
      </c>
      <c r="J22" s="7">
        <v>39.230519705933688</v>
      </c>
      <c r="K22" s="7">
        <v>24.739246100272467</v>
      </c>
      <c r="L22" s="7">
        <v>24.418996959815864</v>
      </c>
      <c r="M22" s="7">
        <v>23.708444179427779</v>
      </c>
      <c r="N22" s="7">
        <v>23.548319609199481</v>
      </c>
      <c r="O22" s="7">
        <v>7.4858236581730617</v>
      </c>
      <c r="P22" s="7">
        <v>0</v>
      </c>
      <c r="Q22" s="7">
        <v>37.939515358468007</v>
      </c>
      <c r="R22" s="7">
        <v>23.938623249130966</v>
      </c>
      <c r="S22" s="7">
        <v>24.849331742304422</v>
      </c>
      <c r="T22" s="7">
        <v>22.867790185729206</v>
      </c>
      <c r="U22" s="7">
        <v>23.948631034770234</v>
      </c>
      <c r="V22" s="7">
        <v>7.1155355895201149</v>
      </c>
      <c r="W22" s="7">
        <v>0</v>
      </c>
      <c r="X22" s="7">
        <v>39.230519705933688</v>
      </c>
      <c r="Y22" s="7">
        <v>24.739246100272467</v>
      </c>
      <c r="Z22" s="7">
        <v>26.140336089770102</v>
      </c>
      <c r="AA22" s="7">
        <v>24.539090387487089</v>
      </c>
      <c r="AB22" s="7">
        <v>25.569892308331777</v>
      </c>
      <c r="AC22" s="7">
        <v>7.8561117268260059</v>
      </c>
      <c r="AD22" s="7">
        <v>0</v>
      </c>
      <c r="AE22" s="7">
        <v>40.511516267760086</v>
      </c>
      <c r="AF22" s="7">
        <v>26.730795442486961</v>
      </c>
      <c r="AI22" s="9" cm="1">
        <f t="array" ref="AI22">MAX(_xlfn._xlws.FILTER($D22:$AF22, $D$2:$AF$2=AI$2))</f>
        <v>40.511516267760086</v>
      </c>
      <c r="AJ22" s="9" cm="1">
        <f t="array" ref="AJ22">MAX(_xlfn._xlws.FILTER($B22:$AF22, $B$2:$AF$2=AJ$2))</f>
        <v>34.666969454427118</v>
      </c>
      <c r="AK22" s="9" cm="1">
        <f t="array" ref="AK22">MAX(_xlfn._xlws.FILTER($B22:$AF22, $B$2:$AF$2=AK$2))</f>
        <v>31.274330122714993</v>
      </c>
      <c r="AL22" s="9" cm="1">
        <f t="array" ref="AL22">MAX(_xlfn._xlws.FILTER($B22:$AF22, $B$2:$AF$2=AL$2))</f>
        <v>29.933286847052976</v>
      </c>
      <c r="AM22" s="9" cm="1">
        <f t="array" ref="AM22">MAX(_xlfn._xlws.FILTER($B22:$AF22, $B$2:$AF$2=AM$2))</f>
        <v>28.41210342988412</v>
      </c>
      <c r="AN22" s="9" cm="1">
        <f t="array" ref="AN22">MAX(_xlfn._xlws.FILTER($B22:$AF22, $B$2:$AF$2=AN$2))</f>
        <v>9.3372640014377897</v>
      </c>
      <c r="AO22" s="9" cm="1">
        <f t="array" ref="AO22">MAX(_xlfn._xlws.FILTER($B22:$AF22, $B$2:$AF$2=AO$2))</f>
        <v>0</v>
      </c>
    </row>
    <row r="23" spans="1:41" x14ac:dyDescent="0.25">
      <c r="A23" s="3" t="s">
        <v>28</v>
      </c>
      <c r="B23" s="7">
        <v>0</v>
      </c>
      <c r="C23" s="7">
        <v>71.185379252118963</v>
      </c>
      <c r="D23" s="7">
        <v>49.868795840476416</v>
      </c>
      <c r="E23" s="7">
        <v>43.463813031344387</v>
      </c>
      <c r="F23" s="7">
        <v>44.354505953239304</v>
      </c>
      <c r="G23" s="7">
        <v>41.292123547623056</v>
      </c>
      <c r="H23" s="7">
        <v>14.871569459953433</v>
      </c>
      <c r="I23" s="7">
        <v>0</v>
      </c>
      <c r="J23" s="7">
        <v>51.780282897576761</v>
      </c>
      <c r="K23" s="7">
        <v>33.175809394176063</v>
      </c>
      <c r="L23" s="7">
        <v>32.515295541984322</v>
      </c>
      <c r="M23" s="7">
        <v>31.214283408879382</v>
      </c>
      <c r="N23" s="7">
        <v>31.004119910454737</v>
      </c>
      <c r="O23" s="7">
        <v>11.699101412305225</v>
      </c>
      <c r="P23" s="7">
        <v>0</v>
      </c>
      <c r="Q23" s="7">
        <v>49.518523343102011</v>
      </c>
      <c r="R23" s="7">
        <v>31.924836189267463</v>
      </c>
      <c r="S23" s="7">
        <v>32.955638110112147</v>
      </c>
      <c r="T23" s="7">
        <v>30.333598272623721</v>
      </c>
      <c r="U23" s="7">
        <v>31.434454692943294</v>
      </c>
      <c r="V23" s="7">
        <v>11.298789986734471</v>
      </c>
      <c r="W23" s="7">
        <v>0</v>
      </c>
      <c r="X23" s="7">
        <v>51.329932543809662</v>
      </c>
      <c r="Y23" s="7">
        <v>33.175809394176063</v>
      </c>
      <c r="Z23" s="7">
        <v>34.717008382623455</v>
      </c>
      <c r="AA23" s="7">
        <v>32.094968545135032</v>
      </c>
      <c r="AB23" s="7">
        <v>33.576120819746812</v>
      </c>
      <c r="AC23" s="7">
        <v>12.489716477807459</v>
      </c>
      <c r="AD23" s="7">
        <v>0</v>
      </c>
      <c r="AE23" s="7">
        <v>53.131333958878045</v>
      </c>
      <c r="AF23" s="7">
        <v>35.687763589632532</v>
      </c>
      <c r="AI23" s="9" cm="1">
        <f t="array" ref="AI23">MAX(_xlfn._xlws.FILTER($D23:$AF23, $D$2:$AF$2=AI$2))</f>
        <v>53.131333958878045</v>
      </c>
      <c r="AJ23" s="9" cm="1">
        <f t="array" ref="AJ23">MAX(_xlfn._xlws.FILTER($B23:$AF23, $B$2:$AF$2=AJ$2))</f>
        <v>49.868795840476416</v>
      </c>
      <c r="AK23" s="9" cm="1">
        <f t="array" ref="AK23">MAX(_xlfn._xlws.FILTER($B23:$AF23, $B$2:$AF$2=AK$2))</f>
        <v>43.463813031344387</v>
      </c>
      <c r="AL23" s="9" cm="1">
        <f t="array" ref="AL23">MAX(_xlfn._xlws.FILTER($B23:$AF23, $B$2:$AF$2=AL$2))</f>
        <v>44.354505953239304</v>
      </c>
      <c r="AM23" s="9" cm="1">
        <f t="array" ref="AM23">MAX(_xlfn._xlws.FILTER($B23:$AF23, $B$2:$AF$2=AM$2))</f>
        <v>41.292123547623056</v>
      </c>
      <c r="AN23" s="9" cm="1">
        <f t="array" ref="AN23">MAX(_xlfn._xlws.FILTER($B23:$AF23, $B$2:$AF$2=AN$2))</f>
        <v>14.871569459953433</v>
      </c>
      <c r="AO23" s="9" cm="1">
        <f t="array" ref="AO23">MAX(_xlfn._xlws.FILTER($B23:$AF23, $B$2:$AF$2=AO$2))</f>
        <v>0</v>
      </c>
    </row>
    <row r="24" spans="1:41" x14ac:dyDescent="0.25">
      <c r="A24" s="3" t="s">
        <v>29</v>
      </c>
      <c r="B24" s="7">
        <v>0</v>
      </c>
      <c r="C24" s="7">
        <v>81.193164891387752</v>
      </c>
      <c r="D24" s="7">
        <v>60.707227687804519</v>
      </c>
      <c r="E24" s="7">
        <v>51.890368539608716</v>
      </c>
      <c r="F24" s="7">
        <v>52.881139317896334</v>
      </c>
      <c r="G24" s="7">
        <v>49.548546700019813</v>
      </c>
      <c r="H24" s="7">
        <v>20.325812633354925</v>
      </c>
      <c r="I24" s="7">
        <v>0</v>
      </c>
      <c r="J24" s="7">
        <v>63.749594522142239</v>
      </c>
      <c r="K24" s="7">
        <v>42.58312789508873</v>
      </c>
      <c r="L24" s="7">
        <v>40.401430625728132</v>
      </c>
      <c r="M24" s="7">
        <v>38.399873497874374</v>
      </c>
      <c r="N24" s="7">
        <v>38.189709999449725</v>
      </c>
      <c r="O24" s="7">
        <v>16.05248816538715</v>
      </c>
      <c r="P24" s="7">
        <v>0</v>
      </c>
      <c r="Q24" s="7">
        <v>61.447803825110419</v>
      </c>
      <c r="R24" s="7">
        <v>41.282115761983789</v>
      </c>
      <c r="S24" s="7">
        <v>40.841773193855964</v>
      </c>
      <c r="T24" s="7">
        <v>37.519188361618724</v>
      </c>
      <c r="U24" s="7">
        <v>39.070395135705382</v>
      </c>
      <c r="V24" s="7">
        <v>16.05248816538715</v>
      </c>
      <c r="W24" s="7">
        <v>0</v>
      </c>
      <c r="X24" s="7">
        <v>63.749594522142239</v>
      </c>
      <c r="Y24" s="7">
        <v>43.013462677577287</v>
      </c>
      <c r="Z24" s="7">
        <v>43.053493820134378</v>
      </c>
      <c r="AA24" s="7">
        <v>39.720901202257856</v>
      </c>
      <c r="AB24" s="7">
        <v>41.692434973193812</v>
      </c>
      <c r="AC24" s="7">
        <v>17.763819509702113</v>
      </c>
      <c r="AD24" s="7">
        <v>0</v>
      </c>
      <c r="AE24" s="7">
        <v>65.581019294128438</v>
      </c>
      <c r="AF24" s="7">
        <v>46.466148723125023</v>
      </c>
      <c r="AI24" s="9" cm="1">
        <f t="array" ref="AI24">MAX(_xlfn._xlws.FILTER($D24:$AF24, $D$2:$AF$2=AI$2))</f>
        <v>65.581019294128438</v>
      </c>
      <c r="AJ24" s="9" cm="1">
        <f t="array" ref="AJ24">MAX(_xlfn._xlws.FILTER($B24:$AF24, $B$2:$AF$2=AJ$2))</f>
        <v>60.707227687804519</v>
      </c>
      <c r="AK24" s="9" cm="1">
        <f t="array" ref="AK24">MAX(_xlfn._xlws.FILTER($B24:$AF24, $B$2:$AF$2=AK$2))</f>
        <v>51.890368539608716</v>
      </c>
      <c r="AL24" s="9" cm="1">
        <f t="array" ref="AL24">MAX(_xlfn._xlws.FILTER($B24:$AF24, $B$2:$AF$2=AL$2))</f>
        <v>52.881139317896334</v>
      </c>
      <c r="AM24" s="9" cm="1">
        <f t="array" ref="AM24">MAX(_xlfn._xlws.FILTER($B24:$AF24, $B$2:$AF$2=AM$2))</f>
        <v>49.548546700019813</v>
      </c>
      <c r="AN24" s="9" cm="1">
        <f t="array" ref="AN24">MAX(_xlfn._xlws.FILTER($B24:$AF24, $B$2:$AF$2=AN$2))</f>
        <v>20.325812633354925</v>
      </c>
      <c r="AO24" s="9" cm="1">
        <f t="array" ref="AO24">MAX(_xlfn._xlws.FILTER($B24:$AF24, $B$2:$AF$2=AO$2))</f>
        <v>0</v>
      </c>
    </row>
    <row r="25" spans="1:41" x14ac:dyDescent="0.25">
      <c r="A25" s="3" t="s">
        <v>30</v>
      </c>
      <c r="B25" s="7">
        <v>0</v>
      </c>
      <c r="C25" s="7">
        <v>98.096314836112754</v>
      </c>
      <c r="D25" s="7">
        <v>74.928291081205487</v>
      </c>
      <c r="E25" s="7">
        <v>66.721906857005081</v>
      </c>
      <c r="F25" s="7">
        <v>66.501735572941172</v>
      </c>
      <c r="G25" s="7">
        <v>60.7172354734438</v>
      </c>
      <c r="H25" s="7">
        <v>26.140336089770102</v>
      </c>
      <c r="I25" s="7">
        <v>0</v>
      </c>
      <c r="J25" s="7">
        <v>84.095422726775709</v>
      </c>
      <c r="K25" s="7">
        <v>55.773389367645009</v>
      </c>
      <c r="L25" s="7">
        <v>54.44235387762226</v>
      </c>
      <c r="M25" s="7">
        <v>51.169807973581371</v>
      </c>
      <c r="N25" s="7">
        <v>49.768717984083722</v>
      </c>
      <c r="O25" s="7">
        <v>19.455135282738542</v>
      </c>
      <c r="P25" s="7">
        <v>0</v>
      </c>
      <c r="Q25" s="7">
        <v>80.822876822734813</v>
      </c>
      <c r="R25" s="7">
        <v>54.072065808969313</v>
      </c>
      <c r="S25" s="7">
        <v>55.353062370795719</v>
      </c>
      <c r="T25" s="7">
        <v>49.418445486709324</v>
      </c>
      <c r="U25" s="7">
        <v>50.649403120339379</v>
      </c>
      <c r="V25" s="7">
        <v>19.455135282738542</v>
      </c>
      <c r="W25" s="7">
        <v>0</v>
      </c>
      <c r="X25" s="7">
        <v>83.625056801730068</v>
      </c>
      <c r="Y25" s="7">
        <v>55.773389367645009</v>
      </c>
      <c r="Z25" s="7">
        <v>58.085187850316103</v>
      </c>
      <c r="AA25" s="7">
        <v>52.480827892325571</v>
      </c>
      <c r="AB25" s="7">
        <v>54.152128094083466</v>
      </c>
      <c r="AC25" s="7">
        <v>21.246528912167662</v>
      </c>
      <c r="AD25" s="7">
        <v>0</v>
      </c>
      <c r="AE25" s="7">
        <v>86.897602705770964</v>
      </c>
      <c r="AF25" s="7">
        <v>60.457033046822808</v>
      </c>
      <c r="AI25" s="9" cm="1">
        <f t="array" ref="AI25">MAX(_xlfn._xlws.FILTER($D25:$AF25, $D$2:$AF$2=AI$2))</f>
        <v>86.897602705770964</v>
      </c>
      <c r="AJ25" s="9" cm="1">
        <f t="array" ref="AJ25">MAX(_xlfn._xlws.FILTER($B25:$AF25, $B$2:$AF$2=AJ$2))</f>
        <v>74.928291081205487</v>
      </c>
      <c r="AK25" s="9" cm="1">
        <f t="array" ref="AK25">MAX(_xlfn._xlws.FILTER($B25:$AF25, $B$2:$AF$2=AK$2))</f>
        <v>66.721906857005081</v>
      </c>
      <c r="AL25" s="9" cm="1">
        <f t="array" ref="AL25">MAX(_xlfn._xlws.FILTER($B25:$AF25, $B$2:$AF$2=AL$2))</f>
        <v>66.501735572941172</v>
      </c>
      <c r="AM25" s="9" cm="1">
        <f t="array" ref="AM25">MAX(_xlfn._xlws.FILTER($B25:$AF25, $B$2:$AF$2=AM$2))</f>
        <v>60.7172354734438</v>
      </c>
      <c r="AN25" s="9" cm="1">
        <f t="array" ref="AN25">MAX(_xlfn._xlws.FILTER($B25:$AF25, $B$2:$AF$2=AN$2))</f>
        <v>26.140336089770102</v>
      </c>
      <c r="AO25" s="9" cm="1">
        <f t="array" ref="AO25">MAX(_xlfn._xlws.FILTER($B25:$AF25, $B$2:$AF$2=AO$2))</f>
        <v>0</v>
      </c>
    </row>
    <row r="26" spans="1:41" x14ac:dyDescent="0.25">
      <c r="A26" s="3" t="s">
        <v>31</v>
      </c>
      <c r="B26" s="7">
        <v>0</v>
      </c>
      <c r="C26" s="7">
        <v>127.31904890277764</v>
      </c>
      <c r="D26" s="7">
        <v>86.717462564264139</v>
      </c>
      <c r="E26" s="7">
        <v>77.7805099883971</v>
      </c>
      <c r="F26" s="7">
        <v>78.140790271410765</v>
      </c>
      <c r="G26" s="7">
        <v>77.049941636730466</v>
      </c>
      <c r="H26" s="7">
        <v>30.36362162954153</v>
      </c>
      <c r="I26" s="7">
        <v>0</v>
      </c>
      <c r="J26" s="7">
        <v>104.27111857554161</v>
      </c>
      <c r="K26" s="7">
        <v>68.743479556137373</v>
      </c>
      <c r="L26" s="7">
        <v>67.27233506716486</v>
      </c>
      <c r="M26" s="7">
        <v>63.149127383786116</v>
      </c>
      <c r="N26" s="7">
        <v>61.157578041571618</v>
      </c>
      <c r="O26" s="7">
        <v>22.507509902715523</v>
      </c>
      <c r="P26" s="7">
        <v>0</v>
      </c>
      <c r="Q26" s="7">
        <v>99.757607252231381</v>
      </c>
      <c r="R26" s="7">
        <v>66.952085926708264</v>
      </c>
      <c r="S26" s="7">
        <v>68.223074702895389</v>
      </c>
      <c r="T26" s="7">
        <v>61.267663683603573</v>
      </c>
      <c r="U26" s="7">
        <v>62.558668031069253</v>
      </c>
      <c r="V26" s="7">
        <v>22.047151763309163</v>
      </c>
      <c r="W26" s="7">
        <v>0</v>
      </c>
      <c r="X26" s="7">
        <v>103.77072929357816</v>
      </c>
      <c r="Y26" s="7">
        <v>69.193829909904466</v>
      </c>
      <c r="Z26" s="7">
        <v>72.056056602735339</v>
      </c>
      <c r="AA26" s="7">
        <v>65.490949223375011</v>
      </c>
      <c r="AB26" s="7">
        <v>66.77194578520141</v>
      </c>
      <c r="AC26" s="7">
        <v>24.358950245980253</v>
      </c>
      <c r="AD26" s="7">
        <v>0</v>
      </c>
      <c r="AE26" s="7">
        <v>107.28346205296151</v>
      </c>
      <c r="AF26" s="7">
        <v>75.038376723237448</v>
      </c>
      <c r="AI26" s="9" cm="1">
        <f t="array" ref="AI26">MAX(_xlfn._xlws.FILTER($D26:$AF26, $D$2:$AF$2=AI$2))</f>
        <v>107.28346205296151</v>
      </c>
      <c r="AJ26" s="9" cm="1">
        <f t="array" ref="AJ26">MAX(_xlfn._xlws.FILTER($B26:$AF26, $B$2:$AF$2=AJ$2))</f>
        <v>86.717462564264139</v>
      </c>
      <c r="AK26" s="9" cm="1">
        <f t="array" ref="AK26">MAX(_xlfn._xlws.FILTER($B26:$AF26, $B$2:$AF$2=AK$2))</f>
        <v>77.7805099883971</v>
      </c>
      <c r="AL26" s="9" cm="1">
        <f t="array" ref="AL26">MAX(_xlfn._xlws.FILTER($B26:$AF26, $B$2:$AF$2=AL$2))</f>
        <v>78.140790271410765</v>
      </c>
      <c r="AM26" s="9" cm="1">
        <f t="array" ref="AM26">MAX(_xlfn._xlws.FILTER($B26:$AF26, $B$2:$AF$2=AM$2))</f>
        <v>77.049941636730466</v>
      </c>
      <c r="AN26" s="9" cm="1">
        <f t="array" ref="AN26">MAX(_xlfn._xlws.FILTER($B26:$AF26, $B$2:$AF$2=AN$2))</f>
        <v>30.36362162954153</v>
      </c>
      <c r="AO26" s="9" cm="1">
        <f t="array" ref="AO26">MAX(_xlfn._xlws.FILTER($B26:$AF26, $B$2:$AF$2=AO$2))</f>
        <v>0</v>
      </c>
    </row>
    <row r="27" spans="1:41" x14ac:dyDescent="0.25">
      <c r="A27" s="3" t="s">
        <v>32</v>
      </c>
      <c r="B27" s="7">
        <v>0</v>
      </c>
      <c r="C27" s="7">
        <v>132.36297286496912</v>
      </c>
      <c r="D27" s="7">
        <v>96.475053562551224</v>
      </c>
      <c r="E27" s="7">
        <v>84.175485011889847</v>
      </c>
      <c r="F27" s="7">
        <v>81.123110391912874</v>
      </c>
      <c r="G27" s="7">
        <v>78.370969341113963</v>
      </c>
      <c r="H27" s="7">
        <v>35.80785701730376</v>
      </c>
      <c r="I27" s="7">
        <v>0</v>
      </c>
      <c r="J27" s="7">
        <v>116.35051584213905</v>
      </c>
      <c r="K27" s="7">
        <v>76.239310999949709</v>
      </c>
      <c r="L27" s="7">
        <v>72.966765095908798</v>
      </c>
      <c r="M27" s="7">
        <v>68.623386128466137</v>
      </c>
      <c r="N27" s="7">
        <v>69.163806552986657</v>
      </c>
      <c r="O27" s="7">
        <v>26.95096672655087</v>
      </c>
      <c r="P27" s="7">
        <v>0</v>
      </c>
      <c r="Q27" s="7">
        <v>111.54677873529002</v>
      </c>
      <c r="R27" s="7">
        <v>73.887481374721531</v>
      </c>
      <c r="S27" s="7">
        <v>73.937520302917875</v>
      </c>
      <c r="T27" s="7">
        <v>66.701891285726546</v>
      </c>
      <c r="U27" s="7">
        <v>70.614935470680635</v>
      </c>
      <c r="V27" s="7">
        <v>26.95096672655087</v>
      </c>
      <c r="W27" s="7">
        <v>0</v>
      </c>
      <c r="X27" s="7">
        <v>115.28969056437656</v>
      </c>
      <c r="Y27" s="7">
        <v>76.239310999949709</v>
      </c>
      <c r="Z27" s="7">
        <v>77.840556702232703</v>
      </c>
      <c r="AA27" s="7">
        <v>71.025254681890658</v>
      </c>
      <c r="AB27" s="7">
        <v>75.458703720086746</v>
      </c>
      <c r="AC27" s="7">
        <v>29.753146705546136</v>
      </c>
      <c r="AD27" s="7">
        <v>0</v>
      </c>
      <c r="AE27" s="7">
        <v>119.55300724670505</v>
      </c>
      <c r="AF27" s="7">
        <v>82.834441736227831</v>
      </c>
      <c r="AI27" s="9" cm="1">
        <f t="array" ref="AI27">MAX(_xlfn._xlws.FILTER($D27:$AF27, $D$2:$AF$2=AI$2))</f>
        <v>119.55300724670505</v>
      </c>
      <c r="AJ27" s="9" cm="1">
        <f t="array" ref="AJ27">MAX(_xlfn._xlws.FILTER($B27:$AF27, $B$2:$AF$2=AJ$2))</f>
        <v>96.475053562551224</v>
      </c>
      <c r="AK27" s="9" cm="1">
        <f t="array" ref="AK27">MAX(_xlfn._xlws.FILTER($B27:$AF27, $B$2:$AF$2=AK$2))</f>
        <v>84.175485011889847</v>
      </c>
      <c r="AL27" s="9" cm="1">
        <f t="array" ref="AL27">MAX(_xlfn._xlws.FILTER($B27:$AF27, $B$2:$AF$2=AL$2))</f>
        <v>81.123110391912874</v>
      </c>
      <c r="AM27" s="9" cm="1">
        <f t="array" ref="AM27">MAX(_xlfn._xlws.FILTER($B27:$AF27, $B$2:$AF$2=AM$2))</f>
        <v>78.370969341113963</v>
      </c>
      <c r="AN27" s="9" cm="1">
        <f t="array" ref="AN27">MAX(_xlfn._xlws.FILTER($B27:$AF27, $B$2:$AF$2=AN$2))</f>
        <v>35.80785701730376</v>
      </c>
      <c r="AO27" s="9" cm="1">
        <f t="array" ref="AO27">MAX(_xlfn._xlws.FILTER($B27:$AF27, $B$2:$AF$2=AO$2))</f>
        <v>0</v>
      </c>
    </row>
    <row r="28" spans="1:41" x14ac:dyDescent="0.25">
      <c r="A28" s="3" t="s">
        <v>33</v>
      </c>
      <c r="B28" s="7">
        <v>0</v>
      </c>
      <c r="C28" s="7">
        <v>145.48317983805052</v>
      </c>
      <c r="D28" s="7">
        <v>107.21340755348663</v>
      </c>
      <c r="E28" s="7">
        <v>92.28179137969758</v>
      </c>
      <c r="F28" s="7">
        <v>89.879922826273074</v>
      </c>
      <c r="G28" s="7">
        <v>86.076964283350932</v>
      </c>
      <c r="H28" s="7">
        <v>40.451469553924483</v>
      </c>
      <c r="I28" s="7">
        <v>0</v>
      </c>
      <c r="J28" s="7">
        <v>121.33439309049488</v>
      </c>
      <c r="K28" s="7">
        <v>81.263219390862645</v>
      </c>
      <c r="L28" s="7">
        <v>78.931405336913016</v>
      </c>
      <c r="M28" s="7">
        <v>74.78818208225573</v>
      </c>
      <c r="N28" s="7">
        <v>74.547995226913272</v>
      </c>
      <c r="O28" s="7">
        <v>33.536089677189743</v>
      </c>
      <c r="P28" s="7">
        <v>0</v>
      </c>
      <c r="Q28" s="7">
        <v>116.50063262672808</v>
      </c>
      <c r="R28" s="7">
        <v>78.81131190924178</v>
      </c>
      <c r="S28" s="7">
        <v>79.962207257757697</v>
      </c>
      <c r="T28" s="7">
        <v>72.776617168762698</v>
      </c>
      <c r="U28" s="7">
        <v>76.049163072803594</v>
      </c>
      <c r="V28" s="7">
        <v>33.536089677189743</v>
      </c>
      <c r="W28" s="7">
        <v>0</v>
      </c>
      <c r="X28" s="7">
        <v>120.79397266597439</v>
      </c>
      <c r="Y28" s="7">
        <v>81.753600887186806</v>
      </c>
      <c r="Z28" s="7">
        <v>84.075407155497174</v>
      </c>
      <c r="AA28" s="7">
        <v>77.300136277712184</v>
      </c>
      <c r="AB28" s="7">
        <v>81.063063678077256</v>
      </c>
      <c r="AC28" s="7">
        <v>36.998783508376746</v>
      </c>
      <c r="AD28" s="7">
        <v>0</v>
      </c>
      <c r="AE28" s="7">
        <v>125.09732049085997</v>
      </c>
      <c r="AF28" s="7">
        <v>88.618941835725195</v>
      </c>
      <c r="AI28" s="9" cm="1">
        <f t="array" ref="AI28">MAX(_xlfn._xlws.FILTER($D28:$AF28, $D$2:$AF$2=AI$2))</f>
        <v>125.09732049085997</v>
      </c>
      <c r="AJ28" s="9" cm="1">
        <f t="array" ref="AJ28">MAX(_xlfn._xlws.FILTER($B28:$AF28, $B$2:$AF$2=AJ$2))</f>
        <v>107.21340755348663</v>
      </c>
      <c r="AK28" s="9" cm="1">
        <f t="array" ref="AK28">MAX(_xlfn._xlws.FILTER($B28:$AF28, $B$2:$AF$2=AK$2))</f>
        <v>92.28179137969758</v>
      </c>
      <c r="AL28" s="9" cm="1">
        <f t="array" ref="AL28">MAX(_xlfn._xlws.FILTER($B28:$AF28, $B$2:$AF$2=AL$2))</f>
        <v>89.879922826273074</v>
      </c>
      <c r="AM28" s="9" cm="1">
        <f t="array" ref="AM28">MAX(_xlfn._xlws.FILTER($B28:$AF28, $B$2:$AF$2=AM$2))</f>
        <v>86.076964283350932</v>
      </c>
      <c r="AN28" s="9" cm="1">
        <f t="array" ref="AN28">MAX(_xlfn._xlws.FILTER($B28:$AF28, $B$2:$AF$2=AN$2))</f>
        <v>40.451469553924483</v>
      </c>
      <c r="AO28" s="9" cm="1">
        <f t="array" ref="AO28">MAX(_xlfn._xlws.FILTER($B28:$AF28, $B$2:$AF$2=AO$2))</f>
        <v>0</v>
      </c>
    </row>
    <row r="29" spans="1:41" x14ac:dyDescent="0.25">
      <c r="A29" s="3" t="s">
        <v>34</v>
      </c>
      <c r="B29" s="7">
        <v>0</v>
      </c>
      <c r="C29" s="7">
        <v>142.05050936378132</v>
      </c>
      <c r="D29" s="7">
        <v>107.41356326627199</v>
      </c>
      <c r="E29" s="7">
        <v>94.233309579355009</v>
      </c>
      <c r="F29" s="7">
        <v>94.203286222437185</v>
      </c>
      <c r="G29" s="7">
        <v>89.229416759720607</v>
      </c>
      <c r="H29" s="7">
        <v>42.843330321709729</v>
      </c>
      <c r="I29" s="7">
        <v>0</v>
      </c>
      <c r="J29" s="7">
        <v>124.69700906528921</v>
      </c>
      <c r="K29" s="7">
        <v>87.868357912780041</v>
      </c>
      <c r="L29" s="7">
        <v>83.504963374058846</v>
      </c>
      <c r="M29" s="7">
        <v>79.601926974744018</v>
      </c>
      <c r="N29" s="7">
        <v>79.812090473168652</v>
      </c>
      <c r="O29" s="7">
        <v>37.609258432372137</v>
      </c>
      <c r="P29" s="7">
        <v>0</v>
      </c>
      <c r="Q29" s="7">
        <v>119.27278924880554</v>
      </c>
      <c r="R29" s="7">
        <v>85.296357003487969</v>
      </c>
      <c r="S29" s="7">
        <v>84.57579643746061</v>
      </c>
      <c r="T29" s="7">
        <v>76.989894922894862</v>
      </c>
      <c r="U29" s="7">
        <v>81.383312818533852</v>
      </c>
      <c r="V29" s="7">
        <v>37.609258432372137</v>
      </c>
      <c r="W29" s="7">
        <v>0</v>
      </c>
      <c r="X29" s="7">
        <v>124.1565886407687</v>
      </c>
      <c r="Y29" s="7">
        <v>87.868357912780041</v>
      </c>
      <c r="Z29" s="7">
        <v>88.869136476706913</v>
      </c>
      <c r="AA29" s="7">
        <v>82.213959026593173</v>
      </c>
      <c r="AB29" s="7">
        <v>86.607376922232177</v>
      </c>
      <c r="AC29" s="7">
        <v>41.272107976344522</v>
      </c>
      <c r="AD29" s="7">
        <v>0</v>
      </c>
      <c r="AE29" s="7">
        <v>128.49996760821136</v>
      </c>
      <c r="AF29" s="7">
        <v>95.5843606406563</v>
      </c>
      <c r="AI29" s="9" cm="1">
        <f t="array" ref="AI29">MAX(_xlfn._xlws.FILTER($D29:$AF29, $D$2:$AF$2=AI$2))</f>
        <v>128.49996760821136</v>
      </c>
      <c r="AJ29" s="9" cm="1">
        <f t="array" ref="AJ29">MAX(_xlfn._xlws.FILTER($B29:$AF29, $B$2:$AF$2=AJ$2))</f>
        <v>107.41356326627199</v>
      </c>
      <c r="AK29" s="9" cm="1">
        <f t="array" ref="AK29">MAX(_xlfn._xlws.FILTER($B29:$AF29, $B$2:$AF$2=AK$2))</f>
        <v>94.233309579355009</v>
      </c>
      <c r="AL29" s="9" cm="1">
        <f t="array" ref="AL29">MAX(_xlfn._xlws.FILTER($B29:$AF29, $B$2:$AF$2=AL$2))</f>
        <v>94.203286222437185</v>
      </c>
      <c r="AM29" s="9" cm="1">
        <f t="array" ref="AM29">MAX(_xlfn._xlws.FILTER($B29:$AF29, $B$2:$AF$2=AM$2))</f>
        <v>89.229416759720607</v>
      </c>
      <c r="AN29" s="9" cm="1">
        <f t="array" ref="AN29">MAX(_xlfn._xlws.FILTER($B29:$AF29, $B$2:$AF$2=AN$2))</f>
        <v>42.843330321709729</v>
      </c>
      <c r="AO29" s="9" cm="1">
        <f t="array" ref="AO29">MAX(_xlfn._xlws.FILTER($B29:$AF29, $B$2:$AF$2=AO$2))</f>
        <v>0</v>
      </c>
    </row>
    <row r="30" spans="1:41" x14ac:dyDescent="0.25">
      <c r="A30" s="3" t="s">
        <v>35</v>
      </c>
      <c r="B30" s="7">
        <v>0</v>
      </c>
      <c r="C30" s="7">
        <v>145.25300076834731</v>
      </c>
      <c r="D30" s="7">
        <v>108.9547622547194</v>
      </c>
      <c r="E30" s="7">
        <v>94.803753360793323</v>
      </c>
      <c r="F30" s="7">
        <v>90.220187538008219</v>
      </c>
      <c r="G30" s="7">
        <v>88.318708266547134</v>
      </c>
      <c r="H30" s="7">
        <v>42.533088966892386</v>
      </c>
      <c r="I30" s="7">
        <v>0</v>
      </c>
      <c r="J30" s="7">
        <v>127.15892433254935</v>
      </c>
      <c r="K30" s="7">
        <v>92.622056091432725</v>
      </c>
      <c r="L30" s="7">
        <v>86.217073282300689</v>
      </c>
      <c r="M30" s="7">
        <v>83.915282585268855</v>
      </c>
      <c r="N30" s="7">
        <v>83.014581877734685</v>
      </c>
      <c r="O30" s="7">
        <v>37.73935964568264</v>
      </c>
      <c r="P30" s="7">
        <v>0</v>
      </c>
      <c r="Q30" s="7">
        <v>122.22508601238982</v>
      </c>
      <c r="R30" s="7">
        <v>89.459595829423776</v>
      </c>
      <c r="S30" s="7">
        <v>87.287906345702453</v>
      </c>
      <c r="T30" s="7">
        <v>81.283234962141165</v>
      </c>
      <c r="U30" s="7">
        <v>84.605819794378434</v>
      </c>
      <c r="V30" s="7">
        <v>37.198939221162121</v>
      </c>
      <c r="W30" s="7">
        <v>0</v>
      </c>
      <c r="X30" s="7">
        <v>127.15892433254935</v>
      </c>
      <c r="Y30" s="7">
        <v>92.622056091432725</v>
      </c>
      <c r="Z30" s="7">
        <v>91.58124638494877</v>
      </c>
      <c r="AA30" s="7">
        <v>86.537322422757299</v>
      </c>
      <c r="AB30" s="7">
        <v>90.430351036432867</v>
      </c>
      <c r="AC30" s="7">
        <v>41.472263689129896</v>
      </c>
      <c r="AD30" s="7">
        <v>0</v>
      </c>
      <c r="AE30" s="7">
        <v>131.55234222818834</v>
      </c>
      <c r="AF30" s="7">
        <v>100.52820674645507</v>
      </c>
      <c r="AI30" s="9" cm="1">
        <f t="array" ref="AI30">MAX(_xlfn._xlws.FILTER($D30:$AF30, $D$2:$AF$2=AI$2))</f>
        <v>131.55234222818834</v>
      </c>
      <c r="AJ30" s="9" cm="1">
        <f t="array" ref="AJ30">MAX(_xlfn._xlws.FILTER($B30:$AF30, $B$2:$AF$2=AJ$2))</f>
        <v>108.9547622547194</v>
      </c>
      <c r="AK30" s="9" cm="1">
        <f t="array" ref="AK30">MAX(_xlfn._xlws.FILTER($B30:$AF30, $B$2:$AF$2=AK$2))</f>
        <v>94.803753360793323</v>
      </c>
      <c r="AL30" s="9" cm="1">
        <f t="array" ref="AL30">MAX(_xlfn._xlws.FILTER($B30:$AF30, $B$2:$AF$2=AL$2))</f>
        <v>90.220187538008219</v>
      </c>
      <c r="AM30" s="9" cm="1">
        <f t="array" ref="AM30">MAX(_xlfn._xlws.FILTER($B30:$AF30, $B$2:$AF$2=AM$2))</f>
        <v>90.430351036432867</v>
      </c>
      <c r="AN30" s="9" cm="1">
        <f t="array" ref="AN30">MAX(_xlfn._xlws.FILTER($B30:$AF30, $B$2:$AF$2=AN$2))</f>
        <v>42.533088966892386</v>
      </c>
      <c r="AO30" s="9" cm="1">
        <f t="array" ref="AO30">MAX(_xlfn._xlws.FILTER($B30:$AF30, $B$2:$AF$2=AO$2))</f>
        <v>0</v>
      </c>
    </row>
    <row r="31" spans="1:41" x14ac:dyDescent="0.25">
      <c r="A31" s="3" t="s">
        <v>36</v>
      </c>
      <c r="B31" s="7">
        <v>0</v>
      </c>
      <c r="C31" s="7">
        <v>141.8603614366352</v>
      </c>
      <c r="D31" s="7">
        <v>107.56368005086105</v>
      </c>
      <c r="E31" s="7">
        <v>95.164033643807002</v>
      </c>
      <c r="F31" s="7">
        <v>90.840670247642862</v>
      </c>
      <c r="G31" s="7">
        <v>88.308700480907859</v>
      </c>
      <c r="H31" s="7">
        <v>41.412216975294285</v>
      </c>
      <c r="I31" s="7">
        <v>0</v>
      </c>
      <c r="J31" s="7">
        <v>125.49763191643072</v>
      </c>
      <c r="K31" s="7">
        <v>93.382647800017168</v>
      </c>
      <c r="L31" s="7">
        <v>85.566567215748222</v>
      </c>
      <c r="M31" s="7">
        <v>85.156248004538199</v>
      </c>
      <c r="N31" s="7">
        <v>83.094644162848837</v>
      </c>
      <c r="O31" s="7">
        <v>36.618487654084532</v>
      </c>
      <c r="P31" s="7">
        <v>0</v>
      </c>
      <c r="Q31" s="7">
        <v>120.03338095738995</v>
      </c>
      <c r="R31" s="7">
        <v>90.750600176889463</v>
      </c>
      <c r="S31" s="7">
        <v>86.637400279149972</v>
      </c>
      <c r="T31" s="7">
        <v>82.053834456364868</v>
      </c>
      <c r="U31" s="7">
        <v>84.655858722574763</v>
      </c>
      <c r="V31" s="7">
        <v>36.618487654084532</v>
      </c>
      <c r="W31" s="7">
        <v>0</v>
      </c>
      <c r="X31" s="7">
        <v>124.94720370627094</v>
      </c>
      <c r="Y31" s="7">
        <v>93.913060438898398</v>
      </c>
      <c r="Z31" s="7">
        <v>91.431129600359739</v>
      </c>
      <c r="AA31" s="7">
        <v>87.738256699469559</v>
      </c>
      <c r="AB31" s="7">
        <v>90.38031210823651</v>
      </c>
      <c r="AC31" s="7">
        <v>40.351391697531795</v>
      </c>
      <c r="AD31" s="7">
        <v>0</v>
      </c>
      <c r="AE31" s="7">
        <v>129.32060603063141</v>
      </c>
      <c r="AF31" s="7">
        <v>101.78918773700293</v>
      </c>
      <c r="AI31" s="9" cm="1">
        <f t="array" ref="AI31">MAX(_xlfn._xlws.FILTER($D31:$AF31, $D$2:$AF$2=AI$2))</f>
        <v>129.32060603063141</v>
      </c>
      <c r="AJ31" s="9" cm="1">
        <f t="array" ref="AJ31">MAX(_xlfn._xlws.FILTER($B31:$AF31, $B$2:$AF$2=AJ$2))</f>
        <v>107.56368005086105</v>
      </c>
      <c r="AK31" s="9" cm="1">
        <f t="array" ref="AK31">MAX(_xlfn._xlws.FILTER($B31:$AF31, $B$2:$AF$2=AK$2))</f>
        <v>95.164033643807002</v>
      </c>
      <c r="AL31" s="9" cm="1">
        <f t="array" ref="AL31">MAX(_xlfn._xlws.FILTER($B31:$AF31, $B$2:$AF$2=AL$2))</f>
        <v>90.840670247642862</v>
      </c>
      <c r="AM31" s="9" cm="1">
        <f t="array" ref="AM31">MAX(_xlfn._xlws.FILTER($B31:$AF31, $B$2:$AF$2=AM$2))</f>
        <v>90.38031210823651</v>
      </c>
      <c r="AN31" s="9" cm="1">
        <f t="array" ref="AN31">MAX(_xlfn._xlws.FILTER($B31:$AF31, $B$2:$AF$2=AN$2))</f>
        <v>41.412216975294285</v>
      </c>
      <c r="AO31" s="9" cm="1">
        <f t="array" ref="AO31">MAX(_xlfn._xlws.FILTER($B31:$AF31, $B$2:$AF$2=AO$2))</f>
        <v>0</v>
      </c>
    </row>
    <row r="32" spans="1:41" x14ac:dyDescent="0.25">
      <c r="A32" s="3" t="s">
        <v>37</v>
      </c>
      <c r="B32" s="7">
        <v>0</v>
      </c>
      <c r="C32" s="7">
        <v>146.16370926152081</v>
      </c>
      <c r="D32" s="7">
        <v>106.86313505611221</v>
      </c>
      <c r="E32" s="7">
        <v>95.684438497048973</v>
      </c>
      <c r="F32" s="7">
        <v>85.686660643419458</v>
      </c>
      <c r="G32" s="7">
        <v>88.478832836775439</v>
      </c>
      <c r="H32" s="7">
        <v>38.089632143057045</v>
      </c>
      <c r="I32" s="7">
        <v>0</v>
      </c>
      <c r="J32" s="7">
        <v>126.92874526284616</v>
      </c>
      <c r="K32" s="7">
        <v>92.782180661661016</v>
      </c>
      <c r="L32" s="7">
        <v>88.729027477757157</v>
      </c>
      <c r="M32" s="7">
        <v>84.155469440611327</v>
      </c>
      <c r="N32" s="7">
        <v>83.254768733077128</v>
      </c>
      <c r="O32" s="7">
        <v>35.507623448125692</v>
      </c>
      <c r="P32" s="7">
        <v>0</v>
      </c>
      <c r="Q32" s="7">
        <v>121.98489915704738</v>
      </c>
      <c r="R32" s="7">
        <v>90.170148609811861</v>
      </c>
      <c r="S32" s="7">
        <v>89.799860541158921</v>
      </c>
      <c r="T32" s="7">
        <v>81.60348410259779</v>
      </c>
      <c r="U32" s="7">
        <v>85.346395931684313</v>
      </c>
      <c r="V32" s="7">
        <v>35.507623448125692</v>
      </c>
      <c r="W32" s="7">
        <v>0</v>
      </c>
      <c r="X32" s="7">
        <v>126.38832483832564</v>
      </c>
      <c r="Y32" s="7">
        <v>93.302585514903015</v>
      </c>
      <c r="Z32" s="7">
        <v>94.623613219286483</v>
      </c>
      <c r="AA32" s="7">
        <v>87.217851846227589</v>
      </c>
      <c r="AB32" s="7">
        <v>91.080857102985334</v>
      </c>
      <c r="AC32" s="7">
        <v>39.130441849541</v>
      </c>
      <c r="AD32" s="7">
        <v>0</v>
      </c>
      <c r="AE32" s="7">
        <v>130.78174273396465</v>
      </c>
      <c r="AF32" s="7">
        <v>101.12867388481121</v>
      </c>
      <c r="AI32" s="9" cm="1">
        <f t="array" ref="AI32">MAX(_xlfn._xlws.FILTER($D32:$AF32, $D$2:$AF$2=AI$2))</f>
        <v>130.78174273396465</v>
      </c>
      <c r="AJ32" s="9" cm="1">
        <f t="array" ref="AJ32">MAX(_xlfn._xlws.FILTER($B32:$AF32, $B$2:$AF$2=AJ$2))</f>
        <v>106.86313505611221</v>
      </c>
      <c r="AK32" s="9" cm="1">
        <f t="array" ref="AK32">MAX(_xlfn._xlws.FILTER($B32:$AF32, $B$2:$AF$2=AK$2))</f>
        <v>95.684438497048973</v>
      </c>
      <c r="AL32" s="9" cm="1">
        <f t="array" ref="AL32">MAX(_xlfn._xlws.FILTER($B32:$AF32, $B$2:$AF$2=AL$2))</f>
        <v>87.217851846227589</v>
      </c>
      <c r="AM32" s="9" cm="1">
        <f t="array" ref="AM32">MAX(_xlfn._xlws.FILTER($B32:$AF32, $B$2:$AF$2=AM$2))</f>
        <v>91.080857102985334</v>
      </c>
      <c r="AN32" s="9" cm="1">
        <f t="array" ref="AN32">MAX(_xlfn._xlws.FILTER($B32:$AF32, $B$2:$AF$2=AN$2))</f>
        <v>39.130441849541</v>
      </c>
      <c r="AO32" s="9" cm="1">
        <f t="array" ref="AO32">MAX(_xlfn._xlws.FILTER($B32:$AF32, $B$2:$AF$2=AO$2))</f>
        <v>0</v>
      </c>
    </row>
    <row r="33" spans="1:41" x14ac:dyDescent="0.25">
      <c r="A33" s="3" t="s">
        <v>38</v>
      </c>
      <c r="B33" s="7">
        <v>0</v>
      </c>
      <c r="C33" s="7">
        <v>143.88193413576752</v>
      </c>
      <c r="D33" s="7">
        <v>106.31270684595243</v>
      </c>
      <c r="E33" s="7">
        <v>96.625170347140227</v>
      </c>
      <c r="F33" s="7">
        <v>87.578132129241254</v>
      </c>
      <c r="G33" s="7">
        <v>90.840670247642862</v>
      </c>
      <c r="H33" s="7">
        <v>36.948744580180403</v>
      </c>
      <c r="I33" s="7">
        <v>0</v>
      </c>
      <c r="J33" s="7">
        <v>122.37520279697887</v>
      </c>
      <c r="K33" s="7">
        <v>92.161697952026358</v>
      </c>
      <c r="L33" s="7">
        <v>90.020031825222844</v>
      </c>
      <c r="M33" s="7">
        <v>83.845228085793991</v>
      </c>
      <c r="N33" s="7">
        <v>83.384869946387624</v>
      </c>
      <c r="O33" s="7">
        <v>35.427561163011539</v>
      </c>
      <c r="P33" s="7">
        <v>0</v>
      </c>
      <c r="Q33" s="7">
        <v>117.96176933006133</v>
      </c>
      <c r="R33" s="7">
        <v>89.009245475656698</v>
      </c>
      <c r="S33" s="7">
        <v>90.570460035382624</v>
      </c>
      <c r="T33" s="7">
        <v>81.183157105748492</v>
      </c>
      <c r="U33" s="7">
        <v>85.516528287551878</v>
      </c>
      <c r="V33" s="7">
        <v>35.427561163011539</v>
      </c>
      <c r="W33" s="7">
        <v>0</v>
      </c>
      <c r="X33" s="7">
        <v>121.82477458681909</v>
      </c>
      <c r="Y33" s="7">
        <v>92.161697952026358</v>
      </c>
      <c r="Z33" s="7">
        <v>95.524313926820682</v>
      </c>
      <c r="AA33" s="7">
        <v>86.50729906583949</v>
      </c>
      <c r="AB33" s="7">
        <v>90.840670247642862</v>
      </c>
      <c r="AC33" s="7">
        <v>38.98032506495197</v>
      </c>
      <c r="AD33" s="7">
        <v>0</v>
      </c>
      <c r="AE33" s="7">
        <v>126.23820805373661</v>
      </c>
      <c r="AF33" s="7">
        <v>100.01780967885237</v>
      </c>
      <c r="AI33" s="9" cm="1">
        <f t="array" ref="AI33">MAX(_xlfn._xlws.FILTER($D33:$AF33, $D$2:$AF$2=AI$2))</f>
        <v>126.23820805373661</v>
      </c>
      <c r="AJ33" s="9" cm="1">
        <f t="array" ref="AJ33">MAX(_xlfn._xlws.FILTER($B33:$AF33, $B$2:$AF$2=AJ$2))</f>
        <v>106.31270684595243</v>
      </c>
      <c r="AK33" s="9" cm="1">
        <f t="array" ref="AK33">MAX(_xlfn._xlws.FILTER($B33:$AF33, $B$2:$AF$2=AK$2))</f>
        <v>96.625170347140227</v>
      </c>
      <c r="AL33" s="9" cm="1">
        <f t="array" ref="AL33">MAX(_xlfn._xlws.FILTER($B33:$AF33, $B$2:$AF$2=AL$2))</f>
        <v>87.578132129241254</v>
      </c>
      <c r="AM33" s="9" cm="1">
        <f t="array" ref="AM33">MAX(_xlfn._xlws.FILTER($B33:$AF33, $B$2:$AF$2=AM$2))</f>
        <v>90.840670247642862</v>
      </c>
      <c r="AN33" s="9" cm="1">
        <f t="array" ref="AN33">MAX(_xlfn._xlws.FILTER($B33:$AF33, $B$2:$AF$2=AN$2))</f>
        <v>38.98032506495197</v>
      </c>
      <c r="AO33" s="9" cm="1">
        <f t="array" ref="AO33">MAX(_xlfn._xlws.FILTER($B33:$AF33, $B$2:$AF$2=AO$2))</f>
        <v>0</v>
      </c>
    </row>
    <row r="34" spans="1:41" x14ac:dyDescent="0.25">
      <c r="A34" s="3" t="s">
        <v>39</v>
      </c>
      <c r="B34" s="7">
        <v>0</v>
      </c>
      <c r="C34" s="7">
        <v>138.08742625063087</v>
      </c>
      <c r="D34" s="7">
        <v>103.08019208446862</v>
      </c>
      <c r="E34" s="7">
        <v>94.803753360793323</v>
      </c>
      <c r="F34" s="7">
        <v>85.646629500862375</v>
      </c>
      <c r="G34" s="7">
        <v>90.700561248693106</v>
      </c>
      <c r="H34" s="7">
        <v>37.008791294016014</v>
      </c>
      <c r="I34" s="7">
        <v>0</v>
      </c>
      <c r="J34" s="7">
        <v>118.66231432481013</v>
      </c>
      <c r="K34" s="7">
        <v>91.551223028030975</v>
      </c>
      <c r="L34" s="7">
        <v>88.128560339401034</v>
      </c>
      <c r="M34" s="7">
        <v>82.954535163899067</v>
      </c>
      <c r="N34" s="7">
        <v>82.033818885086333</v>
      </c>
      <c r="O34" s="7">
        <v>34.937179666687371</v>
      </c>
      <c r="P34" s="7">
        <v>0</v>
      </c>
      <c r="Q34" s="7">
        <v>113.668429290815</v>
      </c>
      <c r="R34" s="7">
        <v>88.408778337300561</v>
      </c>
      <c r="S34" s="7">
        <v>88.688996335200088</v>
      </c>
      <c r="T34" s="7">
        <v>80.272448612575019</v>
      </c>
      <c r="U34" s="7">
        <v>83.655080158647891</v>
      </c>
      <c r="V34" s="7">
        <v>34.937179666687371</v>
      </c>
      <c r="W34" s="7">
        <v>0</v>
      </c>
      <c r="X34" s="7">
        <v>118.11188611465035</v>
      </c>
      <c r="Y34" s="7">
        <v>91.551223028030975</v>
      </c>
      <c r="Z34" s="7">
        <v>93.692889154834489</v>
      </c>
      <c r="AA34" s="7">
        <v>85.646629500862375</v>
      </c>
      <c r="AB34" s="7">
        <v>89.069292189492302</v>
      </c>
      <c r="AC34" s="7">
        <v>38.549990282463412</v>
      </c>
      <c r="AD34" s="7">
        <v>0</v>
      </c>
      <c r="AE34" s="7">
        <v>121.99490694268665</v>
      </c>
      <c r="AF34" s="7">
        <v>99.407334754856961</v>
      </c>
      <c r="AI34" s="9" cm="1">
        <f t="array" ref="AI34">MAX(_xlfn._xlws.FILTER($D34:$AF34, $D$2:$AF$2=AI$2))</f>
        <v>121.99490694268665</v>
      </c>
      <c r="AJ34" s="9" cm="1">
        <f t="array" ref="AJ34">MAX(_xlfn._xlws.FILTER($B34:$AF34, $B$2:$AF$2=AJ$2))</f>
        <v>103.08019208446862</v>
      </c>
      <c r="AK34" s="9" cm="1">
        <f t="array" ref="AK34">MAX(_xlfn._xlws.FILTER($B34:$AF34, $B$2:$AF$2=AK$2))</f>
        <v>94.803753360793323</v>
      </c>
      <c r="AL34" s="9" cm="1">
        <f t="array" ref="AL34">MAX(_xlfn._xlws.FILTER($B34:$AF34, $B$2:$AF$2=AL$2))</f>
        <v>85.646629500862375</v>
      </c>
      <c r="AM34" s="9" cm="1">
        <f t="array" ref="AM34">MAX(_xlfn._xlws.FILTER($B34:$AF34, $B$2:$AF$2=AM$2))</f>
        <v>90.700561248693106</v>
      </c>
      <c r="AN34" s="9" cm="1">
        <f t="array" ref="AN34">MAX(_xlfn._xlws.FILTER($B34:$AF34, $B$2:$AF$2=AN$2))</f>
        <v>38.549990282463412</v>
      </c>
      <c r="AO34" s="9" cm="1">
        <f t="array" ref="AO34">MAX(_xlfn._xlws.FILTER($B34:$AF34, $B$2:$AF$2=AO$2))</f>
        <v>0</v>
      </c>
    </row>
    <row r="35" spans="1:41" x14ac:dyDescent="0.25">
      <c r="A35" s="3" t="s">
        <v>40</v>
      </c>
      <c r="B35" s="7">
        <v>0</v>
      </c>
      <c r="C35" s="7">
        <v>136.7964219031652</v>
      </c>
      <c r="D35" s="7">
        <v>100.97855710022218</v>
      </c>
      <c r="E35" s="7">
        <v>95.514306141181393</v>
      </c>
      <c r="F35" s="7">
        <v>89.849899469355265</v>
      </c>
      <c r="G35" s="7">
        <v>94.183270651158651</v>
      </c>
      <c r="H35" s="7">
        <v>37.499172790340182</v>
      </c>
      <c r="I35" s="7">
        <v>0</v>
      </c>
      <c r="J35" s="7">
        <v>117.72158247471886</v>
      </c>
      <c r="K35" s="7">
        <v>89.459595829423776</v>
      </c>
      <c r="L35" s="7">
        <v>84.375640724675236</v>
      </c>
      <c r="M35" s="7">
        <v>80.252433041296484</v>
      </c>
      <c r="N35" s="7">
        <v>81.393320604173127</v>
      </c>
      <c r="O35" s="7">
        <v>34.807078453376882</v>
      </c>
      <c r="P35" s="7">
        <v>0</v>
      </c>
      <c r="Q35" s="7">
        <v>113.23809450832645</v>
      </c>
      <c r="R35" s="7">
        <v>86.837555991935361</v>
      </c>
      <c r="S35" s="7">
        <v>84.926068934835016</v>
      </c>
      <c r="T35" s="7">
        <v>78.12077470013223</v>
      </c>
      <c r="U35" s="7">
        <v>83.064620805931014</v>
      </c>
      <c r="V35" s="7">
        <v>34.807078453376882</v>
      </c>
      <c r="W35" s="7">
        <v>0</v>
      </c>
      <c r="X35" s="7">
        <v>117.17115426455908</v>
      </c>
      <c r="Y35" s="7">
        <v>89.980000682665747</v>
      </c>
      <c r="Z35" s="7">
        <v>89.949977325747952</v>
      </c>
      <c r="AA35" s="7">
        <v>82.914504021341983</v>
      </c>
      <c r="AB35" s="7">
        <v>88.06851362556543</v>
      </c>
      <c r="AC35" s="7">
        <v>38.039593214860695</v>
      </c>
      <c r="AD35" s="7">
        <v>0</v>
      </c>
      <c r="AE35" s="7">
        <v>121.65464223095151</v>
      </c>
      <c r="AF35" s="7">
        <v>97.315707556249791</v>
      </c>
      <c r="AI35" s="9" cm="1">
        <f t="array" ref="AI35">MAX(_xlfn._xlws.FILTER($D35:$AF35, $D$2:$AF$2=AI$2))</f>
        <v>121.65464223095151</v>
      </c>
      <c r="AJ35" s="9" cm="1">
        <f t="array" ref="AJ35">MAX(_xlfn._xlws.FILTER($B35:$AF35, $B$2:$AF$2=AJ$2))</f>
        <v>100.97855710022218</v>
      </c>
      <c r="AK35" s="9" cm="1">
        <f t="array" ref="AK35">MAX(_xlfn._xlws.FILTER($B35:$AF35, $B$2:$AF$2=AK$2))</f>
        <v>95.514306141181393</v>
      </c>
      <c r="AL35" s="9" cm="1">
        <f t="array" ref="AL35">MAX(_xlfn._xlws.FILTER($B35:$AF35, $B$2:$AF$2=AL$2))</f>
        <v>89.849899469355265</v>
      </c>
      <c r="AM35" s="9" cm="1">
        <f t="array" ref="AM35">MAX(_xlfn._xlws.FILTER($B35:$AF35, $B$2:$AF$2=AM$2))</f>
        <v>94.183270651158651</v>
      </c>
      <c r="AN35" s="9" cm="1">
        <f t="array" ref="AN35">MAX(_xlfn._xlws.FILTER($B35:$AF35, $B$2:$AF$2=AN$2))</f>
        <v>38.039593214860695</v>
      </c>
      <c r="AO35" s="9" cm="1">
        <f t="array" ref="AO35">MAX(_xlfn._xlws.FILTER($B35:$AF35, $B$2:$AF$2=AO$2))</f>
        <v>0</v>
      </c>
    </row>
    <row r="36" spans="1:41" x14ac:dyDescent="0.25">
      <c r="A36" s="3" t="s">
        <v>41</v>
      </c>
      <c r="B36" s="7">
        <v>0</v>
      </c>
      <c r="C36" s="7">
        <v>137.85724718092769</v>
      </c>
      <c r="D36" s="7">
        <v>104.35118086065576</v>
      </c>
      <c r="E36" s="7">
        <v>93.953091581455467</v>
      </c>
      <c r="F36" s="7">
        <v>90.280234251843808</v>
      </c>
      <c r="G36" s="7">
        <v>94.293356293190612</v>
      </c>
      <c r="H36" s="7">
        <v>36.308246299267196</v>
      </c>
      <c r="I36" s="7">
        <v>0</v>
      </c>
      <c r="J36" s="7">
        <v>113.93863950307527</v>
      </c>
      <c r="K36" s="7">
        <v>88.078521411204704</v>
      </c>
      <c r="L36" s="7">
        <v>81.573460745679981</v>
      </c>
      <c r="M36" s="7">
        <v>80.522643253556737</v>
      </c>
      <c r="N36" s="7">
        <v>78.62116398209568</v>
      </c>
      <c r="O36" s="7">
        <v>34.126549029906606</v>
      </c>
      <c r="P36" s="7">
        <v>0</v>
      </c>
      <c r="Q36" s="7">
        <v>109.49518267923992</v>
      </c>
      <c r="R36" s="7">
        <v>85.446473788076986</v>
      </c>
      <c r="S36" s="7">
        <v>82.654301594721005</v>
      </c>
      <c r="T36" s="7">
        <v>77.810533345314909</v>
      </c>
      <c r="U36" s="7">
        <v>80.292464183853568</v>
      </c>
      <c r="V36" s="7">
        <v>33.586128605386087</v>
      </c>
      <c r="W36" s="7">
        <v>0</v>
      </c>
      <c r="X36" s="7">
        <v>113.38821129291547</v>
      </c>
      <c r="Y36" s="7">
        <v>88.078521411204704</v>
      </c>
      <c r="Z36" s="7">
        <v>86.957649419606597</v>
      </c>
      <c r="AA36" s="7">
        <v>82.694332737278074</v>
      </c>
      <c r="AB36" s="7">
        <v>85.336388146045039</v>
      </c>
      <c r="AC36" s="7">
        <v>37.399094933947495</v>
      </c>
      <c r="AD36" s="7">
        <v>0</v>
      </c>
      <c r="AE36" s="7">
        <v>117.84167590239009</v>
      </c>
      <c r="AF36" s="7">
        <v>95.434243856067269</v>
      </c>
      <c r="AI36" s="9" cm="1">
        <f t="array" ref="AI36">MAX(_xlfn._xlws.FILTER($D36:$AF36, $D$2:$AF$2=AI$2))</f>
        <v>117.84167590239009</v>
      </c>
      <c r="AJ36" s="9" cm="1">
        <f t="array" ref="AJ36">MAX(_xlfn._xlws.FILTER($B36:$AF36, $B$2:$AF$2=AJ$2))</f>
        <v>104.35118086065576</v>
      </c>
      <c r="AK36" s="9" cm="1">
        <f t="array" ref="AK36">MAX(_xlfn._xlws.FILTER($B36:$AF36, $B$2:$AF$2=AK$2))</f>
        <v>93.953091581455467</v>
      </c>
      <c r="AL36" s="9" cm="1">
        <f t="array" ref="AL36">MAX(_xlfn._xlws.FILTER($B36:$AF36, $B$2:$AF$2=AL$2))</f>
        <v>90.280234251843808</v>
      </c>
      <c r="AM36" s="9" cm="1">
        <f t="array" ref="AM36">MAX(_xlfn._xlws.FILTER($B36:$AF36, $B$2:$AF$2=AM$2))</f>
        <v>94.293356293190612</v>
      </c>
      <c r="AN36" s="9" cm="1">
        <f t="array" ref="AN36">MAX(_xlfn._xlws.FILTER($B36:$AF36, $B$2:$AF$2=AN$2))</f>
        <v>37.399094933947495</v>
      </c>
      <c r="AO36" s="9" cm="1">
        <f t="array" ref="AO36">MAX(_xlfn._xlws.FILTER($B36:$AF36, $B$2:$AF$2=AO$2))</f>
        <v>0</v>
      </c>
    </row>
    <row r="37" spans="1:41" x14ac:dyDescent="0.25">
      <c r="A37" s="3" t="s">
        <v>42</v>
      </c>
      <c r="B37" s="7">
        <v>0</v>
      </c>
      <c r="C37" s="7">
        <v>128.47995203693281</v>
      </c>
      <c r="D37" s="7">
        <v>98.636735260633273</v>
      </c>
      <c r="E37" s="7">
        <v>89.149354474606454</v>
      </c>
      <c r="F37" s="7">
        <v>88.298692695268613</v>
      </c>
      <c r="G37" s="7">
        <v>88.06851362556543</v>
      </c>
      <c r="H37" s="7">
        <v>35.177366522029821</v>
      </c>
      <c r="I37" s="7">
        <v>0</v>
      </c>
      <c r="J37" s="7">
        <v>108.52442747223084</v>
      </c>
      <c r="K37" s="7">
        <v>87.0176961334422</v>
      </c>
      <c r="L37" s="7">
        <v>79.571903617826209</v>
      </c>
      <c r="M37" s="7">
        <v>77.029926065451946</v>
      </c>
      <c r="N37" s="7">
        <v>77.08997277928755</v>
      </c>
      <c r="O37" s="7">
        <v>31.904820617988925</v>
      </c>
      <c r="P37" s="7">
        <v>0</v>
      </c>
      <c r="Q37" s="7">
        <v>104.64140664419455</v>
      </c>
      <c r="R37" s="7">
        <v>83.835220300154717</v>
      </c>
      <c r="S37" s="7">
        <v>80.632728895588698</v>
      </c>
      <c r="T37" s="7">
        <v>74.337831728488638</v>
      </c>
      <c r="U37" s="7">
        <v>79.281677834287422</v>
      </c>
      <c r="V37" s="7">
        <v>31.904820617988925</v>
      </c>
      <c r="W37" s="7">
        <v>0</v>
      </c>
      <c r="X37" s="7">
        <v>108.52442747223084</v>
      </c>
      <c r="Y37" s="7">
        <v>87.0176961334422</v>
      </c>
      <c r="Z37" s="7">
        <v>84.355625153396701</v>
      </c>
      <c r="AA37" s="7">
        <v>79.181599977894734</v>
      </c>
      <c r="AB37" s="7">
        <v>84.225523940086205</v>
      </c>
      <c r="AC37" s="7">
        <v>35.177366522029821</v>
      </c>
      <c r="AD37" s="7">
        <v>0</v>
      </c>
      <c r="AE37" s="7">
        <v>112.40744830026713</v>
      </c>
      <c r="AF37" s="7">
        <v>93.883037081980589</v>
      </c>
      <c r="AI37" s="9" cm="1">
        <f t="array" ref="AI37">MAX(_xlfn._xlws.FILTER($D37:$AF37, $D$2:$AF$2=AI$2))</f>
        <v>112.40744830026713</v>
      </c>
      <c r="AJ37" s="9" cm="1">
        <f t="array" ref="AJ37">MAX(_xlfn._xlws.FILTER($B37:$AF37, $B$2:$AF$2=AJ$2))</f>
        <v>98.636735260633273</v>
      </c>
      <c r="AK37" s="9" cm="1">
        <f t="array" ref="AK37">MAX(_xlfn._xlws.FILTER($B37:$AF37, $B$2:$AF$2=AK$2))</f>
        <v>89.149354474606454</v>
      </c>
      <c r="AL37" s="9" cm="1">
        <f t="array" ref="AL37">MAX(_xlfn._xlws.FILTER($B37:$AF37, $B$2:$AF$2=AL$2))</f>
        <v>88.298692695268613</v>
      </c>
      <c r="AM37" s="9" cm="1">
        <f t="array" ref="AM37">MAX(_xlfn._xlws.FILTER($B37:$AF37, $B$2:$AF$2=AM$2))</f>
        <v>88.06851362556543</v>
      </c>
      <c r="AN37" s="9" cm="1">
        <f t="array" ref="AN37">MAX(_xlfn._xlws.FILTER($B37:$AF37, $B$2:$AF$2=AN$2))</f>
        <v>35.177366522029821</v>
      </c>
      <c r="AO37" s="9" cm="1">
        <f t="array" ref="AO37">MAX(_xlfn._xlws.FILTER($B37:$AF37, $B$2:$AF$2=AO$2))</f>
        <v>0</v>
      </c>
    </row>
    <row r="38" spans="1:41" x14ac:dyDescent="0.25">
      <c r="A38" s="3" t="s">
        <v>43</v>
      </c>
      <c r="B38" s="7">
        <v>0</v>
      </c>
      <c r="C38" s="7">
        <v>124.00647185617967</v>
      </c>
      <c r="D38" s="7">
        <v>87.718241128191011</v>
      </c>
      <c r="E38" s="7">
        <v>86.737478135542659</v>
      </c>
      <c r="F38" s="7">
        <v>80.452588754081859</v>
      </c>
      <c r="G38" s="7">
        <v>82.81442616494931</v>
      </c>
      <c r="H38" s="7">
        <v>30.72390191255521</v>
      </c>
      <c r="I38" s="7">
        <v>0</v>
      </c>
      <c r="J38" s="7">
        <v>103.04016094191154</v>
      </c>
      <c r="K38" s="7">
        <v>84.005352656022282</v>
      </c>
      <c r="L38" s="7">
        <v>76.399435570177999</v>
      </c>
      <c r="M38" s="7">
        <v>73.40710766403663</v>
      </c>
      <c r="N38" s="7">
        <v>74.007574802392753</v>
      </c>
      <c r="O38" s="7">
        <v>30.183481488034694</v>
      </c>
      <c r="P38" s="7">
        <v>0</v>
      </c>
      <c r="Q38" s="7">
        <v>98.626727474993999</v>
      </c>
      <c r="R38" s="7">
        <v>81.353289461616058</v>
      </c>
      <c r="S38" s="7">
        <v>77.480276419219024</v>
      </c>
      <c r="T38" s="7">
        <v>71.235418180315307</v>
      </c>
      <c r="U38" s="7">
        <v>75.658859432872106</v>
      </c>
      <c r="V38" s="7">
        <v>30.183481488034694</v>
      </c>
      <c r="W38" s="7">
        <v>0</v>
      </c>
      <c r="X38" s="7">
        <v>102.48973273175174</v>
      </c>
      <c r="Y38" s="7">
        <v>84.005352656022282</v>
      </c>
      <c r="Z38" s="7">
        <v>81.843670957940219</v>
      </c>
      <c r="AA38" s="7">
        <v>75.578797147757953</v>
      </c>
      <c r="AB38" s="7">
        <v>80.622721109949438</v>
      </c>
      <c r="AC38" s="7">
        <v>32.905599181915811</v>
      </c>
      <c r="AD38" s="7">
        <v>0</v>
      </c>
      <c r="AE38" s="7">
        <v>105.80230977834974</v>
      </c>
      <c r="AF38" s="7">
        <v>90.89070917583922</v>
      </c>
      <c r="AI38" s="9" cm="1">
        <f t="array" ref="AI38">MAX(_xlfn._xlws.FILTER($D38:$AF38, $D$2:$AF$2=AI$2))</f>
        <v>105.80230977834974</v>
      </c>
      <c r="AJ38" s="9" cm="1">
        <f t="array" ref="AJ38">MAX(_xlfn._xlws.FILTER($B38:$AF38, $B$2:$AF$2=AJ$2))</f>
        <v>90.89070917583922</v>
      </c>
      <c r="AK38" s="9" cm="1">
        <f t="array" ref="AK38">MAX(_xlfn._xlws.FILTER($B38:$AF38, $B$2:$AF$2=AK$2))</f>
        <v>86.737478135542659</v>
      </c>
      <c r="AL38" s="9" cm="1">
        <f t="array" ref="AL38">MAX(_xlfn._xlws.FILTER($B38:$AF38, $B$2:$AF$2=AL$2))</f>
        <v>80.452588754081859</v>
      </c>
      <c r="AM38" s="9" cm="1">
        <f t="array" ref="AM38">MAX(_xlfn._xlws.FILTER($B38:$AF38, $B$2:$AF$2=AM$2))</f>
        <v>82.81442616494931</v>
      </c>
      <c r="AN38" s="9" cm="1">
        <f t="array" ref="AN38">MAX(_xlfn._xlws.FILTER($B38:$AF38, $B$2:$AF$2=AN$2))</f>
        <v>32.905599181915811</v>
      </c>
      <c r="AO38" s="9" cm="1">
        <f t="array" ref="AO38">MAX(_xlfn._xlws.FILTER($B38:$AF38, $B$2:$AF$2=AO$2))</f>
        <v>0</v>
      </c>
    </row>
    <row r="39" spans="1:41" x14ac:dyDescent="0.25">
      <c r="A39" s="3" t="s">
        <v>44</v>
      </c>
      <c r="B39" s="7">
        <v>0</v>
      </c>
      <c r="C39" s="7">
        <v>103.39043343928594</v>
      </c>
      <c r="D39" s="7">
        <v>82.003795528168524</v>
      </c>
      <c r="E39" s="7">
        <v>77.650408775086603</v>
      </c>
      <c r="F39" s="7">
        <v>73.096866309219308</v>
      </c>
      <c r="G39" s="7">
        <v>76.749708067552419</v>
      </c>
      <c r="H39" s="7">
        <v>26.930951155272332</v>
      </c>
      <c r="I39" s="7">
        <v>0</v>
      </c>
      <c r="J39" s="7">
        <v>95.594368426295546</v>
      </c>
      <c r="K39" s="7">
        <v>78.781288552323971</v>
      </c>
      <c r="L39" s="7">
        <v>71.055278038808453</v>
      </c>
      <c r="M39" s="7">
        <v>69.223853266822275</v>
      </c>
      <c r="N39" s="7">
        <v>68.803526269972977</v>
      </c>
      <c r="O39" s="7">
        <v>26.930951155272332</v>
      </c>
      <c r="P39" s="7">
        <v>0</v>
      </c>
      <c r="Q39" s="7">
        <v>91.691332026980731</v>
      </c>
      <c r="R39" s="7">
        <v>76.089194215360678</v>
      </c>
      <c r="S39" s="7">
        <v>72.156134459128026</v>
      </c>
      <c r="T39" s="7">
        <v>67.562560850703662</v>
      </c>
      <c r="U39" s="7">
        <v>69.934406047210345</v>
      </c>
      <c r="V39" s="7">
        <v>26.930951155272332</v>
      </c>
      <c r="W39" s="7">
        <v>0</v>
      </c>
      <c r="X39" s="7">
        <v>95.033932430496492</v>
      </c>
      <c r="Y39" s="7">
        <v>78.781288552323971</v>
      </c>
      <c r="Z39" s="7">
        <v>75.999124144607237</v>
      </c>
      <c r="AA39" s="7">
        <v>71.435573893100667</v>
      </c>
      <c r="AB39" s="7">
        <v>75.048384508876708</v>
      </c>
      <c r="AC39" s="7">
        <v>29.603029920957102</v>
      </c>
      <c r="AD39" s="7">
        <v>0</v>
      </c>
      <c r="AE39" s="7">
        <v>98.386540619651541</v>
      </c>
      <c r="AF39" s="7">
        <v>85.236310289652351</v>
      </c>
      <c r="AI39" s="9" cm="1">
        <f t="array" ref="AI39">MAX(_xlfn._xlws.FILTER($D39:$AF39, $D$2:$AF$2=AI$2))</f>
        <v>98.386540619651541</v>
      </c>
      <c r="AJ39" s="9" cm="1">
        <f t="array" ref="AJ39">MAX(_xlfn._xlws.FILTER($B39:$AF39, $B$2:$AF$2=AJ$2))</f>
        <v>85.236310289652351</v>
      </c>
      <c r="AK39" s="9" cm="1">
        <f t="array" ref="AK39">MAX(_xlfn._xlws.FILTER($B39:$AF39, $B$2:$AF$2=AK$2))</f>
        <v>77.650408775086603</v>
      </c>
      <c r="AL39" s="9" cm="1">
        <f t="array" ref="AL39">MAX(_xlfn._xlws.FILTER($B39:$AF39, $B$2:$AF$2=AL$2))</f>
        <v>73.096866309219308</v>
      </c>
      <c r="AM39" s="9" cm="1">
        <f t="array" ref="AM39">MAX(_xlfn._xlws.FILTER($B39:$AF39, $B$2:$AF$2=AM$2))</f>
        <v>76.749708067552419</v>
      </c>
      <c r="AN39" s="9" cm="1">
        <f t="array" ref="AN39">MAX(_xlfn._xlws.FILTER($B39:$AF39, $B$2:$AF$2=AN$2))</f>
        <v>29.603029920957102</v>
      </c>
      <c r="AO39" s="9" cm="1">
        <f t="array" ref="AO39">MAX(_xlfn._xlws.FILTER($B39:$AF39, $B$2:$AF$2=AO$2))</f>
        <v>0</v>
      </c>
    </row>
    <row r="40" spans="1:41" x14ac:dyDescent="0.25">
      <c r="A40" s="3" t="s">
        <v>45</v>
      </c>
      <c r="B40" s="7">
        <v>0</v>
      </c>
      <c r="C40" s="7">
        <v>96.46504577691195</v>
      </c>
      <c r="D40" s="7">
        <v>75.428680363168937</v>
      </c>
      <c r="E40" s="7">
        <v>67.902825562438778</v>
      </c>
      <c r="F40" s="7">
        <v>64.690326372233514</v>
      </c>
      <c r="G40" s="7">
        <v>64.580240730201552</v>
      </c>
      <c r="H40" s="7">
        <v>23.248086040021416</v>
      </c>
      <c r="I40" s="7">
        <v>0</v>
      </c>
      <c r="J40" s="7">
        <v>85.406442645519917</v>
      </c>
      <c r="K40" s="7">
        <v>71.585690677689712</v>
      </c>
      <c r="L40" s="7">
        <v>65.130668940361332</v>
      </c>
      <c r="M40" s="7">
        <v>60.787289972918678</v>
      </c>
      <c r="N40" s="7">
        <v>61.157578041571618</v>
      </c>
      <c r="O40" s="7">
        <v>23.248086040021416</v>
      </c>
      <c r="P40" s="7">
        <v>0</v>
      </c>
      <c r="Q40" s="7">
        <v>81.533429603122897</v>
      </c>
      <c r="R40" s="7">
        <v>69.383977837050566</v>
      </c>
      <c r="S40" s="7">
        <v>65.681097150521111</v>
      </c>
      <c r="T40" s="7">
        <v>59.115989771160791</v>
      </c>
      <c r="U40" s="7">
        <v>62.298465604448268</v>
      </c>
      <c r="V40" s="7">
        <v>23.248086040021416</v>
      </c>
      <c r="W40" s="7">
        <v>0</v>
      </c>
      <c r="X40" s="7">
        <v>84.856014435360137</v>
      </c>
      <c r="Y40" s="7">
        <v>71.585690677689712</v>
      </c>
      <c r="Z40" s="7">
        <v>69.013689768397626</v>
      </c>
      <c r="AA40" s="7">
        <v>63.019026170475613</v>
      </c>
      <c r="AB40" s="7">
        <v>66.291572074516509</v>
      </c>
      <c r="AC40" s="7">
        <v>25.930172591345453</v>
      </c>
      <c r="AD40" s="7">
        <v>0</v>
      </c>
      <c r="AE40" s="7">
        <v>87.618163271798323</v>
      </c>
      <c r="AF40" s="7">
        <v>77.630393203808055</v>
      </c>
      <c r="AI40" s="9" cm="1">
        <f t="array" ref="AI40">MAX(_xlfn._xlws.FILTER($D40:$AF40, $D$2:$AF$2=AI$2))</f>
        <v>87.618163271798323</v>
      </c>
      <c r="AJ40" s="9" cm="1">
        <f t="array" ref="AJ40">MAX(_xlfn._xlws.FILTER($B40:$AF40, $B$2:$AF$2=AJ$2))</f>
        <v>77.630393203808055</v>
      </c>
      <c r="AK40" s="9" cm="1">
        <f t="array" ref="AK40">MAX(_xlfn._xlws.FILTER($B40:$AF40, $B$2:$AF$2=AK$2))</f>
        <v>69.013689768397626</v>
      </c>
      <c r="AL40" s="9" cm="1">
        <f t="array" ref="AL40">MAX(_xlfn._xlws.FILTER($B40:$AF40, $B$2:$AF$2=AL$2))</f>
        <v>64.690326372233514</v>
      </c>
      <c r="AM40" s="9" cm="1">
        <f t="array" ref="AM40">MAX(_xlfn._xlws.FILTER($B40:$AF40, $B$2:$AF$2=AM$2))</f>
        <v>66.291572074516509</v>
      </c>
      <c r="AN40" s="9" cm="1">
        <f t="array" ref="AN40">MAX(_xlfn._xlws.FILTER($B40:$AF40, $B$2:$AF$2=AN$2))</f>
        <v>25.930172591345453</v>
      </c>
      <c r="AO40" s="9" cm="1">
        <f t="array" ref="AO40">MAX(_xlfn._xlws.FILTER($B40:$AF40, $B$2:$AF$2=AO$2))</f>
        <v>0</v>
      </c>
    </row>
    <row r="41" spans="1:41" x14ac:dyDescent="0.25">
      <c r="A41" s="3" t="s">
        <v>46</v>
      </c>
      <c r="B41" s="7">
        <v>0</v>
      </c>
      <c r="C41" s="7">
        <v>83.434908874583968</v>
      </c>
      <c r="D41" s="7">
        <v>63.659524451388819</v>
      </c>
      <c r="E41" s="7">
        <v>56.904269144882385</v>
      </c>
      <c r="F41" s="7">
        <v>55.122883301092529</v>
      </c>
      <c r="G41" s="7">
        <v>54.062058023330053</v>
      </c>
      <c r="H41" s="7">
        <v>19.605252067327577</v>
      </c>
      <c r="I41" s="7">
        <v>0</v>
      </c>
      <c r="J41" s="7">
        <v>76.069178644082129</v>
      </c>
      <c r="K41" s="7">
        <v>65.320816867507446</v>
      </c>
      <c r="L41" s="7">
        <v>58.575569346640279</v>
      </c>
      <c r="M41" s="7">
        <v>54.012019095133702</v>
      </c>
      <c r="N41" s="7">
        <v>54.062058023330053</v>
      </c>
      <c r="O41" s="7">
        <v>20.145672491848089</v>
      </c>
      <c r="P41" s="7">
        <v>0</v>
      </c>
      <c r="Q41" s="7">
        <v>73.236975308169065</v>
      </c>
      <c r="R41" s="7">
        <v>63.109096241229039</v>
      </c>
      <c r="S41" s="7">
        <v>59.136005342439333</v>
      </c>
      <c r="T41" s="7">
        <v>52.340718893375815</v>
      </c>
      <c r="U41" s="7">
        <v>55.192937800567421</v>
      </c>
      <c r="V41" s="7">
        <v>20.145672491848089</v>
      </c>
      <c r="W41" s="7">
        <v>0</v>
      </c>
      <c r="X41" s="7">
        <v>76.069178644082129</v>
      </c>
      <c r="Y41" s="7">
        <v>65.320816867507446</v>
      </c>
      <c r="Z41" s="7">
        <v>62.478605745955107</v>
      </c>
      <c r="AA41" s="7">
        <v>55.683319296891597</v>
      </c>
      <c r="AB41" s="7">
        <v>58.575569346640279</v>
      </c>
      <c r="AC41" s="7">
        <v>22.317361975569423</v>
      </c>
      <c r="AD41" s="7">
        <v>0</v>
      </c>
      <c r="AE41" s="7">
        <v>78.901381979995207</v>
      </c>
      <c r="AF41" s="7">
        <v>70.845114540383818</v>
      </c>
      <c r="AI41" s="9" cm="1">
        <f t="array" ref="AI41">MAX(_xlfn._xlws.FILTER($D41:$AF41, $D$2:$AF$2=AI$2))</f>
        <v>78.901381979995207</v>
      </c>
      <c r="AJ41" s="9" cm="1">
        <f t="array" ref="AJ41">MAX(_xlfn._xlws.FILTER($B41:$AF41, $B$2:$AF$2=AJ$2))</f>
        <v>70.845114540383818</v>
      </c>
      <c r="AK41" s="9" cm="1">
        <f t="array" ref="AK41">MAX(_xlfn._xlws.FILTER($B41:$AF41, $B$2:$AF$2=AK$2))</f>
        <v>62.478605745955107</v>
      </c>
      <c r="AL41" s="9" cm="1">
        <f t="array" ref="AL41">MAX(_xlfn._xlws.FILTER($B41:$AF41, $B$2:$AF$2=AL$2))</f>
        <v>55.683319296891597</v>
      </c>
      <c r="AM41" s="9" cm="1">
        <f t="array" ref="AM41">MAX(_xlfn._xlws.FILTER($B41:$AF41, $B$2:$AF$2=AM$2))</f>
        <v>58.575569346640279</v>
      </c>
      <c r="AN41" s="9" cm="1">
        <f t="array" ref="AN41">MAX(_xlfn._xlws.FILTER($B41:$AF41, $B$2:$AF$2=AN$2))</f>
        <v>22.317361975569423</v>
      </c>
      <c r="AO41" s="9" cm="1">
        <f t="array" ref="AO41">MAX(_xlfn._xlws.FILTER($B41:$AF41, $B$2:$AF$2=AO$2))</f>
        <v>0</v>
      </c>
    </row>
    <row r="42" spans="1:41" x14ac:dyDescent="0.25">
      <c r="A42" s="3" t="s">
        <v>47</v>
      </c>
      <c r="B42" s="7">
        <v>0</v>
      </c>
      <c r="C42" s="7">
        <v>67.852786634242449</v>
      </c>
      <c r="D42" s="7">
        <v>53.001232745567549</v>
      </c>
      <c r="E42" s="7">
        <v>47.857230926983391</v>
      </c>
      <c r="F42" s="7">
        <v>44.454583809631998</v>
      </c>
      <c r="G42" s="7">
        <v>43.063501605773638</v>
      </c>
      <c r="H42" s="7">
        <v>15.502059955227368</v>
      </c>
      <c r="I42" s="7">
        <v>0</v>
      </c>
      <c r="J42" s="7">
        <v>67.282342852804135</v>
      </c>
      <c r="K42" s="7">
        <v>58.46548370460831</v>
      </c>
      <c r="L42" s="7">
        <v>53.491614241891725</v>
      </c>
      <c r="M42" s="7">
        <v>47.246756002988</v>
      </c>
      <c r="N42" s="7">
        <v>46.486164294403572</v>
      </c>
      <c r="O42" s="7">
        <v>16.022464808469348</v>
      </c>
      <c r="P42" s="7">
        <v>0</v>
      </c>
      <c r="Q42" s="7">
        <v>64.400100588694713</v>
      </c>
      <c r="R42" s="7">
        <v>56.824206859768239</v>
      </c>
      <c r="S42" s="7">
        <v>54.062058023330053</v>
      </c>
      <c r="T42" s="7">
        <v>46.125884011389893</v>
      </c>
      <c r="U42" s="7">
        <v>47.61704407164094</v>
      </c>
      <c r="V42" s="7">
        <v>16.022464808469348</v>
      </c>
      <c r="W42" s="7">
        <v>0</v>
      </c>
      <c r="X42" s="7">
        <v>66.701891285726546</v>
      </c>
      <c r="Y42" s="7">
        <v>59.015911914768097</v>
      </c>
      <c r="Z42" s="7">
        <v>56.874245787964576</v>
      </c>
      <c r="AA42" s="7">
        <v>48.918056204745888</v>
      </c>
      <c r="AB42" s="7">
        <v>50.459255193193286</v>
      </c>
      <c r="AC42" s="7">
        <v>17.563663796916742</v>
      </c>
      <c r="AD42" s="7">
        <v>0</v>
      </c>
      <c r="AE42" s="7">
        <v>69.584133549835954</v>
      </c>
      <c r="AF42" s="7">
        <v>63.379306453489292</v>
      </c>
      <c r="AI42" s="9" cm="1">
        <f t="array" ref="AI42">MAX(_xlfn._xlws.FILTER($D42:$AF42, $D$2:$AF$2=AI$2))</f>
        <v>69.584133549835954</v>
      </c>
      <c r="AJ42" s="9" cm="1">
        <f t="array" ref="AJ42">MAX(_xlfn._xlws.FILTER($B42:$AF42, $B$2:$AF$2=AJ$2))</f>
        <v>63.379306453489292</v>
      </c>
      <c r="AK42" s="9" cm="1">
        <f t="array" ref="AK42">MAX(_xlfn._xlws.FILTER($B42:$AF42, $B$2:$AF$2=AK$2))</f>
        <v>56.874245787964576</v>
      </c>
      <c r="AL42" s="9" cm="1">
        <f t="array" ref="AL42">MAX(_xlfn._xlws.FILTER($B42:$AF42, $B$2:$AF$2=AL$2))</f>
        <v>48.918056204745888</v>
      </c>
      <c r="AM42" s="9" cm="1">
        <f t="array" ref="AM42">MAX(_xlfn._xlws.FILTER($B42:$AF42, $B$2:$AF$2=AM$2))</f>
        <v>50.459255193193286</v>
      </c>
      <c r="AN42" s="9" cm="1">
        <f t="array" ref="AN42">MAX(_xlfn._xlws.FILTER($B42:$AF42, $B$2:$AF$2=AN$2))</f>
        <v>17.563663796916742</v>
      </c>
      <c r="AO42" s="9" cm="1">
        <f t="array" ref="AO42">MAX(_xlfn._xlws.FILTER($B42:$AF42, $B$2:$AF$2=AO$2))</f>
        <v>0</v>
      </c>
    </row>
    <row r="43" spans="1:41" x14ac:dyDescent="0.25">
      <c r="A43" s="3" t="s">
        <v>48</v>
      </c>
      <c r="B43" s="7">
        <v>0</v>
      </c>
      <c r="C43" s="7">
        <v>50.219068337850821</v>
      </c>
      <c r="D43" s="7">
        <v>41.502287046047705</v>
      </c>
      <c r="E43" s="7">
        <v>39.000340636230504</v>
      </c>
      <c r="F43" s="7">
        <v>36.568448725888189</v>
      </c>
      <c r="G43" s="7">
        <v>36.768604438673563</v>
      </c>
      <c r="H43" s="7">
        <v>12.789950046985522</v>
      </c>
      <c r="I43" s="7">
        <v>0</v>
      </c>
      <c r="J43" s="7">
        <v>55.49317136974549</v>
      </c>
      <c r="K43" s="7">
        <v>49.82876469791934</v>
      </c>
      <c r="L43" s="7">
        <v>46.145899582668427</v>
      </c>
      <c r="M43" s="7">
        <v>40.021134771435925</v>
      </c>
      <c r="N43" s="7">
        <v>37.359063791390419</v>
      </c>
      <c r="O43" s="7">
        <v>13.82075196783021</v>
      </c>
      <c r="P43" s="7">
        <v>0</v>
      </c>
      <c r="Q43" s="7">
        <v>53.15134953015658</v>
      </c>
      <c r="R43" s="7">
        <v>48.16747228180072</v>
      </c>
      <c r="S43" s="7">
        <v>46.73635893538529</v>
      </c>
      <c r="T43" s="7">
        <v>38.880247208559283</v>
      </c>
      <c r="U43" s="7">
        <v>38.539982496824138</v>
      </c>
      <c r="V43" s="7">
        <v>13.82075196783021</v>
      </c>
      <c r="W43" s="7">
        <v>0</v>
      </c>
      <c r="X43" s="7">
        <v>55.49317136974549</v>
      </c>
      <c r="Y43" s="7">
        <v>49.82876469791934</v>
      </c>
      <c r="Z43" s="7">
        <v>49.118211917531255</v>
      </c>
      <c r="AA43" s="7">
        <v>41.182037905591102</v>
      </c>
      <c r="AB43" s="7">
        <v>40.891812122052308</v>
      </c>
      <c r="AC43" s="7">
        <v>15.361950956277605</v>
      </c>
      <c r="AD43" s="7">
        <v>0</v>
      </c>
      <c r="AE43" s="7">
        <v>57.244533856617522</v>
      </c>
      <c r="AF43" s="7">
        <v>53.711785525955634</v>
      </c>
      <c r="AI43" s="9" cm="1">
        <f t="array" ref="AI43">MAX(_xlfn._xlws.FILTER($D43:$AF43, $D$2:$AF$2=AI$2))</f>
        <v>57.244533856617522</v>
      </c>
      <c r="AJ43" s="9" cm="1">
        <f t="array" ref="AJ43">MAX(_xlfn._xlws.FILTER($B43:$AF43, $B$2:$AF$2=AJ$2))</f>
        <v>53.711785525955634</v>
      </c>
      <c r="AK43" s="9" cm="1">
        <f t="array" ref="AK43">MAX(_xlfn._xlws.FILTER($B43:$AF43, $B$2:$AF$2=AK$2))</f>
        <v>49.118211917531255</v>
      </c>
      <c r="AL43" s="9" cm="1">
        <f t="array" ref="AL43">MAX(_xlfn._xlws.FILTER($B43:$AF43, $B$2:$AF$2=AL$2))</f>
        <v>41.182037905591102</v>
      </c>
      <c r="AM43" s="9" cm="1">
        <f t="array" ref="AM43">MAX(_xlfn._xlws.FILTER($B43:$AF43, $B$2:$AF$2=AM$2))</f>
        <v>40.891812122052308</v>
      </c>
      <c r="AN43" s="9" cm="1">
        <f t="array" ref="AN43">MAX(_xlfn._xlws.FILTER($B43:$AF43, $B$2:$AF$2=AN$2))</f>
        <v>15.361950956277605</v>
      </c>
      <c r="AO43" s="9" cm="1">
        <f t="array" ref="AO43">MAX(_xlfn._xlws.FILTER($B43:$AF43, $B$2:$AF$2=AO$2))</f>
        <v>0</v>
      </c>
    </row>
    <row r="44" spans="1:41" x14ac:dyDescent="0.25">
      <c r="A44" s="3" t="s">
        <v>49</v>
      </c>
      <c r="B44" s="7">
        <v>0</v>
      </c>
      <c r="C44" s="7">
        <v>36.918721223262594</v>
      </c>
      <c r="D44" s="7">
        <v>30.373629415180801</v>
      </c>
      <c r="E44" s="7">
        <v>29.072617282075861</v>
      </c>
      <c r="F44" s="7">
        <v>26.930951155272332</v>
      </c>
      <c r="G44" s="7">
        <v>26.740803228126229</v>
      </c>
      <c r="H44" s="7">
        <v>11.168688773423977</v>
      </c>
      <c r="I44" s="7">
        <v>0</v>
      </c>
      <c r="J44" s="7">
        <v>44.734801807531525</v>
      </c>
      <c r="K44" s="7">
        <v>38.499951354267061</v>
      </c>
      <c r="L44" s="7">
        <v>35.707779160911066</v>
      </c>
      <c r="M44" s="7">
        <v>32.885583610637269</v>
      </c>
      <c r="N44" s="7">
        <v>27.921721933559944</v>
      </c>
      <c r="O44" s="7">
        <v>13.330370471506038</v>
      </c>
      <c r="P44" s="7">
        <v>0</v>
      </c>
      <c r="Q44" s="7">
        <v>42.933400392463142</v>
      </c>
      <c r="R44" s="7">
        <v>37.909492001550213</v>
      </c>
      <c r="S44" s="7">
        <v>36.318254084906464</v>
      </c>
      <c r="T44" s="7">
        <v>31.704664905203551</v>
      </c>
      <c r="U44" s="7">
        <v>28.522189071916074</v>
      </c>
      <c r="V44" s="7">
        <v>13.330370471506038</v>
      </c>
      <c r="W44" s="7">
        <v>0</v>
      </c>
      <c r="X44" s="7">
        <v>44.134334669175395</v>
      </c>
      <c r="Y44" s="7">
        <v>39.070395135705382</v>
      </c>
      <c r="Z44" s="7">
        <v>38.119655499974854</v>
      </c>
      <c r="AA44" s="7">
        <v>34.08651788734953</v>
      </c>
      <c r="AB44" s="7">
        <v>30.884026482783511</v>
      </c>
      <c r="AC44" s="7">
        <v>14.941623959428314</v>
      </c>
      <c r="AD44" s="7">
        <v>0</v>
      </c>
      <c r="AE44" s="7">
        <v>45.925728298604511</v>
      </c>
      <c r="AF44" s="7">
        <v>41.962645185454072</v>
      </c>
      <c r="AI44" s="9" cm="1">
        <f t="array" ref="AI44">MAX(_xlfn._xlws.FILTER($D44:$AF44, $D$2:$AF$2=AI$2))</f>
        <v>45.925728298604511</v>
      </c>
      <c r="AJ44" s="9" cm="1">
        <f t="array" ref="AJ44">MAX(_xlfn._xlws.FILTER($B44:$AF44, $B$2:$AF$2=AJ$2))</f>
        <v>41.962645185454072</v>
      </c>
      <c r="AK44" s="9" cm="1">
        <f t="array" ref="AK44">MAX(_xlfn._xlws.FILTER($B44:$AF44, $B$2:$AF$2=AK$2))</f>
        <v>38.119655499974854</v>
      </c>
      <c r="AL44" s="9" cm="1">
        <f t="array" ref="AL44">MAX(_xlfn._xlws.FILTER($B44:$AF44, $B$2:$AF$2=AL$2))</f>
        <v>34.08651788734953</v>
      </c>
      <c r="AM44" s="9" cm="1">
        <f t="array" ref="AM44">MAX(_xlfn._xlws.FILTER($B44:$AF44, $B$2:$AF$2=AM$2))</f>
        <v>30.884026482783511</v>
      </c>
      <c r="AN44" s="9" cm="1">
        <f t="array" ref="AN44">MAX(_xlfn._xlws.FILTER($B44:$AF44, $B$2:$AF$2=AN$2))</f>
        <v>14.941623959428314</v>
      </c>
      <c r="AO44" s="9" cm="1">
        <f t="array" ref="AO44">MAX(_xlfn._xlws.FILTER($B44:$AF44, $B$2:$AF$2=AO$2))</f>
        <v>0</v>
      </c>
    </row>
    <row r="45" spans="1:41" x14ac:dyDescent="0.25">
      <c r="A45" s="3" t="s">
        <v>50</v>
      </c>
      <c r="B45" s="7">
        <v>0</v>
      </c>
      <c r="C45" s="7">
        <v>23.80852203582047</v>
      </c>
      <c r="D45" s="7">
        <v>22.717673401140171</v>
      </c>
      <c r="E45" s="7">
        <v>18.374294433697514</v>
      </c>
      <c r="F45" s="7">
        <v>19.074839428446328</v>
      </c>
      <c r="G45" s="7">
        <v>18.104084221437255</v>
      </c>
      <c r="H45" s="7">
        <v>0</v>
      </c>
      <c r="I45" s="7">
        <v>0</v>
      </c>
      <c r="J45" s="7">
        <v>31.524524763696714</v>
      </c>
      <c r="K45" s="7">
        <v>27.371293723400164</v>
      </c>
      <c r="L45" s="7">
        <v>24.328926889062448</v>
      </c>
      <c r="M45" s="7">
        <v>24.459028102372944</v>
      </c>
      <c r="N45" s="7">
        <v>19.274995141231706</v>
      </c>
      <c r="O45" s="7">
        <v>0</v>
      </c>
      <c r="P45" s="7">
        <v>0</v>
      </c>
      <c r="Q45" s="7">
        <v>30.343606058262992</v>
      </c>
      <c r="R45" s="7">
        <v>26.21039058924498</v>
      </c>
      <c r="S45" s="7">
        <v>24.919386241779307</v>
      </c>
      <c r="T45" s="7">
        <v>23.258093825660687</v>
      </c>
      <c r="U45" s="7">
        <v>19.865454493948565</v>
      </c>
      <c r="V45" s="7">
        <v>0</v>
      </c>
      <c r="W45" s="7">
        <v>0</v>
      </c>
      <c r="X45" s="7">
        <v>31.524524763696714</v>
      </c>
      <c r="Y45" s="7">
        <v>27.371293723400164</v>
      </c>
      <c r="Z45" s="7">
        <v>26.100304947213022</v>
      </c>
      <c r="AA45" s="7">
        <v>25.049487455089803</v>
      </c>
      <c r="AB45" s="7">
        <v>21.036365413743013</v>
      </c>
      <c r="AC45" s="7">
        <v>0</v>
      </c>
      <c r="AD45" s="7">
        <v>0</v>
      </c>
      <c r="AE45" s="7">
        <v>32.705443469130429</v>
      </c>
      <c r="AF45" s="7">
        <v>29.693099991710522</v>
      </c>
      <c r="AI45" s="9" cm="1">
        <f t="array" ref="AI45">MAX(_xlfn._xlws.FILTER($D45:$AF45, $D$2:$AF$2=AI$2))</f>
        <v>32.705443469130429</v>
      </c>
      <c r="AJ45" s="9" cm="1">
        <f t="array" ref="AJ45">MAX(_xlfn._xlws.FILTER($B45:$AF45, $B$2:$AF$2=AJ$2))</f>
        <v>29.693099991710522</v>
      </c>
      <c r="AK45" s="9" cm="1">
        <f t="array" ref="AK45">MAX(_xlfn._xlws.FILTER($B45:$AF45, $B$2:$AF$2=AK$2))</f>
        <v>26.100304947213022</v>
      </c>
      <c r="AL45" s="9" cm="1">
        <f t="array" ref="AL45">MAX(_xlfn._xlws.FILTER($B45:$AF45, $B$2:$AF$2=AL$2))</f>
        <v>25.049487455089803</v>
      </c>
      <c r="AM45" s="9" cm="1">
        <f t="array" ref="AM45">MAX(_xlfn._xlws.FILTER($B45:$AF45, $B$2:$AF$2=AM$2))</f>
        <v>21.036365413743013</v>
      </c>
      <c r="AN45" s="9" cm="1">
        <f t="array" ref="AN45">MAX(_xlfn._xlws.FILTER($B45:$AF45, $B$2:$AF$2=AN$2))</f>
        <v>0</v>
      </c>
      <c r="AO45" s="9" cm="1">
        <f t="array" ref="AO45">MAX(_xlfn._xlws.FILTER($B45:$AF45, $B$2:$AF$2=AO$2))</f>
        <v>0</v>
      </c>
    </row>
    <row r="46" spans="1:41" x14ac:dyDescent="0.25">
      <c r="A46" s="3" t="s">
        <v>51</v>
      </c>
      <c r="B46" s="7">
        <v>0</v>
      </c>
      <c r="C46" s="7">
        <v>16.692986446300353</v>
      </c>
      <c r="D46" s="7">
        <v>14.881577245592702</v>
      </c>
      <c r="E46" s="7">
        <v>12.73991111878918</v>
      </c>
      <c r="F46" s="7">
        <v>14.611367033332446</v>
      </c>
      <c r="G46" s="7">
        <v>11.278774415455935</v>
      </c>
      <c r="H46" s="7">
        <v>0</v>
      </c>
      <c r="I46" s="7">
        <v>0</v>
      </c>
      <c r="J46" s="7">
        <v>20.165688063126623</v>
      </c>
      <c r="K46" s="7">
        <v>18.344271076779705</v>
      </c>
      <c r="L46" s="7">
        <v>15.542091097784443</v>
      </c>
      <c r="M46" s="7">
        <v>16.382745091483024</v>
      </c>
      <c r="N46" s="7">
        <v>12.369623050136234</v>
      </c>
      <c r="O46" s="7">
        <v>0</v>
      </c>
      <c r="P46" s="7">
        <v>0</v>
      </c>
      <c r="Q46" s="7">
        <v>19.585236496049038</v>
      </c>
      <c r="R46" s="7">
        <v>17.763819509702113</v>
      </c>
      <c r="S46" s="7">
        <v>16.102527093583493</v>
      </c>
      <c r="T46" s="7">
        <v>15.792285738766161</v>
      </c>
      <c r="U46" s="7">
        <v>12.369623050136234</v>
      </c>
      <c r="V46" s="7">
        <v>0</v>
      </c>
      <c r="W46" s="7">
        <v>0</v>
      </c>
      <c r="X46" s="7">
        <v>20.165688063126623</v>
      </c>
      <c r="Y46" s="7">
        <v>18.344271076779705</v>
      </c>
      <c r="Z46" s="7">
        <v>16.65295530374328</v>
      </c>
      <c r="AA46" s="7">
        <v>16.973204444199883</v>
      </c>
      <c r="AB46" s="7">
        <v>12.910043474656749</v>
      </c>
      <c r="AC46" s="7">
        <v>0</v>
      </c>
      <c r="AD46" s="7">
        <v>0</v>
      </c>
      <c r="AE46" s="7">
        <v>20.736131844564948</v>
      </c>
      <c r="AF46" s="7">
        <v>19.495166425295618</v>
      </c>
      <c r="AI46" s="9" cm="1">
        <f t="array" ref="AI46">MAX(_xlfn._xlws.FILTER($D46:$AF46, $D$2:$AF$2=AI$2))</f>
        <v>20.736131844564948</v>
      </c>
      <c r="AJ46" s="9" cm="1">
        <f t="array" ref="AJ46">MAX(_xlfn._xlws.FILTER($B46:$AF46, $B$2:$AF$2=AJ$2))</f>
        <v>19.495166425295618</v>
      </c>
      <c r="AK46" s="9" cm="1">
        <f t="array" ref="AK46">MAX(_xlfn._xlws.FILTER($B46:$AF46, $B$2:$AF$2=AK$2))</f>
        <v>16.65295530374328</v>
      </c>
      <c r="AL46" s="9" cm="1">
        <f t="array" ref="AL46">MAX(_xlfn._xlws.FILTER($B46:$AF46, $B$2:$AF$2=AL$2))</f>
        <v>16.973204444199883</v>
      </c>
      <c r="AM46" s="9" cm="1">
        <f t="array" ref="AM46">MAX(_xlfn._xlws.FILTER($B46:$AF46, $B$2:$AF$2=AM$2))</f>
        <v>12.910043474656749</v>
      </c>
      <c r="AN46" s="9" cm="1">
        <f t="array" ref="AN46">MAX(_xlfn._xlws.FILTER($B46:$AF46, $B$2:$AF$2=AN$2))</f>
        <v>0</v>
      </c>
      <c r="AO46" s="9" cm="1">
        <f t="array" ref="AO46">MAX(_xlfn._xlws.FILTER($B46:$AF46, $B$2:$AF$2=AO$2))</f>
        <v>0</v>
      </c>
    </row>
    <row r="47" spans="1:41" x14ac:dyDescent="0.25">
      <c r="A47" s="3" t="s">
        <v>52</v>
      </c>
      <c r="B47" s="7">
        <v>0</v>
      </c>
      <c r="C47" s="7">
        <v>11.729124769223031</v>
      </c>
      <c r="D47" s="7">
        <v>9.1070849317346063</v>
      </c>
      <c r="E47" s="7">
        <v>8.4765944364606725</v>
      </c>
      <c r="F47" s="7">
        <v>8.8869136476706938</v>
      </c>
      <c r="G47" s="7">
        <v>7.6259326571228234</v>
      </c>
      <c r="H47" s="7">
        <v>0</v>
      </c>
      <c r="I47" s="7">
        <v>0</v>
      </c>
      <c r="J47" s="7">
        <v>14.00089210933705</v>
      </c>
      <c r="K47" s="7">
        <v>12.950074617213824</v>
      </c>
      <c r="L47" s="7">
        <v>11.208719915981053</v>
      </c>
      <c r="M47" s="7">
        <v>10.498167135592968</v>
      </c>
      <c r="N47" s="7">
        <v>8.6767501492460468</v>
      </c>
      <c r="O47" s="7">
        <v>0</v>
      </c>
      <c r="P47" s="7">
        <v>0</v>
      </c>
      <c r="Q47" s="7">
        <v>13.440456113537996</v>
      </c>
      <c r="R47" s="7">
        <v>12.399646407054041</v>
      </c>
      <c r="S47" s="7">
        <v>11.208719915981053</v>
      </c>
      <c r="T47" s="7">
        <v>10.498167135592968</v>
      </c>
      <c r="U47" s="7">
        <v>9.1971550024880244</v>
      </c>
      <c r="V47" s="7">
        <v>0</v>
      </c>
      <c r="W47" s="7">
        <v>0</v>
      </c>
      <c r="X47" s="7">
        <v>13.440456113537996</v>
      </c>
      <c r="Y47" s="7">
        <v>12.950074617213824</v>
      </c>
      <c r="Z47" s="7">
        <v>11.749140340501569</v>
      </c>
      <c r="AA47" s="7">
        <v>11.038587560113482</v>
      </c>
      <c r="AB47" s="7">
        <v>9.717559855730002</v>
      </c>
      <c r="AC47" s="7">
        <v>0</v>
      </c>
      <c r="AD47" s="7">
        <v>0</v>
      </c>
      <c r="AE47" s="7">
        <v>14.00089210933705</v>
      </c>
      <c r="AF47" s="7">
        <v>14.040923251894123</v>
      </c>
      <c r="AI47" s="9" cm="1">
        <f t="array" ref="AI47">MAX(_xlfn._xlws.FILTER($D47:$AF47, $D$2:$AF$2=AI$2))</f>
        <v>14.00089210933705</v>
      </c>
      <c r="AJ47" s="9" cm="1">
        <f t="array" ref="AJ47">MAX(_xlfn._xlws.FILTER($B47:$AF47, $B$2:$AF$2=AJ$2))</f>
        <v>14.040923251894123</v>
      </c>
      <c r="AK47" s="9" cm="1">
        <f t="array" ref="AK47">MAX(_xlfn._xlws.FILTER($B47:$AF47, $B$2:$AF$2=AK$2))</f>
        <v>11.749140340501569</v>
      </c>
      <c r="AL47" s="9" cm="1">
        <f t="array" ref="AL47">MAX(_xlfn._xlws.FILTER($B47:$AF47, $B$2:$AF$2=AL$2))</f>
        <v>11.038587560113482</v>
      </c>
      <c r="AM47" s="9" cm="1">
        <f t="array" ref="AM47">MAX(_xlfn._xlws.FILTER($B47:$AF47, $B$2:$AF$2=AM$2))</f>
        <v>9.717559855730002</v>
      </c>
      <c r="AN47" s="9" cm="1">
        <f t="array" ref="AN47">MAX(_xlfn._xlws.FILTER($B47:$AF47, $B$2:$AF$2=AN$2))</f>
        <v>0</v>
      </c>
      <c r="AO47" s="9" cm="1">
        <f t="array" ref="AO47">MAX(_xlfn._xlws.FILTER($B47:$AF47, $B$2:$AF$2=AO$2))</f>
        <v>0</v>
      </c>
    </row>
    <row r="48" spans="1:41" x14ac:dyDescent="0.25">
      <c r="A48" s="3" t="s">
        <v>53</v>
      </c>
      <c r="B48" s="7">
        <v>0</v>
      </c>
      <c r="C48" s="7">
        <v>8.1063063678077256</v>
      </c>
      <c r="D48" s="7">
        <v>7.395753587419641</v>
      </c>
      <c r="E48" s="7">
        <v>6.9954421618488904</v>
      </c>
      <c r="F48" s="7">
        <v>5.7845000994973654</v>
      </c>
      <c r="G48" s="7">
        <v>5.8145234564151718</v>
      </c>
      <c r="H48" s="7">
        <v>0</v>
      </c>
      <c r="I48" s="7">
        <v>0</v>
      </c>
      <c r="J48" s="7">
        <v>10.90848634680299</v>
      </c>
      <c r="K48" s="7">
        <v>11.238743272898859</v>
      </c>
      <c r="L48" s="7">
        <v>9.2471939306843698</v>
      </c>
      <c r="M48" s="7">
        <v>8.3064620805931018</v>
      </c>
      <c r="N48" s="7">
        <v>7.3357068735840292</v>
      </c>
      <c r="O48" s="7">
        <v>0</v>
      </c>
      <c r="P48" s="7">
        <v>0</v>
      </c>
      <c r="Q48" s="7">
        <v>10.348050351003936</v>
      </c>
      <c r="R48" s="7">
        <v>10.688315062739076</v>
      </c>
      <c r="S48" s="7">
        <v>9.8076299264834219</v>
      </c>
      <c r="T48" s="7">
        <v>8.3064620805931018</v>
      </c>
      <c r="U48" s="7">
        <v>7.8360961555474686</v>
      </c>
      <c r="V48" s="7">
        <v>0</v>
      </c>
      <c r="W48" s="7">
        <v>0</v>
      </c>
      <c r="X48" s="7">
        <v>10.90848634680299</v>
      </c>
      <c r="Y48" s="7">
        <v>11.238743272898859</v>
      </c>
      <c r="Z48" s="7">
        <v>9.8076299264834219</v>
      </c>
      <c r="AA48" s="7">
        <v>8.806851362556543</v>
      </c>
      <c r="AB48" s="7">
        <v>8.3464932231501763</v>
      </c>
      <c r="AC48" s="7">
        <v>0</v>
      </c>
      <c r="AD48" s="7">
        <v>0</v>
      </c>
      <c r="AE48" s="7">
        <v>10.90848634680299</v>
      </c>
      <c r="AF48" s="7">
        <v>12.31958412193989</v>
      </c>
      <c r="AI48" s="9" cm="1">
        <f t="array" ref="AI48">MAX(_xlfn._xlws.FILTER($D48:$AF48, $D$2:$AF$2=AI$2))</f>
        <v>10.90848634680299</v>
      </c>
      <c r="AJ48" s="9" cm="1">
        <f t="array" ref="AJ48">MAX(_xlfn._xlws.FILTER($B48:$AF48, $B$2:$AF$2=AJ$2))</f>
        <v>12.31958412193989</v>
      </c>
      <c r="AK48" s="9" cm="1">
        <f t="array" ref="AK48">MAX(_xlfn._xlws.FILTER($B48:$AF48, $B$2:$AF$2=AK$2))</f>
        <v>9.8076299264834219</v>
      </c>
      <c r="AL48" s="9" cm="1">
        <f t="array" ref="AL48">MAX(_xlfn._xlws.FILTER($B48:$AF48, $B$2:$AF$2=AL$2))</f>
        <v>8.806851362556543</v>
      </c>
      <c r="AM48" s="9" cm="1">
        <f t="array" ref="AM48">MAX(_xlfn._xlws.FILTER($B48:$AF48, $B$2:$AF$2=AM$2))</f>
        <v>8.3464932231501763</v>
      </c>
      <c r="AN48" s="9" cm="1">
        <f t="array" ref="AN48">MAX(_xlfn._xlws.FILTER($B48:$AF48, $B$2:$AF$2=AN$2))</f>
        <v>0</v>
      </c>
      <c r="AO48" s="9" cm="1">
        <f t="array" ref="AO48">MAX(_xlfn._xlws.FILTER($B48:$AF48, $B$2:$AF$2=AO$2))</f>
        <v>0</v>
      </c>
    </row>
    <row r="49" spans="1:41" x14ac:dyDescent="0.25">
      <c r="A49" s="3" t="s">
        <v>54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I49" s="9" cm="1">
        <f t="array" ref="AI49">MAX(_xlfn._xlws.FILTER($D49:$AF49, $D$2:$AF$2=AI$2))</f>
        <v>0</v>
      </c>
      <c r="AJ49" s="9" cm="1">
        <f t="array" ref="AJ49">MAX(_xlfn._xlws.FILTER($B49:$AF49, $B$2:$AF$2=AJ$2))</f>
        <v>0</v>
      </c>
      <c r="AK49" s="9" cm="1">
        <f t="array" ref="AK49">MAX(_xlfn._xlws.FILTER($B49:$AF49, $B$2:$AF$2=AK$2))</f>
        <v>0</v>
      </c>
      <c r="AL49" s="9" cm="1">
        <f t="array" ref="AL49">MAX(_xlfn._xlws.FILTER($B49:$AF49, $B$2:$AF$2=AL$2))</f>
        <v>0</v>
      </c>
      <c r="AM49" s="9" cm="1">
        <f t="array" ref="AM49">MAX(_xlfn._xlws.FILTER($B49:$AF49, $B$2:$AF$2=AM$2))</f>
        <v>0</v>
      </c>
      <c r="AN49" s="9" cm="1">
        <f t="array" ref="AN49">MAX(_xlfn._xlws.FILTER($B49:$AF49, $B$2:$AF$2=AN$2))</f>
        <v>0</v>
      </c>
      <c r="AO49" s="9" cm="1">
        <f t="array" ref="AO49">MAX(_xlfn._xlws.FILTER($B49:$AF49, $B$2:$AF$2=AO$2))</f>
        <v>0</v>
      </c>
    </row>
    <row r="50" spans="1:41" x14ac:dyDescent="0.25">
      <c r="A50" s="3" t="s">
        <v>55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I50" s="9" cm="1">
        <f t="array" ref="AI50">MAX(_xlfn._xlws.FILTER($D50:$AF50, $D$2:$AF$2=AI$2))</f>
        <v>0</v>
      </c>
      <c r="AJ50" s="9" cm="1">
        <f t="array" ref="AJ50">MAX(_xlfn._xlws.FILTER($B50:$AF50, $B$2:$AF$2=AJ$2))</f>
        <v>0</v>
      </c>
      <c r="AK50" s="9" cm="1">
        <f t="array" ref="AK50">MAX(_xlfn._xlws.FILTER($B50:$AF50, $B$2:$AF$2=AK$2))</f>
        <v>0</v>
      </c>
      <c r="AL50" s="9" cm="1">
        <f t="array" ref="AL50">MAX(_xlfn._xlws.FILTER($B50:$AF50, $B$2:$AF$2=AL$2))</f>
        <v>0</v>
      </c>
      <c r="AM50" s="9" cm="1">
        <f t="array" ref="AM50">MAX(_xlfn._xlws.FILTER($B50:$AF50, $B$2:$AF$2=AM$2))</f>
        <v>0</v>
      </c>
      <c r="AN50" s="9" cm="1">
        <f t="array" ref="AN50">MAX(_xlfn._xlws.FILTER($B50:$AF50, $B$2:$AF$2=AN$2))</f>
        <v>0</v>
      </c>
      <c r="AO50" s="9" cm="1">
        <f t="array" ref="AO50">MAX(_xlfn._xlws.FILTER($B50:$AF50, $B$2:$AF$2=AO$2))</f>
        <v>0</v>
      </c>
    </row>
    <row r="51" spans="1:41" s="12" customFormat="1" x14ac:dyDescent="0.25">
      <c r="A51" s="10"/>
      <c r="B51" s="11">
        <f>MAX(B3:B50)</f>
        <v>0</v>
      </c>
      <c r="C51" s="11">
        <f t="shared" ref="C51:AF51" si="6">MAX(C3:C50)</f>
        <v>146.16370926152081</v>
      </c>
      <c r="D51" s="11">
        <f t="shared" si="6"/>
        <v>108.9547622547194</v>
      </c>
      <c r="E51" s="11">
        <f t="shared" si="6"/>
        <v>96.625170347140227</v>
      </c>
      <c r="F51" s="11">
        <f t="shared" si="6"/>
        <v>94.203286222437185</v>
      </c>
      <c r="G51" s="11">
        <f t="shared" si="6"/>
        <v>94.293356293190612</v>
      </c>
      <c r="H51" s="11">
        <f t="shared" si="6"/>
        <v>42.843330321709729</v>
      </c>
      <c r="I51" s="11">
        <f t="shared" si="6"/>
        <v>0</v>
      </c>
      <c r="J51" s="11">
        <f t="shared" si="6"/>
        <v>127.15892433254935</v>
      </c>
      <c r="K51" s="11">
        <f t="shared" si="6"/>
        <v>93.382647800017168</v>
      </c>
      <c r="L51" s="11">
        <f t="shared" si="6"/>
        <v>90.020031825222844</v>
      </c>
      <c r="M51" s="11">
        <f t="shared" si="6"/>
        <v>85.156248004538199</v>
      </c>
      <c r="N51" s="11">
        <f t="shared" si="6"/>
        <v>83.384869946387624</v>
      </c>
      <c r="O51" s="11">
        <f t="shared" si="6"/>
        <v>37.73935964568264</v>
      </c>
      <c r="P51" s="11">
        <f t="shared" si="6"/>
        <v>0</v>
      </c>
      <c r="Q51" s="11">
        <f t="shared" si="6"/>
        <v>122.22508601238982</v>
      </c>
      <c r="R51" s="11">
        <f t="shared" si="6"/>
        <v>90.750600176889463</v>
      </c>
      <c r="S51" s="11">
        <f t="shared" si="6"/>
        <v>90.570460035382624</v>
      </c>
      <c r="T51" s="11">
        <f t="shared" si="6"/>
        <v>82.053834456364868</v>
      </c>
      <c r="U51" s="11">
        <f t="shared" si="6"/>
        <v>85.516528287551878</v>
      </c>
      <c r="V51" s="11">
        <f t="shared" si="6"/>
        <v>37.609258432372137</v>
      </c>
      <c r="W51" s="11">
        <f t="shared" si="6"/>
        <v>0</v>
      </c>
      <c r="X51" s="11">
        <f t="shared" si="6"/>
        <v>127.15892433254935</v>
      </c>
      <c r="Y51" s="11">
        <f t="shared" si="6"/>
        <v>93.913060438898398</v>
      </c>
      <c r="Z51" s="11">
        <f t="shared" si="6"/>
        <v>95.524313926820682</v>
      </c>
      <c r="AA51" s="11">
        <f t="shared" si="6"/>
        <v>87.738256699469559</v>
      </c>
      <c r="AB51" s="11">
        <f t="shared" si="6"/>
        <v>91.080857102985334</v>
      </c>
      <c r="AC51" s="11">
        <f t="shared" si="6"/>
        <v>41.472263689129896</v>
      </c>
      <c r="AD51" s="11">
        <f t="shared" si="6"/>
        <v>0</v>
      </c>
      <c r="AE51" s="11">
        <f t="shared" si="6"/>
        <v>131.55234222818834</v>
      </c>
      <c r="AF51" s="11">
        <f t="shared" si="6"/>
        <v>101.78918773700293</v>
      </c>
      <c r="AG51" s="10"/>
    </row>
  </sheetData>
  <mergeCells count="1">
    <mergeCell ref="AI1:AO1"/>
  </mergeCells>
  <phoneticPr fontId="3" type="noConversion"/>
  <dataValidations count="1">
    <dataValidation type="list" allowBlank="1" showInputMessage="1" showErrorMessage="1" sqref="A2" xr:uid="{C274B7E0-2143-4A01-B1A9-E999FC46E6A2}">
      <formula1>"15-Day,45-Day"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BA003-9556-4E29-8679-F8D8A59A241B}">
  <sheetPr>
    <tabColor rgb="FFFF0000"/>
  </sheetPr>
  <dimension ref="A1:AG51"/>
  <sheetViews>
    <sheetView zoomScale="75" zoomScaleNormal="75" workbookViewId="0">
      <pane xSplit="1" ySplit="2" topLeftCell="B3" activePane="bottomRight" state="frozen"/>
      <selection activeCell="I28" sqref="I28"/>
      <selection pane="topRight" activeCell="I28" sqref="I28"/>
      <selection pane="bottomLeft" activeCell="I28" sqref="I28"/>
      <selection pane="bottomRight" activeCell="I28" sqref="I28"/>
    </sheetView>
  </sheetViews>
  <sheetFormatPr defaultColWidth="9.140625" defaultRowHeight="15" x14ac:dyDescent="0.25"/>
  <cols>
    <col min="1" max="1" width="9.7109375" style="3" bestFit="1" customWidth="1"/>
    <col min="2" max="10" width="7.7109375" style="3" bestFit="1" customWidth="1"/>
    <col min="11" max="32" width="8.85546875" style="3" bestFit="1" customWidth="1"/>
    <col min="33" max="33" width="7.5703125" style="3" bestFit="1" customWidth="1"/>
    <col min="34" max="16384" width="9.140625" style="3"/>
  </cols>
  <sheetData>
    <row r="1" spans="1:32" x14ac:dyDescent="0.25">
      <c r="A1" s="1" t="s">
        <v>57</v>
      </c>
      <c r="B1" s="2">
        <f>'V-FTE Mar'!B1</f>
        <v>46082</v>
      </c>
      <c r="C1" s="2">
        <f>'V-FTE Mar'!C1</f>
        <v>46083</v>
      </c>
      <c r="D1" s="2">
        <f>'V-FTE Mar'!D1</f>
        <v>46084</v>
      </c>
      <c r="E1" s="2">
        <f>'V-FTE Mar'!E1</f>
        <v>46085</v>
      </c>
      <c r="F1" s="2">
        <f>'V-FTE Mar'!F1</f>
        <v>46086</v>
      </c>
      <c r="G1" s="2">
        <f>'V-FTE Mar'!G1</f>
        <v>46087</v>
      </c>
      <c r="H1" s="2">
        <f>'V-FTE Mar'!H1</f>
        <v>46088</v>
      </c>
      <c r="I1" s="2">
        <f>'V-FTE Mar'!I1</f>
        <v>46089</v>
      </c>
      <c r="J1" s="2">
        <f>'V-FTE Mar'!J1</f>
        <v>46090</v>
      </c>
      <c r="K1" s="2">
        <f>'V-FTE Mar'!K1</f>
        <v>46091</v>
      </c>
      <c r="L1" s="2">
        <f>'V-FTE Mar'!L1</f>
        <v>46092</v>
      </c>
      <c r="M1" s="2">
        <f>'V-FTE Mar'!M1</f>
        <v>46093</v>
      </c>
      <c r="N1" s="2">
        <f>'V-FTE Mar'!N1</f>
        <v>46094</v>
      </c>
      <c r="O1" s="2">
        <f>'V-FTE Mar'!O1</f>
        <v>46095</v>
      </c>
      <c r="P1" s="2">
        <f>'V-FTE Mar'!P1</f>
        <v>46096</v>
      </c>
      <c r="Q1" s="2">
        <f>'V-FTE Mar'!Q1</f>
        <v>46097</v>
      </c>
      <c r="R1" s="2">
        <f>'V-FTE Mar'!R1</f>
        <v>46098</v>
      </c>
      <c r="S1" s="2">
        <f>'V-FTE Mar'!S1</f>
        <v>46099</v>
      </c>
      <c r="T1" s="2">
        <f>'V-FTE Mar'!T1</f>
        <v>46100</v>
      </c>
      <c r="U1" s="2">
        <f>'V-FTE Mar'!U1</f>
        <v>46101</v>
      </c>
      <c r="V1" s="2">
        <f>'V-FTE Mar'!V1</f>
        <v>46102</v>
      </c>
      <c r="W1" s="2">
        <f>'V-FTE Mar'!W1</f>
        <v>46103</v>
      </c>
      <c r="X1" s="2">
        <f>'V-FTE Mar'!X1</f>
        <v>46104</v>
      </c>
      <c r="Y1" s="2">
        <f>'V-FTE Mar'!Y1</f>
        <v>46105</v>
      </c>
      <c r="Z1" s="2">
        <f>'V-FTE Mar'!Z1</f>
        <v>46106</v>
      </c>
      <c r="AA1" s="2">
        <f>'V-FTE Mar'!AA1</f>
        <v>46107</v>
      </c>
      <c r="AB1" s="2">
        <f>'V-FTE Mar'!AB1</f>
        <v>46108</v>
      </c>
      <c r="AC1" s="2">
        <f>'V-FTE Mar'!AC1</f>
        <v>46109</v>
      </c>
      <c r="AD1" s="2">
        <f>'V-FTE Mar'!AD1</f>
        <v>46110</v>
      </c>
      <c r="AE1" s="2">
        <f>'V-FTE Mar'!AE1</f>
        <v>46111</v>
      </c>
      <c r="AF1" s="2">
        <f>'V-FTE Mar'!AF1</f>
        <v>46112</v>
      </c>
    </row>
    <row r="2" spans="1:32" x14ac:dyDescent="0.25">
      <c r="A2" s="4">
        <f>'V-FTE Mar'!A2</f>
        <v>0</v>
      </c>
      <c r="B2" s="5" t="str">
        <f>TEXT(B1,"ddd")</f>
        <v>Sun</v>
      </c>
      <c r="C2" s="5" t="str">
        <f t="shared" ref="C2:AF2" si="0">TEXT(C1,"ddd")</f>
        <v>Mon</v>
      </c>
      <c r="D2" s="5" t="str">
        <f t="shared" si="0"/>
        <v>Tue</v>
      </c>
      <c r="E2" s="5" t="str">
        <f t="shared" si="0"/>
        <v>Wed</v>
      </c>
      <c r="F2" s="5" t="str">
        <f t="shared" si="0"/>
        <v>Thu</v>
      </c>
      <c r="G2" s="5" t="str">
        <f t="shared" si="0"/>
        <v>Fri</v>
      </c>
      <c r="H2" s="5" t="str">
        <f t="shared" si="0"/>
        <v>Sat</v>
      </c>
      <c r="I2" s="5" t="str">
        <f t="shared" si="0"/>
        <v>Sun</v>
      </c>
      <c r="J2" s="5" t="str">
        <f t="shared" si="0"/>
        <v>Mon</v>
      </c>
      <c r="K2" s="5" t="str">
        <f t="shared" si="0"/>
        <v>Tue</v>
      </c>
      <c r="L2" s="5" t="str">
        <f t="shared" si="0"/>
        <v>Wed</v>
      </c>
      <c r="M2" s="5" t="str">
        <f t="shared" si="0"/>
        <v>Thu</v>
      </c>
      <c r="N2" s="5" t="str">
        <f t="shared" si="0"/>
        <v>Fri</v>
      </c>
      <c r="O2" s="5" t="str">
        <f t="shared" si="0"/>
        <v>Sat</v>
      </c>
      <c r="P2" s="5" t="str">
        <f t="shared" si="0"/>
        <v>Sun</v>
      </c>
      <c r="Q2" s="5" t="str">
        <f t="shared" si="0"/>
        <v>Mon</v>
      </c>
      <c r="R2" s="5" t="str">
        <f t="shared" si="0"/>
        <v>Tue</v>
      </c>
      <c r="S2" s="5" t="str">
        <f t="shared" si="0"/>
        <v>Wed</v>
      </c>
      <c r="T2" s="5" t="str">
        <f t="shared" si="0"/>
        <v>Thu</v>
      </c>
      <c r="U2" s="5" t="str">
        <f t="shared" si="0"/>
        <v>Fri</v>
      </c>
      <c r="V2" s="5" t="str">
        <f t="shared" si="0"/>
        <v>Sat</v>
      </c>
      <c r="W2" s="5" t="str">
        <f t="shared" si="0"/>
        <v>Sun</v>
      </c>
      <c r="X2" s="5" t="str">
        <f t="shared" si="0"/>
        <v>Mon</v>
      </c>
      <c r="Y2" s="5" t="str">
        <f t="shared" si="0"/>
        <v>Tue</v>
      </c>
      <c r="Z2" s="5" t="str">
        <f t="shared" si="0"/>
        <v>Wed</v>
      </c>
      <c r="AA2" s="5" t="str">
        <f t="shared" si="0"/>
        <v>Thu</v>
      </c>
      <c r="AB2" s="5" t="str">
        <f t="shared" si="0"/>
        <v>Fri</v>
      </c>
      <c r="AC2" s="5" t="str">
        <f t="shared" si="0"/>
        <v>Sat</v>
      </c>
      <c r="AD2" s="5" t="str">
        <f t="shared" si="0"/>
        <v>Sun</v>
      </c>
      <c r="AE2" s="5" t="str">
        <f t="shared" si="0"/>
        <v>Mon</v>
      </c>
      <c r="AF2" s="5" t="str">
        <f t="shared" si="0"/>
        <v>Tue</v>
      </c>
    </row>
    <row r="3" spans="1:32" x14ac:dyDescent="0.25">
      <c r="A3" s="16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</row>
    <row r="4" spans="1:32" x14ac:dyDescent="0.25">
      <c r="A4" s="16">
        <v>2.0833333333333332E-2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</row>
    <row r="5" spans="1:32" x14ac:dyDescent="0.25">
      <c r="A5" s="16">
        <v>4.1666666666666664E-2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</row>
    <row r="6" spans="1:32" x14ac:dyDescent="0.25">
      <c r="A6" s="16">
        <v>6.25E-2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</row>
    <row r="7" spans="1:32" x14ac:dyDescent="0.25">
      <c r="A7" s="16">
        <v>8.3333333333333329E-2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</row>
    <row r="8" spans="1:32" x14ac:dyDescent="0.25">
      <c r="A8" s="16">
        <v>0.10416666666666667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5">
      <c r="A9" s="16">
        <v>0.125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</row>
    <row r="10" spans="1:32" x14ac:dyDescent="0.25">
      <c r="A10" s="16">
        <v>0.14583333333333334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</row>
    <row r="11" spans="1:32" x14ac:dyDescent="0.25">
      <c r="A11" s="16">
        <v>0.16666666666666666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</row>
    <row r="12" spans="1:32" x14ac:dyDescent="0.25">
      <c r="A12" s="16">
        <v>0.1875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</row>
    <row r="13" spans="1:32" x14ac:dyDescent="0.25">
      <c r="A13" s="16">
        <v>0.20833333333333334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5">
      <c r="A14" s="16">
        <v>0.22916666666666666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5">
      <c r="A15" s="16">
        <v>0.25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5">
      <c r="A16" s="16">
        <v>0.27083333333333331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</row>
    <row r="17" spans="1:32" x14ac:dyDescent="0.25">
      <c r="A17" s="16">
        <v>0.29166666666666669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</row>
    <row r="18" spans="1:32" x14ac:dyDescent="0.25">
      <c r="A18" s="16">
        <v>0.3125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</row>
    <row r="19" spans="1:32" x14ac:dyDescent="0.25">
      <c r="A19" s="16">
        <v>0.33333333333333331</v>
      </c>
      <c r="B19" s="3">
        <v>0</v>
      </c>
      <c r="C19" s="3">
        <v>23</v>
      </c>
      <c r="D19" s="3">
        <v>16</v>
      </c>
      <c r="E19" s="3">
        <v>12</v>
      </c>
      <c r="F19" s="3">
        <v>13</v>
      </c>
      <c r="G19" s="3">
        <v>14</v>
      </c>
      <c r="H19" s="3">
        <v>0</v>
      </c>
      <c r="I19" s="3">
        <v>0</v>
      </c>
      <c r="J19" s="3">
        <v>21</v>
      </c>
      <c r="K19" s="3">
        <v>12</v>
      </c>
      <c r="L19" s="3">
        <v>11</v>
      </c>
      <c r="M19" s="3">
        <v>12</v>
      </c>
      <c r="N19" s="3">
        <v>12</v>
      </c>
      <c r="O19" s="3">
        <v>0</v>
      </c>
      <c r="P19" s="3">
        <v>0</v>
      </c>
      <c r="Q19" s="3">
        <v>20</v>
      </c>
      <c r="R19" s="3">
        <v>12</v>
      </c>
      <c r="S19" s="3">
        <v>12</v>
      </c>
      <c r="T19" s="3">
        <v>12</v>
      </c>
      <c r="U19" s="3">
        <v>12</v>
      </c>
      <c r="V19" s="3">
        <v>0</v>
      </c>
      <c r="W19" s="3">
        <v>0</v>
      </c>
      <c r="X19" s="3">
        <v>21</v>
      </c>
      <c r="Y19" s="3">
        <v>12</v>
      </c>
      <c r="Z19" s="3">
        <v>12</v>
      </c>
      <c r="AA19" s="3">
        <v>12</v>
      </c>
      <c r="AB19" s="3">
        <v>13</v>
      </c>
      <c r="AC19" s="3">
        <v>0</v>
      </c>
      <c r="AD19" s="3">
        <v>0</v>
      </c>
      <c r="AE19" s="3">
        <v>21</v>
      </c>
      <c r="AF19" s="3">
        <v>13</v>
      </c>
    </row>
    <row r="20" spans="1:32" x14ac:dyDescent="0.25">
      <c r="A20" s="16">
        <v>0.35416666666666669</v>
      </c>
      <c r="B20" s="3">
        <v>0</v>
      </c>
      <c r="C20" s="3">
        <v>40</v>
      </c>
      <c r="D20" s="3">
        <v>28</v>
      </c>
      <c r="E20" s="3">
        <v>22</v>
      </c>
      <c r="F20" s="3">
        <v>22</v>
      </c>
      <c r="G20" s="3">
        <v>23</v>
      </c>
      <c r="H20" s="3">
        <v>0</v>
      </c>
      <c r="I20" s="3">
        <v>0</v>
      </c>
      <c r="J20" s="3">
        <v>33</v>
      </c>
      <c r="K20" s="3">
        <v>21</v>
      </c>
      <c r="L20" s="3">
        <v>21</v>
      </c>
      <c r="M20" s="3">
        <v>22</v>
      </c>
      <c r="N20" s="3">
        <v>21</v>
      </c>
      <c r="O20" s="3">
        <v>0</v>
      </c>
      <c r="P20" s="3">
        <v>0</v>
      </c>
      <c r="Q20" s="3">
        <v>32</v>
      </c>
      <c r="R20" s="3">
        <v>21</v>
      </c>
      <c r="S20" s="3">
        <v>22</v>
      </c>
      <c r="T20" s="3">
        <v>21</v>
      </c>
      <c r="U20" s="3">
        <v>21</v>
      </c>
      <c r="V20" s="3">
        <v>0</v>
      </c>
      <c r="W20" s="3">
        <v>0</v>
      </c>
      <c r="X20" s="3">
        <v>33</v>
      </c>
      <c r="Y20" s="3">
        <v>22</v>
      </c>
      <c r="Z20" s="3">
        <v>23</v>
      </c>
      <c r="AA20" s="3">
        <v>23</v>
      </c>
      <c r="AB20" s="3">
        <v>22</v>
      </c>
      <c r="AC20" s="3">
        <v>0</v>
      </c>
      <c r="AD20" s="3">
        <v>0</v>
      </c>
      <c r="AE20" s="3">
        <v>35</v>
      </c>
      <c r="AF20" s="3">
        <v>23</v>
      </c>
    </row>
    <row r="21" spans="1:32" x14ac:dyDescent="0.25">
      <c r="A21" s="16">
        <v>0.375</v>
      </c>
      <c r="B21" s="3">
        <v>0</v>
      </c>
      <c r="C21" s="3">
        <v>83</v>
      </c>
      <c r="D21" s="3">
        <v>59</v>
      </c>
      <c r="E21" s="3">
        <v>44</v>
      </c>
      <c r="F21" s="3">
        <v>46</v>
      </c>
      <c r="G21" s="3">
        <v>46</v>
      </c>
      <c r="H21" s="3">
        <v>15</v>
      </c>
      <c r="I21" s="3">
        <v>0</v>
      </c>
      <c r="J21" s="3">
        <v>60</v>
      </c>
      <c r="K21" s="3">
        <v>40</v>
      </c>
      <c r="L21" s="3">
        <v>37</v>
      </c>
      <c r="M21" s="3">
        <v>38</v>
      </c>
      <c r="N21" s="3">
        <v>37</v>
      </c>
      <c r="O21" s="3">
        <v>12</v>
      </c>
      <c r="P21" s="3">
        <v>0</v>
      </c>
      <c r="Q21" s="3">
        <v>58</v>
      </c>
      <c r="R21" s="3">
        <v>39</v>
      </c>
      <c r="S21" s="3">
        <v>38</v>
      </c>
      <c r="T21" s="3">
        <v>37</v>
      </c>
      <c r="U21" s="3">
        <v>38</v>
      </c>
      <c r="V21" s="3">
        <v>11</v>
      </c>
      <c r="W21" s="3">
        <v>0</v>
      </c>
      <c r="X21" s="3">
        <v>60</v>
      </c>
      <c r="Y21" s="3">
        <v>40</v>
      </c>
      <c r="Z21" s="3">
        <v>40</v>
      </c>
      <c r="AA21" s="3">
        <v>40</v>
      </c>
      <c r="AB21" s="3">
        <v>40</v>
      </c>
      <c r="AC21" s="3">
        <v>13</v>
      </c>
      <c r="AD21" s="3">
        <v>0</v>
      </c>
      <c r="AE21" s="3">
        <v>62</v>
      </c>
      <c r="AF21" s="3">
        <v>44</v>
      </c>
    </row>
    <row r="22" spans="1:32" x14ac:dyDescent="0.25">
      <c r="A22" s="16">
        <v>0.39583333333333331</v>
      </c>
      <c r="B22" s="3">
        <v>0</v>
      </c>
      <c r="C22" s="3">
        <v>108</v>
      </c>
      <c r="D22" s="3">
        <v>84</v>
      </c>
      <c r="E22" s="3">
        <v>70</v>
      </c>
      <c r="F22" s="3">
        <v>69</v>
      </c>
      <c r="G22" s="3">
        <v>67</v>
      </c>
      <c r="H22" s="3">
        <v>23</v>
      </c>
      <c r="I22" s="3">
        <v>0</v>
      </c>
      <c r="J22" s="3">
        <v>88</v>
      </c>
      <c r="K22" s="3">
        <v>59</v>
      </c>
      <c r="L22" s="3">
        <v>54</v>
      </c>
      <c r="M22" s="3">
        <v>54</v>
      </c>
      <c r="N22" s="3">
        <v>55</v>
      </c>
      <c r="O22" s="3">
        <v>18</v>
      </c>
      <c r="P22" s="3">
        <v>0</v>
      </c>
      <c r="Q22" s="3">
        <v>85</v>
      </c>
      <c r="R22" s="3">
        <v>57</v>
      </c>
      <c r="S22" s="3">
        <v>55</v>
      </c>
      <c r="T22" s="3">
        <v>52</v>
      </c>
      <c r="U22" s="3">
        <v>56</v>
      </c>
      <c r="V22" s="3">
        <v>17</v>
      </c>
      <c r="W22" s="3">
        <v>0</v>
      </c>
      <c r="X22" s="3">
        <v>88</v>
      </c>
      <c r="Y22" s="3">
        <v>59</v>
      </c>
      <c r="Z22" s="3">
        <v>58</v>
      </c>
      <c r="AA22" s="3">
        <v>56</v>
      </c>
      <c r="AB22" s="3">
        <v>60</v>
      </c>
      <c r="AC22" s="3">
        <v>19</v>
      </c>
      <c r="AD22" s="3">
        <v>0</v>
      </c>
      <c r="AE22" s="3">
        <v>91</v>
      </c>
      <c r="AF22" s="3">
        <v>64</v>
      </c>
    </row>
    <row r="23" spans="1:32" x14ac:dyDescent="0.25">
      <c r="A23" s="16">
        <v>0.41666666666666669</v>
      </c>
      <c r="B23" s="3">
        <v>0</v>
      </c>
      <c r="C23" s="3">
        <v>154</v>
      </c>
      <c r="D23" s="3">
        <v>116</v>
      </c>
      <c r="E23" s="3">
        <v>96</v>
      </c>
      <c r="F23" s="3">
        <v>98</v>
      </c>
      <c r="G23" s="3">
        <v>93</v>
      </c>
      <c r="H23" s="3">
        <v>35</v>
      </c>
      <c r="I23" s="3">
        <v>0</v>
      </c>
      <c r="J23" s="3">
        <v>111</v>
      </c>
      <c r="K23" s="3">
        <v>76</v>
      </c>
      <c r="L23" s="3">
        <v>71</v>
      </c>
      <c r="M23" s="3">
        <v>68</v>
      </c>
      <c r="N23" s="3">
        <v>69</v>
      </c>
      <c r="O23" s="3">
        <v>27</v>
      </c>
      <c r="P23" s="3">
        <v>0</v>
      </c>
      <c r="Q23" s="3">
        <v>106</v>
      </c>
      <c r="R23" s="3">
        <v>73</v>
      </c>
      <c r="S23" s="3">
        <v>72</v>
      </c>
      <c r="T23" s="3">
        <v>66</v>
      </c>
      <c r="U23" s="3">
        <v>70</v>
      </c>
      <c r="V23" s="3">
        <v>26</v>
      </c>
      <c r="W23" s="3">
        <v>0</v>
      </c>
      <c r="X23" s="3">
        <v>110</v>
      </c>
      <c r="Y23" s="3">
        <v>76</v>
      </c>
      <c r="Z23" s="3">
        <v>76</v>
      </c>
      <c r="AA23" s="3">
        <v>70</v>
      </c>
      <c r="AB23" s="3">
        <v>75</v>
      </c>
      <c r="AC23" s="3">
        <v>29</v>
      </c>
      <c r="AD23" s="3">
        <v>0</v>
      </c>
      <c r="AE23" s="3">
        <v>114</v>
      </c>
      <c r="AF23" s="3">
        <v>82</v>
      </c>
    </row>
    <row r="24" spans="1:32" x14ac:dyDescent="0.25">
      <c r="A24" s="16">
        <v>0.4375</v>
      </c>
      <c r="B24" s="3">
        <v>0</v>
      </c>
      <c r="C24" s="3">
        <v>173</v>
      </c>
      <c r="D24" s="3">
        <v>137</v>
      </c>
      <c r="E24" s="3">
        <v>114</v>
      </c>
      <c r="F24" s="3">
        <v>117</v>
      </c>
      <c r="G24" s="3">
        <v>110</v>
      </c>
      <c r="H24" s="3">
        <v>45</v>
      </c>
      <c r="I24" s="3">
        <v>0</v>
      </c>
      <c r="J24" s="3">
        <v>135</v>
      </c>
      <c r="K24" s="3">
        <v>95</v>
      </c>
      <c r="L24" s="3">
        <v>88</v>
      </c>
      <c r="M24" s="3">
        <v>84</v>
      </c>
      <c r="N24" s="3">
        <v>84</v>
      </c>
      <c r="O24" s="3">
        <v>35</v>
      </c>
      <c r="P24" s="3">
        <v>0</v>
      </c>
      <c r="Q24" s="3">
        <v>130</v>
      </c>
      <c r="R24" s="3">
        <v>92</v>
      </c>
      <c r="S24" s="3">
        <v>89</v>
      </c>
      <c r="T24" s="3">
        <v>82</v>
      </c>
      <c r="U24" s="3">
        <v>86</v>
      </c>
      <c r="V24" s="3">
        <v>35</v>
      </c>
      <c r="W24" s="3">
        <v>0</v>
      </c>
      <c r="X24" s="3">
        <v>135</v>
      </c>
      <c r="Y24" s="3">
        <v>96</v>
      </c>
      <c r="Z24" s="3">
        <v>94</v>
      </c>
      <c r="AA24" s="3">
        <v>87</v>
      </c>
      <c r="AB24" s="3">
        <v>92</v>
      </c>
      <c r="AC24" s="3">
        <v>39</v>
      </c>
      <c r="AD24" s="3">
        <v>0</v>
      </c>
      <c r="AE24" s="3">
        <v>139</v>
      </c>
      <c r="AF24" s="3">
        <v>104</v>
      </c>
    </row>
    <row r="25" spans="1:32" x14ac:dyDescent="0.25">
      <c r="A25" s="16">
        <v>0.45833333333333331</v>
      </c>
      <c r="B25" s="3">
        <v>0</v>
      </c>
      <c r="C25" s="3">
        <v>206</v>
      </c>
      <c r="D25" s="3">
        <v>172</v>
      </c>
      <c r="E25" s="3">
        <v>143</v>
      </c>
      <c r="F25" s="3">
        <v>148</v>
      </c>
      <c r="G25" s="3">
        <v>135</v>
      </c>
      <c r="H25" s="3">
        <v>56</v>
      </c>
      <c r="I25" s="3">
        <v>0</v>
      </c>
      <c r="J25" s="3">
        <v>176</v>
      </c>
      <c r="K25" s="3">
        <v>127</v>
      </c>
      <c r="L25" s="3">
        <v>116</v>
      </c>
      <c r="M25" s="3">
        <v>113</v>
      </c>
      <c r="N25" s="3">
        <v>110</v>
      </c>
      <c r="O25" s="3">
        <v>41</v>
      </c>
      <c r="P25" s="3">
        <v>0</v>
      </c>
      <c r="Q25" s="3">
        <v>169</v>
      </c>
      <c r="R25" s="3">
        <v>123</v>
      </c>
      <c r="S25" s="3">
        <v>118</v>
      </c>
      <c r="T25" s="3">
        <v>109</v>
      </c>
      <c r="U25" s="3">
        <v>112</v>
      </c>
      <c r="V25" s="3">
        <v>41</v>
      </c>
      <c r="W25" s="3">
        <v>0</v>
      </c>
      <c r="X25" s="3">
        <v>175</v>
      </c>
      <c r="Y25" s="3">
        <v>127</v>
      </c>
      <c r="Z25" s="3">
        <v>124</v>
      </c>
      <c r="AA25" s="3">
        <v>116</v>
      </c>
      <c r="AB25" s="3">
        <v>120</v>
      </c>
      <c r="AC25" s="3">
        <v>45</v>
      </c>
      <c r="AD25" s="3">
        <v>0</v>
      </c>
      <c r="AE25" s="3">
        <v>182</v>
      </c>
      <c r="AF25" s="3">
        <v>138</v>
      </c>
    </row>
    <row r="26" spans="1:32" x14ac:dyDescent="0.25">
      <c r="A26" s="16">
        <v>0.47916666666666669</v>
      </c>
      <c r="B26" s="3">
        <v>0</v>
      </c>
      <c r="C26" s="3">
        <v>250</v>
      </c>
      <c r="D26" s="3">
        <v>189</v>
      </c>
      <c r="E26" s="3">
        <v>159</v>
      </c>
      <c r="F26" s="3">
        <v>163</v>
      </c>
      <c r="G26" s="3">
        <v>161</v>
      </c>
      <c r="H26" s="3">
        <v>63</v>
      </c>
      <c r="I26" s="3">
        <v>0</v>
      </c>
      <c r="J26" s="3">
        <v>204</v>
      </c>
      <c r="K26" s="3">
        <v>149</v>
      </c>
      <c r="L26" s="3">
        <v>137</v>
      </c>
      <c r="M26" s="3">
        <v>131</v>
      </c>
      <c r="N26" s="3">
        <v>127</v>
      </c>
      <c r="O26" s="3">
        <v>46</v>
      </c>
      <c r="P26" s="3">
        <v>0</v>
      </c>
      <c r="Q26" s="3">
        <v>195</v>
      </c>
      <c r="R26" s="3">
        <v>145</v>
      </c>
      <c r="S26" s="3">
        <v>139</v>
      </c>
      <c r="T26" s="3">
        <v>127</v>
      </c>
      <c r="U26" s="3">
        <v>130</v>
      </c>
      <c r="V26" s="3">
        <v>45</v>
      </c>
      <c r="W26" s="3">
        <v>0</v>
      </c>
      <c r="X26" s="3">
        <v>203</v>
      </c>
      <c r="Y26" s="3">
        <v>150</v>
      </c>
      <c r="Z26" s="3">
        <v>147</v>
      </c>
      <c r="AA26" s="3">
        <v>136</v>
      </c>
      <c r="AB26" s="3">
        <v>139</v>
      </c>
      <c r="AC26" s="3">
        <v>50</v>
      </c>
      <c r="AD26" s="3">
        <v>0</v>
      </c>
      <c r="AE26" s="3">
        <v>210</v>
      </c>
      <c r="AF26" s="3">
        <v>163</v>
      </c>
    </row>
    <row r="27" spans="1:32" x14ac:dyDescent="0.25">
      <c r="A27" s="16">
        <v>0.5</v>
      </c>
      <c r="B27" s="3">
        <v>0</v>
      </c>
      <c r="C27" s="3">
        <v>244</v>
      </c>
      <c r="D27" s="3">
        <v>201</v>
      </c>
      <c r="E27" s="3">
        <v>169</v>
      </c>
      <c r="F27" s="3">
        <v>165</v>
      </c>
      <c r="G27" s="3">
        <v>158</v>
      </c>
      <c r="H27" s="3">
        <v>74</v>
      </c>
      <c r="I27" s="3">
        <v>0</v>
      </c>
      <c r="J27" s="3">
        <v>214</v>
      </c>
      <c r="K27" s="3">
        <v>158</v>
      </c>
      <c r="L27" s="3">
        <v>146</v>
      </c>
      <c r="M27" s="3">
        <v>139</v>
      </c>
      <c r="N27" s="3">
        <v>139</v>
      </c>
      <c r="O27" s="3">
        <v>55</v>
      </c>
      <c r="P27" s="3">
        <v>0</v>
      </c>
      <c r="Q27" s="3">
        <v>205</v>
      </c>
      <c r="R27" s="3">
        <v>153</v>
      </c>
      <c r="S27" s="3">
        <v>148</v>
      </c>
      <c r="T27" s="3">
        <v>135</v>
      </c>
      <c r="U27" s="3">
        <v>142</v>
      </c>
      <c r="V27" s="3">
        <v>55</v>
      </c>
      <c r="W27" s="3">
        <v>0</v>
      </c>
      <c r="X27" s="3">
        <v>212</v>
      </c>
      <c r="Y27" s="3">
        <v>158</v>
      </c>
      <c r="Z27" s="3">
        <v>156</v>
      </c>
      <c r="AA27" s="3">
        <v>144</v>
      </c>
      <c r="AB27" s="3">
        <v>152</v>
      </c>
      <c r="AC27" s="3">
        <v>61</v>
      </c>
      <c r="AD27" s="3">
        <v>0</v>
      </c>
      <c r="AE27" s="3">
        <v>220</v>
      </c>
      <c r="AF27" s="3">
        <v>172</v>
      </c>
    </row>
    <row r="28" spans="1:32" x14ac:dyDescent="0.25">
      <c r="A28" s="16">
        <v>0.52083333333333337</v>
      </c>
      <c r="B28" s="3">
        <v>0</v>
      </c>
      <c r="C28" s="3">
        <v>267</v>
      </c>
      <c r="D28" s="3">
        <v>215</v>
      </c>
      <c r="E28" s="3">
        <v>176</v>
      </c>
      <c r="F28" s="3">
        <v>175</v>
      </c>
      <c r="G28" s="3">
        <v>168</v>
      </c>
      <c r="H28" s="3">
        <v>79</v>
      </c>
      <c r="I28" s="3">
        <v>0</v>
      </c>
      <c r="J28" s="3">
        <v>222</v>
      </c>
      <c r="K28" s="3">
        <v>162</v>
      </c>
      <c r="L28" s="3">
        <v>150</v>
      </c>
      <c r="M28" s="3">
        <v>145</v>
      </c>
      <c r="N28" s="3">
        <v>145</v>
      </c>
      <c r="O28" s="3">
        <v>65</v>
      </c>
      <c r="P28" s="3">
        <v>0</v>
      </c>
      <c r="Q28" s="3">
        <v>213</v>
      </c>
      <c r="R28" s="3">
        <v>157</v>
      </c>
      <c r="S28" s="3">
        <v>152</v>
      </c>
      <c r="T28" s="3">
        <v>141</v>
      </c>
      <c r="U28" s="3">
        <v>148</v>
      </c>
      <c r="V28" s="3">
        <v>65</v>
      </c>
      <c r="W28" s="3">
        <v>0</v>
      </c>
      <c r="X28" s="3">
        <v>221</v>
      </c>
      <c r="Y28" s="3">
        <v>163</v>
      </c>
      <c r="Z28" s="3">
        <v>160</v>
      </c>
      <c r="AA28" s="3">
        <v>150</v>
      </c>
      <c r="AB28" s="3">
        <v>158</v>
      </c>
      <c r="AC28" s="3">
        <v>72</v>
      </c>
      <c r="AD28" s="3">
        <v>0</v>
      </c>
      <c r="AE28" s="3">
        <v>229</v>
      </c>
      <c r="AF28" s="3">
        <v>177</v>
      </c>
    </row>
    <row r="29" spans="1:32" x14ac:dyDescent="0.25">
      <c r="A29" s="16">
        <v>0.54166666666666663</v>
      </c>
      <c r="B29" s="3">
        <v>0</v>
      </c>
      <c r="C29" s="3">
        <v>258</v>
      </c>
      <c r="D29" s="3">
        <v>205</v>
      </c>
      <c r="E29" s="3">
        <v>172</v>
      </c>
      <c r="F29" s="3">
        <v>177</v>
      </c>
      <c r="G29" s="3">
        <v>167</v>
      </c>
      <c r="H29" s="3">
        <v>79</v>
      </c>
      <c r="I29" s="3">
        <v>0</v>
      </c>
      <c r="J29" s="3">
        <v>226</v>
      </c>
      <c r="K29" s="3">
        <v>167</v>
      </c>
      <c r="L29" s="3">
        <v>152</v>
      </c>
      <c r="M29" s="3">
        <v>149</v>
      </c>
      <c r="N29" s="3">
        <v>149</v>
      </c>
      <c r="O29" s="3">
        <v>69</v>
      </c>
      <c r="P29" s="3">
        <v>0</v>
      </c>
      <c r="Q29" s="3">
        <v>216</v>
      </c>
      <c r="R29" s="3">
        <v>162</v>
      </c>
      <c r="S29" s="3">
        <v>154</v>
      </c>
      <c r="T29" s="3">
        <v>144</v>
      </c>
      <c r="U29" s="3">
        <v>152</v>
      </c>
      <c r="V29" s="3">
        <v>69</v>
      </c>
      <c r="W29" s="3">
        <v>0</v>
      </c>
      <c r="X29" s="3">
        <v>225</v>
      </c>
      <c r="Y29" s="3">
        <v>167</v>
      </c>
      <c r="Z29" s="3">
        <v>162</v>
      </c>
      <c r="AA29" s="3">
        <v>154</v>
      </c>
      <c r="AB29" s="3">
        <v>162</v>
      </c>
      <c r="AC29" s="3">
        <v>76</v>
      </c>
      <c r="AD29" s="3">
        <v>0</v>
      </c>
      <c r="AE29" s="3">
        <v>233</v>
      </c>
      <c r="AF29" s="3">
        <v>182</v>
      </c>
    </row>
    <row r="30" spans="1:32" x14ac:dyDescent="0.25">
      <c r="A30" s="16">
        <v>0.5625</v>
      </c>
      <c r="B30" s="3">
        <v>0</v>
      </c>
      <c r="C30" s="3">
        <v>261</v>
      </c>
      <c r="D30" s="3">
        <v>203</v>
      </c>
      <c r="E30" s="3">
        <v>173</v>
      </c>
      <c r="F30" s="3">
        <v>168</v>
      </c>
      <c r="G30" s="3">
        <v>163</v>
      </c>
      <c r="H30" s="3">
        <v>77</v>
      </c>
      <c r="I30" s="3">
        <v>0</v>
      </c>
      <c r="J30" s="3">
        <v>228</v>
      </c>
      <c r="K30" s="3">
        <v>172</v>
      </c>
      <c r="L30" s="3">
        <v>157</v>
      </c>
      <c r="M30" s="3">
        <v>156</v>
      </c>
      <c r="N30" s="3">
        <v>153</v>
      </c>
      <c r="O30" s="3">
        <v>68</v>
      </c>
      <c r="P30" s="3">
        <v>0</v>
      </c>
      <c r="Q30" s="3">
        <v>219</v>
      </c>
      <c r="R30" s="3">
        <v>166</v>
      </c>
      <c r="S30" s="3">
        <v>159</v>
      </c>
      <c r="T30" s="3">
        <v>151</v>
      </c>
      <c r="U30" s="3">
        <v>156</v>
      </c>
      <c r="V30" s="3">
        <v>67</v>
      </c>
      <c r="W30" s="3">
        <v>0</v>
      </c>
      <c r="X30" s="3">
        <v>228</v>
      </c>
      <c r="Y30" s="3">
        <v>172</v>
      </c>
      <c r="Z30" s="3">
        <v>167</v>
      </c>
      <c r="AA30" s="3">
        <v>161</v>
      </c>
      <c r="AB30" s="3">
        <v>167</v>
      </c>
      <c r="AC30" s="3">
        <v>75</v>
      </c>
      <c r="AD30" s="3">
        <v>0</v>
      </c>
      <c r="AE30" s="3">
        <v>236</v>
      </c>
      <c r="AF30" s="3">
        <v>187</v>
      </c>
    </row>
    <row r="31" spans="1:32" x14ac:dyDescent="0.25">
      <c r="A31" s="16">
        <v>0.58333333333333337</v>
      </c>
      <c r="B31" s="3">
        <v>0</v>
      </c>
      <c r="C31" s="3">
        <v>256</v>
      </c>
      <c r="D31" s="3">
        <v>201</v>
      </c>
      <c r="E31" s="3">
        <v>175</v>
      </c>
      <c r="F31" s="3">
        <v>172</v>
      </c>
      <c r="G31" s="3">
        <v>166</v>
      </c>
      <c r="H31" s="3">
        <v>75</v>
      </c>
      <c r="I31" s="3">
        <v>0</v>
      </c>
      <c r="J31" s="3">
        <v>226</v>
      </c>
      <c r="K31" s="3">
        <v>174</v>
      </c>
      <c r="L31" s="3">
        <v>157</v>
      </c>
      <c r="M31" s="3">
        <v>161</v>
      </c>
      <c r="N31" s="3">
        <v>156</v>
      </c>
      <c r="O31" s="3">
        <v>66</v>
      </c>
      <c r="P31" s="3">
        <v>0</v>
      </c>
      <c r="Q31" s="3">
        <v>216</v>
      </c>
      <c r="R31" s="3">
        <v>169</v>
      </c>
      <c r="S31" s="3">
        <v>159</v>
      </c>
      <c r="T31" s="3">
        <v>155</v>
      </c>
      <c r="U31" s="3">
        <v>159</v>
      </c>
      <c r="V31" s="3">
        <v>66</v>
      </c>
      <c r="W31" s="3">
        <v>0</v>
      </c>
      <c r="X31" s="3">
        <v>225</v>
      </c>
      <c r="Y31" s="3">
        <v>175</v>
      </c>
      <c r="Z31" s="3">
        <v>168</v>
      </c>
      <c r="AA31" s="3">
        <v>166</v>
      </c>
      <c r="AB31" s="3">
        <v>170</v>
      </c>
      <c r="AC31" s="3">
        <v>73</v>
      </c>
      <c r="AD31" s="3">
        <v>0</v>
      </c>
      <c r="AE31" s="3">
        <v>233</v>
      </c>
      <c r="AF31" s="3">
        <v>190</v>
      </c>
    </row>
    <row r="32" spans="1:32" x14ac:dyDescent="0.25">
      <c r="A32" s="16">
        <v>0.60416666666666663</v>
      </c>
      <c r="B32" s="3">
        <v>0</v>
      </c>
      <c r="C32" s="3">
        <v>262</v>
      </c>
      <c r="D32" s="3">
        <v>201</v>
      </c>
      <c r="E32" s="3">
        <v>175</v>
      </c>
      <c r="F32" s="3">
        <v>164</v>
      </c>
      <c r="G32" s="3">
        <v>166</v>
      </c>
      <c r="H32" s="3">
        <v>71</v>
      </c>
      <c r="I32" s="3">
        <v>0</v>
      </c>
      <c r="J32" s="3">
        <v>227</v>
      </c>
      <c r="K32" s="3">
        <v>174</v>
      </c>
      <c r="L32" s="3">
        <v>162</v>
      </c>
      <c r="M32" s="3">
        <v>161</v>
      </c>
      <c r="N32" s="3">
        <v>156</v>
      </c>
      <c r="O32" s="3">
        <v>66</v>
      </c>
      <c r="P32" s="3">
        <v>0</v>
      </c>
      <c r="Q32" s="3">
        <v>218</v>
      </c>
      <c r="R32" s="3">
        <v>169</v>
      </c>
      <c r="S32" s="3">
        <v>164</v>
      </c>
      <c r="T32" s="3">
        <v>156</v>
      </c>
      <c r="U32" s="3">
        <v>160</v>
      </c>
      <c r="V32" s="3">
        <v>66</v>
      </c>
      <c r="W32" s="3">
        <v>0</v>
      </c>
      <c r="X32" s="3">
        <v>226</v>
      </c>
      <c r="Y32" s="3">
        <v>175</v>
      </c>
      <c r="Z32" s="3">
        <v>173</v>
      </c>
      <c r="AA32" s="3">
        <v>167</v>
      </c>
      <c r="AB32" s="3">
        <v>171</v>
      </c>
      <c r="AC32" s="3">
        <v>73</v>
      </c>
      <c r="AD32" s="3">
        <v>0</v>
      </c>
      <c r="AE32" s="3">
        <v>234</v>
      </c>
      <c r="AF32" s="3">
        <v>190</v>
      </c>
    </row>
    <row r="33" spans="1:32" x14ac:dyDescent="0.25">
      <c r="A33" s="16">
        <v>0.625</v>
      </c>
      <c r="B33" s="3">
        <v>0</v>
      </c>
      <c r="C33" s="3">
        <v>257</v>
      </c>
      <c r="D33" s="3">
        <v>199</v>
      </c>
      <c r="E33" s="3">
        <v>172</v>
      </c>
      <c r="F33" s="3">
        <v>161</v>
      </c>
      <c r="G33" s="3">
        <v>167</v>
      </c>
      <c r="H33" s="3">
        <v>70</v>
      </c>
      <c r="I33" s="3">
        <v>0</v>
      </c>
      <c r="J33" s="3">
        <v>218</v>
      </c>
      <c r="K33" s="3">
        <v>172</v>
      </c>
      <c r="L33" s="3">
        <v>160</v>
      </c>
      <c r="M33" s="3">
        <v>154</v>
      </c>
      <c r="N33" s="3">
        <v>153</v>
      </c>
      <c r="O33" s="3">
        <v>67</v>
      </c>
      <c r="P33" s="3">
        <v>0</v>
      </c>
      <c r="Q33" s="3">
        <v>210</v>
      </c>
      <c r="R33" s="3">
        <v>166</v>
      </c>
      <c r="S33" s="3">
        <v>161</v>
      </c>
      <c r="T33" s="3">
        <v>149</v>
      </c>
      <c r="U33" s="3">
        <v>157</v>
      </c>
      <c r="V33" s="3">
        <v>67</v>
      </c>
      <c r="W33" s="3">
        <v>0</v>
      </c>
      <c r="X33" s="3">
        <v>217</v>
      </c>
      <c r="Y33" s="3">
        <v>172</v>
      </c>
      <c r="Z33" s="3">
        <v>170</v>
      </c>
      <c r="AA33" s="3">
        <v>159</v>
      </c>
      <c r="AB33" s="3">
        <v>167</v>
      </c>
      <c r="AC33" s="3">
        <v>74</v>
      </c>
      <c r="AD33" s="3">
        <v>0</v>
      </c>
      <c r="AE33" s="3">
        <v>225</v>
      </c>
      <c r="AF33" s="3">
        <v>187</v>
      </c>
    </row>
    <row r="34" spans="1:32" x14ac:dyDescent="0.25">
      <c r="A34" s="16">
        <v>0.64583333333333337</v>
      </c>
      <c r="B34" s="3">
        <v>0</v>
      </c>
      <c r="C34" s="3">
        <v>245</v>
      </c>
      <c r="D34" s="3">
        <v>193</v>
      </c>
      <c r="E34" s="3">
        <v>167</v>
      </c>
      <c r="F34" s="3">
        <v>156</v>
      </c>
      <c r="G34" s="3">
        <v>164</v>
      </c>
      <c r="H34" s="3">
        <v>69</v>
      </c>
      <c r="I34" s="3">
        <v>0</v>
      </c>
      <c r="J34" s="3">
        <v>210</v>
      </c>
      <c r="K34" s="3">
        <v>171</v>
      </c>
      <c r="L34" s="3">
        <v>155</v>
      </c>
      <c r="M34" s="3">
        <v>151</v>
      </c>
      <c r="N34" s="3">
        <v>148</v>
      </c>
      <c r="O34" s="3">
        <v>65</v>
      </c>
      <c r="P34" s="3">
        <v>0</v>
      </c>
      <c r="Q34" s="3">
        <v>201</v>
      </c>
      <c r="R34" s="3">
        <v>165</v>
      </c>
      <c r="S34" s="3">
        <v>156</v>
      </c>
      <c r="T34" s="3">
        <v>146</v>
      </c>
      <c r="U34" s="3">
        <v>151</v>
      </c>
      <c r="V34" s="3">
        <v>65</v>
      </c>
      <c r="W34" s="3">
        <v>0</v>
      </c>
      <c r="X34" s="3">
        <v>209</v>
      </c>
      <c r="Y34" s="3">
        <v>171</v>
      </c>
      <c r="Z34" s="3">
        <v>165</v>
      </c>
      <c r="AA34" s="3">
        <v>156</v>
      </c>
      <c r="AB34" s="3">
        <v>161</v>
      </c>
      <c r="AC34" s="3">
        <v>72</v>
      </c>
      <c r="AD34" s="3">
        <v>0</v>
      </c>
      <c r="AE34" s="3">
        <v>216</v>
      </c>
      <c r="AF34" s="3">
        <v>186</v>
      </c>
    </row>
    <row r="35" spans="1:32" x14ac:dyDescent="0.25">
      <c r="A35" s="16">
        <v>0.66666666666666663</v>
      </c>
      <c r="B35" s="3">
        <v>0</v>
      </c>
      <c r="C35" s="3">
        <v>240</v>
      </c>
      <c r="D35" s="3">
        <v>189</v>
      </c>
      <c r="E35" s="3">
        <v>168</v>
      </c>
      <c r="F35" s="3">
        <v>165</v>
      </c>
      <c r="G35" s="3">
        <v>166</v>
      </c>
      <c r="H35" s="3">
        <v>67</v>
      </c>
      <c r="I35" s="3">
        <v>0</v>
      </c>
      <c r="J35" s="3">
        <v>206</v>
      </c>
      <c r="K35" s="3">
        <v>167</v>
      </c>
      <c r="L35" s="3">
        <v>148</v>
      </c>
      <c r="M35" s="3">
        <v>147</v>
      </c>
      <c r="N35" s="3">
        <v>143</v>
      </c>
      <c r="O35" s="3">
        <v>62</v>
      </c>
      <c r="P35" s="3">
        <v>0</v>
      </c>
      <c r="Q35" s="3">
        <v>198</v>
      </c>
      <c r="R35" s="3">
        <v>162</v>
      </c>
      <c r="S35" s="3">
        <v>149</v>
      </c>
      <c r="T35" s="3">
        <v>143</v>
      </c>
      <c r="U35" s="3">
        <v>146</v>
      </c>
      <c r="V35" s="3">
        <v>62</v>
      </c>
      <c r="W35" s="3">
        <v>0</v>
      </c>
      <c r="X35" s="3">
        <v>205</v>
      </c>
      <c r="Y35" s="3">
        <v>168</v>
      </c>
      <c r="Z35" s="3">
        <v>158</v>
      </c>
      <c r="AA35" s="3">
        <v>152</v>
      </c>
      <c r="AB35" s="3">
        <v>155</v>
      </c>
      <c r="AC35" s="3">
        <v>68</v>
      </c>
      <c r="AD35" s="3">
        <v>0</v>
      </c>
      <c r="AE35" s="3">
        <v>213</v>
      </c>
      <c r="AF35" s="3">
        <v>182</v>
      </c>
    </row>
    <row r="36" spans="1:32" x14ac:dyDescent="0.25">
      <c r="A36" s="16">
        <v>0.6875</v>
      </c>
      <c r="B36" s="3">
        <v>0</v>
      </c>
      <c r="C36" s="3">
        <v>244</v>
      </c>
      <c r="D36" s="3">
        <v>195</v>
      </c>
      <c r="E36" s="3">
        <v>171</v>
      </c>
      <c r="F36" s="3">
        <v>163</v>
      </c>
      <c r="G36" s="3">
        <v>165</v>
      </c>
      <c r="H36" s="3">
        <v>64</v>
      </c>
      <c r="I36" s="3">
        <v>0</v>
      </c>
      <c r="J36" s="3">
        <v>201</v>
      </c>
      <c r="K36" s="3">
        <v>164</v>
      </c>
      <c r="L36" s="3">
        <v>148</v>
      </c>
      <c r="M36" s="3">
        <v>145</v>
      </c>
      <c r="N36" s="3">
        <v>137</v>
      </c>
      <c r="O36" s="3">
        <v>60</v>
      </c>
      <c r="P36" s="3">
        <v>0</v>
      </c>
      <c r="Q36" s="3">
        <v>193</v>
      </c>
      <c r="R36" s="3">
        <v>159</v>
      </c>
      <c r="S36" s="3">
        <v>150</v>
      </c>
      <c r="T36" s="3">
        <v>140</v>
      </c>
      <c r="U36" s="3">
        <v>140</v>
      </c>
      <c r="V36" s="3">
        <v>59</v>
      </c>
      <c r="W36" s="3">
        <v>0</v>
      </c>
      <c r="X36" s="3">
        <v>200</v>
      </c>
      <c r="Y36" s="3">
        <v>164</v>
      </c>
      <c r="Z36" s="3">
        <v>158</v>
      </c>
      <c r="AA36" s="3">
        <v>149</v>
      </c>
      <c r="AB36" s="3">
        <v>149</v>
      </c>
      <c r="AC36" s="3">
        <v>66</v>
      </c>
      <c r="AD36" s="3">
        <v>0</v>
      </c>
      <c r="AE36" s="3">
        <v>208</v>
      </c>
      <c r="AF36" s="3">
        <v>178</v>
      </c>
    </row>
    <row r="37" spans="1:32" x14ac:dyDescent="0.25">
      <c r="A37" s="16">
        <v>0.70833333333333337</v>
      </c>
      <c r="B37" s="3">
        <v>0</v>
      </c>
      <c r="C37" s="3">
        <v>228</v>
      </c>
      <c r="D37" s="3">
        <v>183</v>
      </c>
      <c r="E37" s="3">
        <v>164</v>
      </c>
      <c r="F37" s="3">
        <v>161</v>
      </c>
      <c r="G37" s="3">
        <v>157</v>
      </c>
      <c r="H37" s="3">
        <v>62</v>
      </c>
      <c r="I37" s="3">
        <v>0</v>
      </c>
      <c r="J37" s="3">
        <v>192</v>
      </c>
      <c r="K37" s="3">
        <v>161</v>
      </c>
      <c r="L37" s="3">
        <v>146</v>
      </c>
      <c r="M37" s="3">
        <v>140</v>
      </c>
      <c r="N37" s="3">
        <v>137</v>
      </c>
      <c r="O37" s="3">
        <v>56</v>
      </c>
      <c r="P37" s="3">
        <v>0</v>
      </c>
      <c r="Q37" s="3">
        <v>185</v>
      </c>
      <c r="R37" s="3">
        <v>155</v>
      </c>
      <c r="S37" s="3">
        <v>148</v>
      </c>
      <c r="T37" s="3">
        <v>135</v>
      </c>
      <c r="U37" s="3">
        <v>141</v>
      </c>
      <c r="V37" s="3">
        <v>56</v>
      </c>
      <c r="W37" s="3">
        <v>0</v>
      </c>
      <c r="X37" s="3">
        <v>192</v>
      </c>
      <c r="Y37" s="3">
        <v>161</v>
      </c>
      <c r="Z37" s="3">
        <v>155</v>
      </c>
      <c r="AA37" s="3">
        <v>144</v>
      </c>
      <c r="AB37" s="3">
        <v>150</v>
      </c>
      <c r="AC37" s="3">
        <v>62</v>
      </c>
      <c r="AD37" s="3">
        <v>0</v>
      </c>
      <c r="AE37" s="3">
        <v>199</v>
      </c>
      <c r="AF37" s="3">
        <v>174</v>
      </c>
    </row>
    <row r="38" spans="1:32" x14ac:dyDescent="0.25">
      <c r="A38" s="16">
        <v>0.72916666666666663</v>
      </c>
      <c r="B38" s="3">
        <v>0</v>
      </c>
      <c r="C38" s="3">
        <v>221</v>
      </c>
      <c r="D38" s="3">
        <v>162</v>
      </c>
      <c r="E38" s="3">
        <v>156</v>
      </c>
      <c r="F38" s="3">
        <v>145</v>
      </c>
      <c r="G38" s="3">
        <v>147</v>
      </c>
      <c r="H38" s="3">
        <v>54</v>
      </c>
      <c r="I38" s="3">
        <v>0</v>
      </c>
      <c r="J38" s="3">
        <v>183</v>
      </c>
      <c r="K38" s="3">
        <v>155</v>
      </c>
      <c r="L38" s="3">
        <v>137</v>
      </c>
      <c r="M38" s="3">
        <v>132</v>
      </c>
      <c r="N38" s="3">
        <v>131</v>
      </c>
      <c r="O38" s="3">
        <v>53</v>
      </c>
      <c r="P38" s="3">
        <v>0</v>
      </c>
      <c r="Q38" s="3">
        <v>175</v>
      </c>
      <c r="R38" s="3">
        <v>150</v>
      </c>
      <c r="S38" s="3">
        <v>139</v>
      </c>
      <c r="T38" s="3">
        <v>128</v>
      </c>
      <c r="U38" s="3">
        <v>134</v>
      </c>
      <c r="V38" s="3">
        <v>53</v>
      </c>
      <c r="W38" s="3">
        <v>0</v>
      </c>
      <c r="X38" s="3">
        <v>182</v>
      </c>
      <c r="Y38" s="3">
        <v>155</v>
      </c>
      <c r="Z38" s="3">
        <v>147</v>
      </c>
      <c r="AA38" s="3">
        <v>136</v>
      </c>
      <c r="AB38" s="3">
        <v>143</v>
      </c>
      <c r="AC38" s="3">
        <v>58</v>
      </c>
      <c r="AD38" s="3">
        <v>0</v>
      </c>
      <c r="AE38" s="3">
        <v>188</v>
      </c>
      <c r="AF38" s="3">
        <v>168</v>
      </c>
    </row>
    <row r="39" spans="1:32" x14ac:dyDescent="0.25">
      <c r="A39" s="16">
        <v>0.75</v>
      </c>
      <c r="B39" s="3">
        <v>0</v>
      </c>
      <c r="C39" s="3">
        <v>182</v>
      </c>
      <c r="D39" s="3">
        <v>149</v>
      </c>
      <c r="E39" s="3">
        <v>138</v>
      </c>
      <c r="F39" s="3">
        <v>129</v>
      </c>
      <c r="G39" s="3">
        <v>132</v>
      </c>
      <c r="H39" s="3">
        <v>48</v>
      </c>
      <c r="I39" s="3">
        <v>0</v>
      </c>
      <c r="J39" s="3">
        <v>168</v>
      </c>
      <c r="K39" s="3">
        <v>143</v>
      </c>
      <c r="L39" s="3">
        <v>126</v>
      </c>
      <c r="M39" s="3">
        <v>122</v>
      </c>
      <c r="N39" s="3">
        <v>118</v>
      </c>
      <c r="O39" s="3">
        <v>48</v>
      </c>
      <c r="P39" s="3">
        <v>0</v>
      </c>
      <c r="Q39" s="3">
        <v>161</v>
      </c>
      <c r="R39" s="3">
        <v>138</v>
      </c>
      <c r="S39" s="3">
        <v>128</v>
      </c>
      <c r="T39" s="3">
        <v>119</v>
      </c>
      <c r="U39" s="3">
        <v>120</v>
      </c>
      <c r="V39" s="3">
        <v>48</v>
      </c>
      <c r="W39" s="3">
        <v>0</v>
      </c>
      <c r="X39" s="3">
        <v>167</v>
      </c>
      <c r="Y39" s="3">
        <v>143</v>
      </c>
      <c r="Z39" s="3">
        <v>135</v>
      </c>
      <c r="AA39" s="3">
        <v>126</v>
      </c>
      <c r="AB39" s="3">
        <v>129</v>
      </c>
      <c r="AC39" s="3">
        <v>53</v>
      </c>
      <c r="AD39" s="3">
        <v>0</v>
      </c>
      <c r="AE39" s="3">
        <v>173</v>
      </c>
      <c r="AF39" s="3">
        <v>155</v>
      </c>
    </row>
    <row r="40" spans="1:32" x14ac:dyDescent="0.25">
      <c r="A40" s="16">
        <v>0.77083333333333337</v>
      </c>
      <c r="B40" s="3">
        <v>0</v>
      </c>
      <c r="C40" s="3">
        <v>171</v>
      </c>
      <c r="D40" s="3">
        <v>134</v>
      </c>
      <c r="E40" s="3">
        <v>119</v>
      </c>
      <c r="F40" s="3">
        <v>113</v>
      </c>
      <c r="G40" s="3">
        <v>110</v>
      </c>
      <c r="H40" s="3">
        <v>41</v>
      </c>
      <c r="I40" s="3">
        <v>0</v>
      </c>
      <c r="J40" s="3">
        <v>151</v>
      </c>
      <c r="K40" s="3">
        <v>127</v>
      </c>
      <c r="L40" s="3">
        <v>114</v>
      </c>
      <c r="M40" s="3">
        <v>106</v>
      </c>
      <c r="N40" s="3">
        <v>104</v>
      </c>
      <c r="O40" s="3">
        <v>41</v>
      </c>
      <c r="P40" s="3">
        <v>0</v>
      </c>
      <c r="Q40" s="3">
        <v>144</v>
      </c>
      <c r="R40" s="3">
        <v>123</v>
      </c>
      <c r="S40" s="3">
        <v>115</v>
      </c>
      <c r="T40" s="3">
        <v>103</v>
      </c>
      <c r="U40" s="3">
        <v>106</v>
      </c>
      <c r="V40" s="3">
        <v>41</v>
      </c>
      <c r="W40" s="3">
        <v>0</v>
      </c>
      <c r="X40" s="3">
        <v>150</v>
      </c>
      <c r="Y40" s="3">
        <v>127</v>
      </c>
      <c r="Z40" s="3">
        <v>121</v>
      </c>
      <c r="AA40" s="3">
        <v>110</v>
      </c>
      <c r="AB40" s="3">
        <v>113</v>
      </c>
      <c r="AC40" s="3">
        <v>46</v>
      </c>
      <c r="AD40" s="3">
        <v>0</v>
      </c>
      <c r="AE40" s="3">
        <v>155</v>
      </c>
      <c r="AF40" s="3">
        <v>138</v>
      </c>
    </row>
    <row r="41" spans="1:32" x14ac:dyDescent="0.25">
      <c r="A41" s="16">
        <v>0.79166666666666663</v>
      </c>
      <c r="B41" s="3">
        <v>0</v>
      </c>
      <c r="C41" s="3">
        <v>144</v>
      </c>
      <c r="D41" s="3">
        <v>112</v>
      </c>
      <c r="E41" s="3">
        <v>99</v>
      </c>
      <c r="F41" s="3">
        <v>96</v>
      </c>
      <c r="G41" s="3">
        <v>93</v>
      </c>
      <c r="H41" s="3">
        <v>34</v>
      </c>
      <c r="I41" s="3">
        <v>0</v>
      </c>
      <c r="J41" s="3">
        <v>131</v>
      </c>
      <c r="K41" s="3">
        <v>115</v>
      </c>
      <c r="L41" s="3">
        <v>102</v>
      </c>
      <c r="M41" s="3">
        <v>94</v>
      </c>
      <c r="N41" s="3">
        <v>93</v>
      </c>
      <c r="O41" s="3">
        <v>35</v>
      </c>
      <c r="P41" s="3">
        <v>0</v>
      </c>
      <c r="Q41" s="3">
        <v>126</v>
      </c>
      <c r="R41" s="3">
        <v>111</v>
      </c>
      <c r="S41" s="3">
        <v>103</v>
      </c>
      <c r="T41" s="3">
        <v>91</v>
      </c>
      <c r="U41" s="3">
        <v>95</v>
      </c>
      <c r="V41" s="3">
        <v>35</v>
      </c>
      <c r="W41" s="3">
        <v>0</v>
      </c>
      <c r="X41" s="3">
        <v>131</v>
      </c>
      <c r="Y41" s="3">
        <v>115</v>
      </c>
      <c r="Z41" s="3">
        <v>109</v>
      </c>
      <c r="AA41" s="3">
        <v>97</v>
      </c>
      <c r="AB41" s="3">
        <v>101</v>
      </c>
      <c r="AC41" s="3">
        <v>39</v>
      </c>
      <c r="AD41" s="3">
        <v>0</v>
      </c>
      <c r="AE41" s="3">
        <v>136</v>
      </c>
      <c r="AF41" s="3">
        <v>125</v>
      </c>
    </row>
    <row r="42" spans="1:32" x14ac:dyDescent="0.25">
      <c r="A42" s="16">
        <v>0.8125</v>
      </c>
      <c r="B42" s="3">
        <v>0</v>
      </c>
      <c r="C42" s="3">
        <v>115</v>
      </c>
      <c r="D42" s="3">
        <v>94</v>
      </c>
      <c r="E42" s="3">
        <v>82</v>
      </c>
      <c r="F42" s="3">
        <v>77</v>
      </c>
      <c r="G42" s="3">
        <v>73</v>
      </c>
      <c r="H42" s="3">
        <v>28</v>
      </c>
      <c r="I42" s="3">
        <v>0</v>
      </c>
      <c r="J42" s="3">
        <v>114</v>
      </c>
      <c r="K42" s="3">
        <v>104</v>
      </c>
      <c r="L42" s="3">
        <v>92</v>
      </c>
      <c r="M42" s="3">
        <v>82</v>
      </c>
      <c r="N42" s="3">
        <v>79</v>
      </c>
      <c r="O42" s="3">
        <v>29</v>
      </c>
      <c r="P42" s="3">
        <v>0</v>
      </c>
      <c r="Q42" s="3">
        <v>109</v>
      </c>
      <c r="R42" s="3">
        <v>101</v>
      </c>
      <c r="S42" s="3">
        <v>93</v>
      </c>
      <c r="T42" s="3">
        <v>80</v>
      </c>
      <c r="U42" s="3">
        <v>81</v>
      </c>
      <c r="V42" s="3">
        <v>29</v>
      </c>
      <c r="W42" s="3">
        <v>0</v>
      </c>
      <c r="X42" s="3">
        <v>113</v>
      </c>
      <c r="Y42" s="3">
        <v>105</v>
      </c>
      <c r="Z42" s="3">
        <v>98</v>
      </c>
      <c r="AA42" s="3">
        <v>85</v>
      </c>
      <c r="AB42" s="3">
        <v>86</v>
      </c>
      <c r="AC42" s="3">
        <v>32</v>
      </c>
      <c r="AD42" s="3">
        <v>0</v>
      </c>
      <c r="AE42" s="3">
        <v>118</v>
      </c>
      <c r="AF42" s="3">
        <v>113</v>
      </c>
    </row>
    <row r="43" spans="1:32" x14ac:dyDescent="0.25">
      <c r="A43" s="16">
        <v>0.83333333333333337</v>
      </c>
      <c r="B43" s="3">
        <v>0</v>
      </c>
      <c r="C43" s="3">
        <v>83</v>
      </c>
      <c r="D43" s="3">
        <v>72</v>
      </c>
      <c r="E43" s="3">
        <v>63</v>
      </c>
      <c r="F43" s="3">
        <v>61</v>
      </c>
      <c r="G43" s="3">
        <v>60</v>
      </c>
      <c r="H43" s="3">
        <v>23</v>
      </c>
      <c r="I43" s="3">
        <v>0</v>
      </c>
      <c r="J43" s="3">
        <v>92</v>
      </c>
      <c r="K43" s="3">
        <v>87</v>
      </c>
      <c r="L43" s="3">
        <v>75</v>
      </c>
      <c r="M43" s="3">
        <v>67</v>
      </c>
      <c r="N43" s="3">
        <v>61</v>
      </c>
      <c r="O43" s="3">
        <v>25</v>
      </c>
      <c r="P43" s="3">
        <v>0</v>
      </c>
      <c r="Q43" s="3">
        <v>88</v>
      </c>
      <c r="R43" s="3">
        <v>84</v>
      </c>
      <c r="S43" s="3">
        <v>76</v>
      </c>
      <c r="T43" s="3">
        <v>65</v>
      </c>
      <c r="U43" s="3">
        <v>63</v>
      </c>
      <c r="V43" s="3">
        <v>25</v>
      </c>
      <c r="W43" s="3">
        <v>0</v>
      </c>
      <c r="X43" s="3">
        <v>92</v>
      </c>
      <c r="Y43" s="3">
        <v>87</v>
      </c>
      <c r="Z43" s="3">
        <v>80</v>
      </c>
      <c r="AA43" s="3">
        <v>69</v>
      </c>
      <c r="AB43" s="3">
        <v>67</v>
      </c>
      <c r="AC43" s="3">
        <v>28</v>
      </c>
      <c r="AD43" s="3">
        <v>0</v>
      </c>
      <c r="AE43" s="3">
        <v>95</v>
      </c>
      <c r="AF43" s="3">
        <v>94</v>
      </c>
    </row>
    <row r="44" spans="1:32" x14ac:dyDescent="0.25">
      <c r="A44" s="16">
        <v>0.85416666666666663</v>
      </c>
      <c r="B44" s="3">
        <v>0</v>
      </c>
      <c r="C44" s="3">
        <v>59</v>
      </c>
      <c r="D44" s="3">
        <v>50</v>
      </c>
      <c r="E44" s="3">
        <v>46</v>
      </c>
      <c r="F44" s="3">
        <v>43</v>
      </c>
      <c r="G44" s="3">
        <v>43</v>
      </c>
      <c r="H44" s="3">
        <v>19</v>
      </c>
      <c r="I44" s="3">
        <v>0</v>
      </c>
      <c r="J44" s="3">
        <v>72</v>
      </c>
      <c r="K44" s="3">
        <v>64</v>
      </c>
      <c r="L44" s="3">
        <v>57</v>
      </c>
      <c r="M44" s="3">
        <v>53</v>
      </c>
      <c r="N44" s="3">
        <v>45</v>
      </c>
      <c r="O44" s="3">
        <v>23</v>
      </c>
      <c r="P44" s="3">
        <v>0</v>
      </c>
      <c r="Q44" s="3">
        <v>69</v>
      </c>
      <c r="R44" s="3">
        <v>63</v>
      </c>
      <c r="S44" s="3">
        <v>58</v>
      </c>
      <c r="T44" s="3">
        <v>51</v>
      </c>
      <c r="U44" s="3">
        <v>46</v>
      </c>
      <c r="V44" s="3">
        <v>23</v>
      </c>
      <c r="W44" s="3">
        <v>0</v>
      </c>
      <c r="X44" s="3">
        <v>71</v>
      </c>
      <c r="Y44" s="3">
        <v>65</v>
      </c>
      <c r="Z44" s="3">
        <v>61</v>
      </c>
      <c r="AA44" s="3">
        <v>55</v>
      </c>
      <c r="AB44" s="3">
        <v>50</v>
      </c>
      <c r="AC44" s="3">
        <v>26</v>
      </c>
      <c r="AD44" s="3">
        <v>0</v>
      </c>
      <c r="AE44" s="3">
        <v>74</v>
      </c>
      <c r="AF44" s="3">
        <v>70</v>
      </c>
    </row>
    <row r="45" spans="1:32" x14ac:dyDescent="0.25">
      <c r="A45" s="16">
        <v>0.875</v>
      </c>
      <c r="B45" s="3">
        <v>0</v>
      </c>
      <c r="C45" s="3">
        <v>38</v>
      </c>
      <c r="D45" s="3">
        <v>37</v>
      </c>
      <c r="E45" s="3">
        <v>29</v>
      </c>
      <c r="F45" s="3">
        <v>30</v>
      </c>
      <c r="G45" s="3">
        <v>29</v>
      </c>
      <c r="H45" s="3">
        <v>0</v>
      </c>
      <c r="I45" s="3">
        <v>0</v>
      </c>
      <c r="J45" s="3">
        <v>51</v>
      </c>
      <c r="K45" s="3">
        <v>45</v>
      </c>
      <c r="L45" s="3">
        <v>39</v>
      </c>
      <c r="M45" s="3">
        <v>39</v>
      </c>
      <c r="N45" s="3">
        <v>31</v>
      </c>
      <c r="O45" s="3">
        <v>0</v>
      </c>
      <c r="P45" s="3">
        <v>0</v>
      </c>
      <c r="Q45" s="3">
        <v>49</v>
      </c>
      <c r="R45" s="3">
        <v>43</v>
      </c>
      <c r="S45" s="3">
        <v>40</v>
      </c>
      <c r="T45" s="3">
        <v>37</v>
      </c>
      <c r="U45" s="3">
        <v>32</v>
      </c>
      <c r="V45" s="3">
        <v>0</v>
      </c>
      <c r="W45" s="3">
        <v>0</v>
      </c>
      <c r="X45" s="3">
        <v>51</v>
      </c>
      <c r="Y45" s="3">
        <v>45</v>
      </c>
      <c r="Z45" s="3">
        <v>42</v>
      </c>
      <c r="AA45" s="3">
        <v>40</v>
      </c>
      <c r="AB45" s="3">
        <v>34</v>
      </c>
      <c r="AC45" s="3">
        <v>0</v>
      </c>
      <c r="AD45" s="3">
        <v>0</v>
      </c>
      <c r="AE45" s="3">
        <v>53</v>
      </c>
      <c r="AF45" s="3">
        <v>49</v>
      </c>
    </row>
    <row r="46" spans="1:32" x14ac:dyDescent="0.25">
      <c r="A46" s="16">
        <v>0.89583333333333337</v>
      </c>
      <c r="B46" s="3">
        <v>0</v>
      </c>
      <c r="C46" s="3">
        <v>27</v>
      </c>
      <c r="D46" s="3">
        <v>24</v>
      </c>
      <c r="E46" s="3">
        <v>21</v>
      </c>
      <c r="F46" s="3">
        <v>23</v>
      </c>
      <c r="G46" s="3">
        <v>19</v>
      </c>
      <c r="H46" s="3">
        <v>0</v>
      </c>
      <c r="I46" s="3">
        <v>0</v>
      </c>
      <c r="J46" s="3">
        <v>33</v>
      </c>
      <c r="K46" s="3">
        <v>30</v>
      </c>
      <c r="L46" s="3">
        <v>26</v>
      </c>
      <c r="M46" s="3">
        <v>26</v>
      </c>
      <c r="N46" s="3">
        <v>21</v>
      </c>
      <c r="O46" s="3">
        <v>0</v>
      </c>
      <c r="P46" s="3">
        <v>0</v>
      </c>
      <c r="Q46" s="3">
        <v>32</v>
      </c>
      <c r="R46" s="3">
        <v>29</v>
      </c>
      <c r="S46" s="3">
        <v>27</v>
      </c>
      <c r="T46" s="3">
        <v>25</v>
      </c>
      <c r="U46" s="3">
        <v>21</v>
      </c>
      <c r="V46" s="3">
        <v>0</v>
      </c>
      <c r="W46" s="3">
        <v>0</v>
      </c>
      <c r="X46" s="3">
        <v>33</v>
      </c>
      <c r="Y46" s="3">
        <v>30</v>
      </c>
      <c r="Z46" s="3">
        <v>28</v>
      </c>
      <c r="AA46" s="3">
        <v>27</v>
      </c>
      <c r="AB46" s="3">
        <v>22</v>
      </c>
      <c r="AC46" s="3">
        <v>0</v>
      </c>
      <c r="AD46" s="3">
        <v>0</v>
      </c>
      <c r="AE46" s="3">
        <v>34</v>
      </c>
      <c r="AF46" s="3">
        <v>32</v>
      </c>
    </row>
    <row r="47" spans="1:32" x14ac:dyDescent="0.25">
      <c r="A47" s="16">
        <v>0.91666666666666663</v>
      </c>
      <c r="B47" s="3">
        <v>0</v>
      </c>
      <c r="C47" s="3">
        <v>19</v>
      </c>
      <c r="D47" s="3">
        <v>15</v>
      </c>
      <c r="E47" s="3">
        <v>14</v>
      </c>
      <c r="F47" s="3">
        <v>15</v>
      </c>
      <c r="G47" s="3">
        <v>13</v>
      </c>
      <c r="H47" s="3">
        <v>0</v>
      </c>
      <c r="I47" s="3">
        <v>0</v>
      </c>
      <c r="J47" s="3">
        <v>23</v>
      </c>
      <c r="K47" s="3">
        <v>22</v>
      </c>
      <c r="L47" s="3">
        <v>19</v>
      </c>
      <c r="M47" s="3">
        <v>18</v>
      </c>
      <c r="N47" s="3">
        <v>15</v>
      </c>
      <c r="O47" s="3">
        <v>0</v>
      </c>
      <c r="P47" s="3">
        <v>0</v>
      </c>
      <c r="Q47" s="3">
        <v>22</v>
      </c>
      <c r="R47" s="3">
        <v>21</v>
      </c>
      <c r="S47" s="3">
        <v>19</v>
      </c>
      <c r="T47" s="3">
        <v>18</v>
      </c>
      <c r="U47" s="3">
        <v>16</v>
      </c>
      <c r="V47" s="3">
        <v>0</v>
      </c>
      <c r="W47" s="3">
        <v>0</v>
      </c>
      <c r="X47" s="3">
        <v>22</v>
      </c>
      <c r="Y47" s="3">
        <v>22</v>
      </c>
      <c r="Z47" s="3">
        <v>20</v>
      </c>
      <c r="AA47" s="3">
        <v>19</v>
      </c>
      <c r="AB47" s="3">
        <v>17</v>
      </c>
      <c r="AC47" s="3">
        <v>0</v>
      </c>
      <c r="AD47" s="3">
        <v>0</v>
      </c>
      <c r="AE47" s="3">
        <v>23</v>
      </c>
      <c r="AF47" s="3">
        <v>24</v>
      </c>
    </row>
    <row r="48" spans="1:32" x14ac:dyDescent="0.25">
      <c r="A48" s="16">
        <v>0.9375</v>
      </c>
      <c r="B48" s="3">
        <v>0</v>
      </c>
      <c r="C48" s="3">
        <v>13</v>
      </c>
      <c r="D48" s="3">
        <v>12</v>
      </c>
      <c r="E48" s="3">
        <v>11</v>
      </c>
      <c r="F48" s="3">
        <v>10</v>
      </c>
      <c r="G48" s="3">
        <v>10</v>
      </c>
      <c r="H48" s="3">
        <v>0</v>
      </c>
      <c r="I48" s="3">
        <v>0</v>
      </c>
      <c r="J48" s="3">
        <v>18</v>
      </c>
      <c r="K48" s="3">
        <v>19</v>
      </c>
      <c r="L48" s="3">
        <v>15</v>
      </c>
      <c r="M48" s="3">
        <v>15</v>
      </c>
      <c r="N48" s="3">
        <v>13</v>
      </c>
      <c r="O48" s="3">
        <v>0</v>
      </c>
      <c r="P48" s="3">
        <v>0</v>
      </c>
      <c r="Q48" s="3">
        <v>17</v>
      </c>
      <c r="R48" s="3">
        <v>18</v>
      </c>
      <c r="S48" s="3">
        <v>16</v>
      </c>
      <c r="T48" s="3">
        <v>15</v>
      </c>
      <c r="U48" s="3">
        <v>14</v>
      </c>
      <c r="V48" s="3">
        <v>0</v>
      </c>
      <c r="W48" s="3">
        <v>0</v>
      </c>
      <c r="X48" s="3">
        <v>18</v>
      </c>
      <c r="Y48" s="3">
        <v>19</v>
      </c>
      <c r="Z48" s="3">
        <v>16</v>
      </c>
      <c r="AA48" s="3">
        <v>16</v>
      </c>
      <c r="AB48" s="3">
        <v>15</v>
      </c>
      <c r="AC48" s="3">
        <v>0</v>
      </c>
      <c r="AD48" s="3">
        <v>0</v>
      </c>
      <c r="AE48" s="3">
        <v>18</v>
      </c>
      <c r="AF48" s="3">
        <v>21</v>
      </c>
    </row>
    <row r="49" spans="1:33" x14ac:dyDescent="0.25">
      <c r="A49" s="16">
        <v>0.95833333333333337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1:33" x14ac:dyDescent="0.25">
      <c r="A50" s="16">
        <v>0.97916666666666663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1:33" x14ac:dyDescent="0.25">
      <c r="A51" s="17" t="s">
        <v>58</v>
      </c>
      <c r="B51" s="18">
        <f>SUM(B3:B50)</f>
        <v>0</v>
      </c>
      <c r="C51" s="18">
        <f t="shared" ref="C51:AF51" si="1">SUM(C3:C50)</f>
        <v>4871</v>
      </c>
      <c r="D51" s="18">
        <f t="shared" si="1"/>
        <v>3847</v>
      </c>
      <c r="E51" s="18">
        <f t="shared" si="1"/>
        <v>3320</v>
      </c>
      <c r="F51" s="18">
        <f t="shared" si="1"/>
        <v>3245</v>
      </c>
      <c r="G51" s="18">
        <f t="shared" si="1"/>
        <v>3185</v>
      </c>
      <c r="H51" s="18">
        <f t="shared" si="1"/>
        <v>1271</v>
      </c>
      <c r="I51" s="18">
        <f t="shared" si="1"/>
        <v>0</v>
      </c>
      <c r="J51" s="18">
        <f t="shared" si="1"/>
        <v>4234</v>
      </c>
      <c r="K51" s="18">
        <f t="shared" si="1"/>
        <v>3332</v>
      </c>
      <c r="L51" s="18">
        <f t="shared" si="1"/>
        <v>3018</v>
      </c>
      <c r="M51" s="18">
        <f t="shared" si="1"/>
        <v>2924</v>
      </c>
      <c r="N51" s="18">
        <f t="shared" si="1"/>
        <v>2842</v>
      </c>
      <c r="O51" s="18">
        <f t="shared" si="1"/>
        <v>1132</v>
      </c>
      <c r="P51" s="18">
        <f t="shared" si="1"/>
        <v>0</v>
      </c>
      <c r="Q51" s="18">
        <f t="shared" si="1"/>
        <v>4061</v>
      </c>
      <c r="R51" s="18">
        <f t="shared" si="1"/>
        <v>3226</v>
      </c>
      <c r="S51" s="18">
        <f t="shared" si="1"/>
        <v>3059</v>
      </c>
      <c r="T51" s="18">
        <f t="shared" si="1"/>
        <v>2833</v>
      </c>
      <c r="U51" s="18">
        <f t="shared" si="1"/>
        <v>2905</v>
      </c>
      <c r="V51" s="18">
        <f t="shared" si="1"/>
        <v>1126</v>
      </c>
      <c r="W51" s="18">
        <f t="shared" si="1"/>
        <v>0</v>
      </c>
      <c r="X51" s="18">
        <f t="shared" si="1"/>
        <v>4215</v>
      </c>
      <c r="Y51" s="18">
        <f t="shared" si="1"/>
        <v>3341</v>
      </c>
      <c r="Z51" s="18">
        <f t="shared" si="1"/>
        <v>3223</v>
      </c>
      <c r="AA51" s="18">
        <f t="shared" si="1"/>
        <v>3022</v>
      </c>
      <c r="AB51" s="18">
        <f t="shared" si="1"/>
        <v>3100</v>
      </c>
      <c r="AC51" s="18">
        <f t="shared" si="1"/>
        <v>1249</v>
      </c>
      <c r="AD51" s="18">
        <f t="shared" si="1"/>
        <v>0</v>
      </c>
      <c r="AE51" s="18">
        <f t="shared" si="1"/>
        <v>4367</v>
      </c>
      <c r="AF51" s="18">
        <f t="shared" si="1"/>
        <v>3625</v>
      </c>
      <c r="AG51" s="13">
        <f>SUM(B51:AF51)</f>
        <v>80573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4304-4881-40B9-803F-9D0915F45B7A}">
  <sheetPr>
    <tabColor rgb="FFFF0000"/>
  </sheetPr>
  <dimension ref="A1:AG53"/>
  <sheetViews>
    <sheetView zoomScale="75" zoomScaleNormal="75" workbookViewId="0">
      <pane xSplit="1" ySplit="2" topLeftCell="B3" activePane="bottomRight" state="frozen"/>
      <selection activeCell="I28" sqref="I28"/>
      <selection pane="topRight" activeCell="I28" sqref="I28"/>
      <selection pane="bottomLeft" activeCell="I28" sqref="I28"/>
      <selection pane="bottomRight" activeCell="H35" sqref="H35"/>
    </sheetView>
  </sheetViews>
  <sheetFormatPr defaultColWidth="9.140625" defaultRowHeight="15" x14ac:dyDescent="0.25"/>
  <cols>
    <col min="1" max="1" width="9.7109375" style="3" bestFit="1" customWidth="1"/>
    <col min="2" max="10" width="7.7109375" style="3" bestFit="1" customWidth="1"/>
    <col min="11" max="32" width="8.85546875" style="3" bestFit="1" customWidth="1"/>
    <col min="33" max="33" width="7.5703125" style="3" bestFit="1" customWidth="1"/>
    <col min="34" max="16384" width="9.140625" style="3"/>
  </cols>
  <sheetData>
    <row r="1" spans="1:32" x14ac:dyDescent="0.25">
      <c r="A1" s="1" t="s">
        <v>57</v>
      </c>
      <c r="B1" s="2">
        <f>'V-FTE Mar'!B1</f>
        <v>46082</v>
      </c>
      <c r="C1" s="2">
        <f>'V-FTE Mar'!C1</f>
        <v>46083</v>
      </c>
      <c r="D1" s="2">
        <f>'V-FTE Mar'!D1</f>
        <v>46084</v>
      </c>
      <c r="E1" s="2">
        <f>'V-FTE Mar'!E1</f>
        <v>46085</v>
      </c>
      <c r="F1" s="2">
        <f>'V-FTE Mar'!F1</f>
        <v>46086</v>
      </c>
      <c r="G1" s="2">
        <f>'V-FTE Mar'!G1</f>
        <v>46087</v>
      </c>
      <c r="H1" s="2">
        <f>'V-FTE Mar'!H1</f>
        <v>46088</v>
      </c>
      <c r="I1" s="2">
        <f>'V-FTE Mar'!I1</f>
        <v>46089</v>
      </c>
      <c r="J1" s="2">
        <f>'V-FTE Mar'!J1</f>
        <v>46090</v>
      </c>
      <c r="K1" s="2">
        <f>'V-FTE Mar'!K1</f>
        <v>46091</v>
      </c>
      <c r="L1" s="2">
        <f>'V-FTE Mar'!L1</f>
        <v>46092</v>
      </c>
      <c r="M1" s="2">
        <f>'V-FTE Mar'!M1</f>
        <v>46093</v>
      </c>
      <c r="N1" s="2">
        <f>'V-FTE Mar'!N1</f>
        <v>46094</v>
      </c>
      <c r="O1" s="2">
        <f>'V-FTE Mar'!O1</f>
        <v>46095</v>
      </c>
      <c r="P1" s="2">
        <f>'V-FTE Mar'!P1</f>
        <v>46096</v>
      </c>
      <c r="Q1" s="2">
        <f>'V-FTE Mar'!Q1</f>
        <v>46097</v>
      </c>
      <c r="R1" s="2">
        <f>'V-FTE Mar'!R1</f>
        <v>46098</v>
      </c>
      <c r="S1" s="2">
        <f>'V-FTE Mar'!S1</f>
        <v>46099</v>
      </c>
      <c r="T1" s="2">
        <f>'V-FTE Mar'!T1</f>
        <v>46100</v>
      </c>
      <c r="U1" s="2">
        <f>'V-FTE Mar'!U1</f>
        <v>46101</v>
      </c>
      <c r="V1" s="2">
        <f>'V-FTE Mar'!V1</f>
        <v>46102</v>
      </c>
      <c r="W1" s="2">
        <f>'V-FTE Mar'!W1</f>
        <v>46103</v>
      </c>
      <c r="X1" s="2">
        <f>'V-FTE Mar'!X1</f>
        <v>46104</v>
      </c>
      <c r="Y1" s="2">
        <f>'V-FTE Mar'!Y1</f>
        <v>46105</v>
      </c>
      <c r="Z1" s="2">
        <f>'V-FTE Mar'!Z1</f>
        <v>46106</v>
      </c>
      <c r="AA1" s="2">
        <f>'V-FTE Mar'!AA1</f>
        <v>46107</v>
      </c>
      <c r="AB1" s="2">
        <f>'V-FTE Mar'!AB1</f>
        <v>46108</v>
      </c>
      <c r="AC1" s="2">
        <f>'V-FTE Mar'!AC1</f>
        <v>46109</v>
      </c>
      <c r="AD1" s="2">
        <f>'V-FTE Mar'!AD1</f>
        <v>46110</v>
      </c>
      <c r="AE1" s="2">
        <f>'V-FTE Mar'!AE1</f>
        <v>46111</v>
      </c>
      <c r="AF1" s="2">
        <f>'V-FTE Mar'!AF1</f>
        <v>46112</v>
      </c>
    </row>
    <row r="2" spans="1:32" x14ac:dyDescent="0.25">
      <c r="A2" s="4">
        <f>'V-FTE Mar'!A2</f>
        <v>0</v>
      </c>
      <c r="B2" s="5" t="str">
        <f>TEXT(B1,"ddd")</f>
        <v>Sun</v>
      </c>
      <c r="C2" s="5" t="str">
        <f t="shared" ref="C2:AF2" si="0">TEXT(C1,"ddd")</f>
        <v>Mon</v>
      </c>
      <c r="D2" s="5" t="str">
        <f t="shared" si="0"/>
        <v>Tue</v>
      </c>
      <c r="E2" s="5" t="str">
        <f t="shared" si="0"/>
        <v>Wed</v>
      </c>
      <c r="F2" s="5" t="str">
        <f t="shared" si="0"/>
        <v>Thu</v>
      </c>
      <c r="G2" s="5" t="str">
        <f t="shared" si="0"/>
        <v>Fri</v>
      </c>
      <c r="H2" s="5" t="str">
        <f t="shared" si="0"/>
        <v>Sat</v>
      </c>
      <c r="I2" s="5" t="str">
        <f t="shared" si="0"/>
        <v>Sun</v>
      </c>
      <c r="J2" s="5" t="str">
        <f t="shared" si="0"/>
        <v>Mon</v>
      </c>
      <c r="K2" s="5" t="str">
        <f t="shared" si="0"/>
        <v>Tue</v>
      </c>
      <c r="L2" s="5" t="str">
        <f t="shared" si="0"/>
        <v>Wed</v>
      </c>
      <c r="M2" s="5" t="str">
        <f t="shared" si="0"/>
        <v>Thu</v>
      </c>
      <c r="N2" s="5" t="str">
        <f t="shared" si="0"/>
        <v>Fri</v>
      </c>
      <c r="O2" s="5" t="str">
        <f t="shared" si="0"/>
        <v>Sat</v>
      </c>
      <c r="P2" s="5" t="str">
        <f t="shared" si="0"/>
        <v>Sun</v>
      </c>
      <c r="Q2" s="5" t="str">
        <f t="shared" si="0"/>
        <v>Mon</v>
      </c>
      <c r="R2" s="5" t="str">
        <f t="shared" si="0"/>
        <v>Tue</v>
      </c>
      <c r="S2" s="5" t="str">
        <f t="shared" si="0"/>
        <v>Wed</v>
      </c>
      <c r="T2" s="5" t="str">
        <f t="shared" si="0"/>
        <v>Thu</v>
      </c>
      <c r="U2" s="5" t="str">
        <f t="shared" si="0"/>
        <v>Fri</v>
      </c>
      <c r="V2" s="5" t="str">
        <f t="shared" si="0"/>
        <v>Sat</v>
      </c>
      <c r="W2" s="5" t="str">
        <f t="shared" si="0"/>
        <v>Sun</v>
      </c>
      <c r="X2" s="5" t="str">
        <f t="shared" si="0"/>
        <v>Mon</v>
      </c>
      <c r="Y2" s="5" t="str">
        <f t="shared" si="0"/>
        <v>Tue</v>
      </c>
      <c r="Z2" s="5" t="str">
        <f t="shared" si="0"/>
        <v>Wed</v>
      </c>
      <c r="AA2" s="5" t="str">
        <f t="shared" si="0"/>
        <v>Thu</v>
      </c>
      <c r="AB2" s="5" t="str">
        <f t="shared" si="0"/>
        <v>Fri</v>
      </c>
      <c r="AC2" s="5" t="str">
        <f t="shared" si="0"/>
        <v>Sat</v>
      </c>
      <c r="AD2" s="5" t="str">
        <f t="shared" si="0"/>
        <v>Sun</v>
      </c>
      <c r="AE2" s="5" t="str">
        <f t="shared" si="0"/>
        <v>Mon</v>
      </c>
      <c r="AF2" s="5" t="str">
        <f t="shared" si="0"/>
        <v>Tue</v>
      </c>
    </row>
    <row r="3" spans="1:32" x14ac:dyDescent="0.25">
      <c r="A3" s="3" t="s">
        <v>8</v>
      </c>
      <c r="B3" s="7">
        <f>'V-FTE Mar'!B3/2</f>
        <v>0</v>
      </c>
      <c r="C3" s="7">
        <f>'V-FTE Mar'!C3/2</f>
        <v>0</v>
      </c>
      <c r="D3" s="7">
        <f>'V-FTE Mar'!D3/2</f>
        <v>0</v>
      </c>
      <c r="E3" s="7">
        <f>'V-FTE Mar'!E3/2</f>
        <v>0</v>
      </c>
      <c r="F3" s="7">
        <f>'V-FTE Mar'!F3/2</f>
        <v>0</v>
      </c>
      <c r="G3" s="7">
        <f>'V-FTE Mar'!G3/2</f>
        <v>0</v>
      </c>
      <c r="H3" s="7">
        <f>'V-FTE Mar'!H3/2</f>
        <v>0</v>
      </c>
      <c r="I3" s="7">
        <f>'V-FTE Mar'!I3/2</f>
        <v>0</v>
      </c>
      <c r="J3" s="7">
        <f>'V-FTE Mar'!J3/2</f>
        <v>0</v>
      </c>
      <c r="K3" s="7">
        <f>'V-FTE Mar'!K3/2</f>
        <v>0</v>
      </c>
      <c r="L3" s="7">
        <f>'V-FTE Mar'!L3/2</f>
        <v>0</v>
      </c>
      <c r="M3" s="7">
        <f>'V-FTE Mar'!M3/2</f>
        <v>0</v>
      </c>
      <c r="N3" s="7">
        <f>'V-FTE Mar'!N3/2</f>
        <v>0</v>
      </c>
      <c r="O3" s="7">
        <f>'V-FTE Mar'!O3/2</f>
        <v>0</v>
      </c>
      <c r="P3" s="7">
        <f>'V-FTE Mar'!P3/2</f>
        <v>0</v>
      </c>
      <c r="Q3" s="7">
        <f>'V-FTE Mar'!Q3/2</f>
        <v>0</v>
      </c>
      <c r="R3" s="7">
        <f>'V-FTE Mar'!R3/2</f>
        <v>0</v>
      </c>
      <c r="S3" s="7">
        <f>'V-FTE Mar'!S3/2</f>
        <v>0</v>
      </c>
      <c r="T3" s="7">
        <f>'V-FTE Mar'!T3/2</f>
        <v>0</v>
      </c>
      <c r="U3" s="7">
        <f>'V-FTE Mar'!U3/2</f>
        <v>0</v>
      </c>
      <c r="V3" s="7">
        <f>'V-FTE Mar'!V3/2</f>
        <v>0</v>
      </c>
      <c r="W3" s="7">
        <f>'V-FTE Mar'!W3/2</f>
        <v>0</v>
      </c>
      <c r="X3" s="7">
        <f>'V-FTE Mar'!X3/2</f>
        <v>0</v>
      </c>
      <c r="Y3" s="7">
        <f>'V-FTE Mar'!Y3/2</f>
        <v>0</v>
      </c>
      <c r="Z3" s="7">
        <f>'V-FTE Mar'!Z3/2</f>
        <v>0</v>
      </c>
      <c r="AA3" s="7">
        <f>'V-FTE Mar'!AA3/2</f>
        <v>0</v>
      </c>
      <c r="AB3" s="7">
        <f>'V-FTE Mar'!AB3/2</f>
        <v>0</v>
      </c>
      <c r="AC3" s="7">
        <f>'V-FTE Mar'!AC3/2</f>
        <v>0</v>
      </c>
      <c r="AD3" s="7">
        <f>'V-FTE Mar'!AD3/2</f>
        <v>0</v>
      </c>
      <c r="AE3" s="7">
        <f>'V-FTE Mar'!AE3/2</f>
        <v>0</v>
      </c>
    </row>
    <row r="4" spans="1:32" x14ac:dyDescent="0.25">
      <c r="A4" s="3" t="s">
        <v>9</v>
      </c>
      <c r="B4" s="7">
        <f>'V-FTE Mar'!B4/2</f>
        <v>0</v>
      </c>
      <c r="C4" s="7">
        <f>'V-FTE Mar'!C4/2</f>
        <v>0</v>
      </c>
      <c r="D4" s="7">
        <f>'V-FTE Mar'!D4/2</f>
        <v>0</v>
      </c>
      <c r="E4" s="7">
        <f>'V-FTE Mar'!E4/2</f>
        <v>0</v>
      </c>
      <c r="F4" s="7">
        <f>'V-FTE Mar'!F4/2</f>
        <v>0</v>
      </c>
      <c r="G4" s="7">
        <f>'V-FTE Mar'!G4/2</f>
        <v>0</v>
      </c>
      <c r="H4" s="7">
        <f>'V-FTE Mar'!H4/2</f>
        <v>0</v>
      </c>
      <c r="I4" s="7">
        <f>'V-FTE Mar'!I4/2</f>
        <v>0</v>
      </c>
      <c r="J4" s="7">
        <f>'V-FTE Mar'!J4/2</f>
        <v>0</v>
      </c>
      <c r="K4" s="7">
        <f>'V-FTE Mar'!K4/2</f>
        <v>0</v>
      </c>
      <c r="L4" s="7">
        <f>'V-FTE Mar'!L4/2</f>
        <v>0</v>
      </c>
      <c r="M4" s="7">
        <f>'V-FTE Mar'!M4/2</f>
        <v>0</v>
      </c>
      <c r="N4" s="7">
        <f>'V-FTE Mar'!N4/2</f>
        <v>0</v>
      </c>
      <c r="O4" s="7">
        <f>'V-FTE Mar'!O4/2</f>
        <v>0</v>
      </c>
      <c r="P4" s="7">
        <f>'V-FTE Mar'!P4/2</f>
        <v>0</v>
      </c>
      <c r="Q4" s="7">
        <f>'V-FTE Mar'!Q4/2</f>
        <v>0</v>
      </c>
      <c r="R4" s="7">
        <f>'V-FTE Mar'!R4/2</f>
        <v>0</v>
      </c>
      <c r="S4" s="7">
        <f>'V-FTE Mar'!S4/2</f>
        <v>0</v>
      </c>
      <c r="T4" s="7">
        <f>'V-FTE Mar'!T4/2</f>
        <v>0</v>
      </c>
      <c r="U4" s="7">
        <f>'V-FTE Mar'!U4/2</f>
        <v>0</v>
      </c>
      <c r="V4" s="7">
        <f>'V-FTE Mar'!V4/2</f>
        <v>0</v>
      </c>
      <c r="W4" s="7">
        <f>'V-FTE Mar'!W4/2</f>
        <v>0</v>
      </c>
      <c r="X4" s="7">
        <f>'V-FTE Mar'!X4/2</f>
        <v>0</v>
      </c>
      <c r="Y4" s="7">
        <f>'V-FTE Mar'!Y4/2</f>
        <v>0</v>
      </c>
      <c r="Z4" s="7">
        <f>'V-FTE Mar'!Z4/2</f>
        <v>0</v>
      </c>
      <c r="AA4" s="7">
        <f>'V-FTE Mar'!AA4/2</f>
        <v>0</v>
      </c>
      <c r="AB4" s="7">
        <f>'V-FTE Mar'!AB4/2</f>
        <v>0</v>
      </c>
      <c r="AC4" s="7">
        <f>'V-FTE Mar'!AC4/2</f>
        <v>0</v>
      </c>
      <c r="AD4" s="7">
        <f>'V-FTE Mar'!AD4/2</f>
        <v>0</v>
      </c>
      <c r="AE4" s="7">
        <f>'V-FTE Mar'!AE4/2</f>
        <v>0</v>
      </c>
    </row>
    <row r="5" spans="1:32" x14ac:dyDescent="0.25">
      <c r="A5" s="3" t="s">
        <v>10</v>
      </c>
      <c r="B5" s="7">
        <f>'V-FTE Mar'!B5/2</f>
        <v>0</v>
      </c>
      <c r="C5" s="7">
        <f>'V-FTE Mar'!C5/2</f>
        <v>0</v>
      </c>
      <c r="D5" s="7">
        <f>'V-FTE Mar'!D5/2</f>
        <v>0</v>
      </c>
      <c r="E5" s="7">
        <f>'V-FTE Mar'!E5/2</f>
        <v>0</v>
      </c>
      <c r="F5" s="7">
        <f>'V-FTE Mar'!F5/2</f>
        <v>0</v>
      </c>
      <c r="G5" s="7">
        <f>'V-FTE Mar'!G5/2</f>
        <v>0</v>
      </c>
      <c r="H5" s="7">
        <f>'V-FTE Mar'!H5/2</f>
        <v>0</v>
      </c>
      <c r="I5" s="7">
        <f>'V-FTE Mar'!I5/2</f>
        <v>0</v>
      </c>
      <c r="J5" s="7">
        <f>'V-FTE Mar'!J5/2</f>
        <v>0</v>
      </c>
      <c r="K5" s="7">
        <f>'V-FTE Mar'!K5/2</f>
        <v>0</v>
      </c>
      <c r="L5" s="7">
        <f>'V-FTE Mar'!L5/2</f>
        <v>0</v>
      </c>
      <c r="M5" s="7">
        <f>'V-FTE Mar'!M5/2</f>
        <v>0</v>
      </c>
      <c r="N5" s="7">
        <f>'V-FTE Mar'!N5/2</f>
        <v>0</v>
      </c>
      <c r="O5" s="7">
        <f>'V-FTE Mar'!O5/2</f>
        <v>0</v>
      </c>
      <c r="P5" s="7">
        <f>'V-FTE Mar'!P5/2</f>
        <v>0</v>
      </c>
      <c r="Q5" s="7">
        <f>'V-FTE Mar'!Q5/2</f>
        <v>0</v>
      </c>
      <c r="R5" s="7">
        <f>'V-FTE Mar'!R5/2</f>
        <v>0</v>
      </c>
      <c r="S5" s="7">
        <f>'V-FTE Mar'!S5/2</f>
        <v>0</v>
      </c>
      <c r="T5" s="7">
        <f>'V-FTE Mar'!T5/2</f>
        <v>0</v>
      </c>
      <c r="U5" s="7">
        <f>'V-FTE Mar'!U5/2</f>
        <v>0</v>
      </c>
      <c r="V5" s="7">
        <f>'V-FTE Mar'!V5/2</f>
        <v>0</v>
      </c>
      <c r="W5" s="7">
        <f>'V-FTE Mar'!W5/2</f>
        <v>0</v>
      </c>
      <c r="X5" s="7">
        <f>'V-FTE Mar'!X5/2</f>
        <v>0</v>
      </c>
      <c r="Y5" s="7">
        <f>'V-FTE Mar'!Y5/2</f>
        <v>0</v>
      </c>
      <c r="Z5" s="7">
        <f>'V-FTE Mar'!Z5/2</f>
        <v>0</v>
      </c>
      <c r="AA5" s="7">
        <f>'V-FTE Mar'!AA5/2</f>
        <v>0</v>
      </c>
      <c r="AB5" s="7">
        <f>'V-FTE Mar'!AB5/2</f>
        <v>0</v>
      </c>
      <c r="AC5" s="7">
        <f>'V-FTE Mar'!AC5/2</f>
        <v>0</v>
      </c>
      <c r="AD5" s="7">
        <f>'V-FTE Mar'!AD5/2</f>
        <v>0</v>
      </c>
      <c r="AE5" s="7">
        <f>'V-FTE Mar'!AE5/2</f>
        <v>0</v>
      </c>
    </row>
    <row r="6" spans="1:32" x14ac:dyDescent="0.25">
      <c r="A6" s="3" t="s">
        <v>11</v>
      </c>
      <c r="B6" s="7">
        <f>'V-FTE Mar'!B6/2</f>
        <v>0</v>
      </c>
      <c r="C6" s="7">
        <f>'V-FTE Mar'!C6/2</f>
        <v>0</v>
      </c>
      <c r="D6" s="7">
        <f>'V-FTE Mar'!D6/2</f>
        <v>0</v>
      </c>
      <c r="E6" s="7">
        <f>'V-FTE Mar'!E6/2</f>
        <v>0</v>
      </c>
      <c r="F6" s="7">
        <f>'V-FTE Mar'!F6/2</f>
        <v>0</v>
      </c>
      <c r="G6" s="7">
        <f>'V-FTE Mar'!G6/2</f>
        <v>0</v>
      </c>
      <c r="H6" s="7">
        <f>'V-FTE Mar'!H6/2</f>
        <v>0</v>
      </c>
      <c r="I6" s="7">
        <f>'V-FTE Mar'!I6/2</f>
        <v>0</v>
      </c>
      <c r="J6" s="7">
        <f>'V-FTE Mar'!J6/2</f>
        <v>0</v>
      </c>
      <c r="K6" s="7">
        <f>'V-FTE Mar'!K6/2</f>
        <v>0</v>
      </c>
      <c r="L6" s="7">
        <f>'V-FTE Mar'!L6/2</f>
        <v>0</v>
      </c>
      <c r="M6" s="7">
        <f>'V-FTE Mar'!M6/2</f>
        <v>0</v>
      </c>
      <c r="N6" s="7">
        <f>'V-FTE Mar'!N6/2</f>
        <v>0</v>
      </c>
      <c r="O6" s="7">
        <f>'V-FTE Mar'!O6/2</f>
        <v>0</v>
      </c>
      <c r="P6" s="7">
        <f>'V-FTE Mar'!P6/2</f>
        <v>0</v>
      </c>
      <c r="Q6" s="7">
        <f>'V-FTE Mar'!Q6/2</f>
        <v>0</v>
      </c>
      <c r="R6" s="7">
        <f>'V-FTE Mar'!R6/2</f>
        <v>0</v>
      </c>
      <c r="S6" s="7">
        <f>'V-FTE Mar'!S6/2</f>
        <v>0</v>
      </c>
      <c r="T6" s="7">
        <f>'V-FTE Mar'!T6/2</f>
        <v>0</v>
      </c>
      <c r="U6" s="7">
        <f>'V-FTE Mar'!U6/2</f>
        <v>0</v>
      </c>
      <c r="V6" s="7">
        <f>'V-FTE Mar'!V6/2</f>
        <v>0</v>
      </c>
      <c r="W6" s="7">
        <f>'V-FTE Mar'!W6/2</f>
        <v>0</v>
      </c>
      <c r="X6" s="7">
        <f>'V-FTE Mar'!X6/2</f>
        <v>0</v>
      </c>
      <c r="Y6" s="7">
        <f>'V-FTE Mar'!Y6/2</f>
        <v>0</v>
      </c>
      <c r="Z6" s="7">
        <f>'V-FTE Mar'!Z6/2</f>
        <v>0</v>
      </c>
      <c r="AA6" s="7">
        <f>'V-FTE Mar'!AA6/2</f>
        <v>0</v>
      </c>
      <c r="AB6" s="7">
        <f>'V-FTE Mar'!AB6/2</f>
        <v>0</v>
      </c>
      <c r="AC6" s="7">
        <f>'V-FTE Mar'!AC6/2</f>
        <v>0</v>
      </c>
      <c r="AD6" s="7">
        <f>'V-FTE Mar'!AD6/2</f>
        <v>0</v>
      </c>
      <c r="AE6" s="7">
        <f>'V-FTE Mar'!AE6/2</f>
        <v>0</v>
      </c>
    </row>
    <row r="7" spans="1:32" x14ac:dyDescent="0.25">
      <c r="A7" s="3" t="s">
        <v>12</v>
      </c>
      <c r="B7" s="7">
        <f>'V-FTE Mar'!B7/2</f>
        <v>0</v>
      </c>
      <c r="C7" s="7">
        <f>'V-FTE Mar'!C7/2</f>
        <v>0</v>
      </c>
      <c r="D7" s="7">
        <f>'V-FTE Mar'!D7/2</f>
        <v>0</v>
      </c>
      <c r="E7" s="7">
        <f>'V-FTE Mar'!E7/2</f>
        <v>0</v>
      </c>
      <c r="F7" s="7">
        <f>'V-FTE Mar'!F7/2</f>
        <v>0</v>
      </c>
      <c r="G7" s="7">
        <f>'V-FTE Mar'!G7/2</f>
        <v>0</v>
      </c>
      <c r="H7" s="7">
        <f>'V-FTE Mar'!H7/2</f>
        <v>0</v>
      </c>
      <c r="I7" s="7">
        <f>'V-FTE Mar'!I7/2</f>
        <v>0</v>
      </c>
      <c r="J7" s="7">
        <f>'V-FTE Mar'!J7/2</f>
        <v>0</v>
      </c>
      <c r="K7" s="7">
        <f>'V-FTE Mar'!K7/2</f>
        <v>0</v>
      </c>
      <c r="L7" s="7">
        <f>'V-FTE Mar'!L7/2</f>
        <v>0</v>
      </c>
      <c r="M7" s="7">
        <f>'V-FTE Mar'!M7/2</f>
        <v>0</v>
      </c>
      <c r="N7" s="7">
        <f>'V-FTE Mar'!N7/2</f>
        <v>0</v>
      </c>
      <c r="O7" s="7">
        <f>'V-FTE Mar'!O7/2</f>
        <v>0</v>
      </c>
      <c r="P7" s="7">
        <f>'V-FTE Mar'!P7/2</f>
        <v>0</v>
      </c>
      <c r="Q7" s="7">
        <f>'V-FTE Mar'!Q7/2</f>
        <v>0</v>
      </c>
      <c r="R7" s="7">
        <f>'V-FTE Mar'!R7/2</f>
        <v>0</v>
      </c>
      <c r="S7" s="7">
        <f>'V-FTE Mar'!S7/2</f>
        <v>0</v>
      </c>
      <c r="T7" s="7">
        <f>'V-FTE Mar'!T7/2</f>
        <v>0</v>
      </c>
      <c r="U7" s="7">
        <f>'V-FTE Mar'!U7/2</f>
        <v>0</v>
      </c>
      <c r="V7" s="7">
        <f>'V-FTE Mar'!V7/2</f>
        <v>0</v>
      </c>
      <c r="W7" s="7">
        <f>'V-FTE Mar'!W7/2</f>
        <v>0</v>
      </c>
      <c r="X7" s="7">
        <f>'V-FTE Mar'!X7/2</f>
        <v>0</v>
      </c>
      <c r="Y7" s="7">
        <f>'V-FTE Mar'!Y7/2</f>
        <v>0</v>
      </c>
      <c r="Z7" s="7">
        <f>'V-FTE Mar'!Z7/2</f>
        <v>0</v>
      </c>
      <c r="AA7" s="7">
        <f>'V-FTE Mar'!AA7/2</f>
        <v>0</v>
      </c>
      <c r="AB7" s="7">
        <f>'V-FTE Mar'!AB7/2</f>
        <v>0</v>
      </c>
      <c r="AC7" s="7">
        <f>'V-FTE Mar'!AC7/2</f>
        <v>0</v>
      </c>
      <c r="AD7" s="7">
        <f>'V-FTE Mar'!AD7/2</f>
        <v>0</v>
      </c>
      <c r="AE7" s="7">
        <f>'V-FTE Mar'!AE7/2</f>
        <v>0</v>
      </c>
    </row>
    <row r="8" spans="1:32" x14ac:dyDescent="0.25">
      <c r="A8" s="3" t="s">
        <v>13</v>
      </c>
      <c r="B8" s="7">
        <f>'V-FTE Mar'!B8/2</f>
        <v>0</v>
      </c>
      <c r="C8" s="7">
        <f>'V-FTE Mar'!C8/2</f>
        <v>0</v>
      </c>
      <c r="D8" s="7">
        <f>'V-FTE Mar'!D8/2</f>
        <v>0</v>
      </c>
      <c r="E8" s="7">
        <f>'V-FTE Mar'!E8/2</f>
        <v>0</v>
      </c>
      <c r="F8" s="7">
        <f>'V-FTE Mar'!F8/2</f>
        <v>0</v>
      </c>
      <c r="G8" s="7">
        <f>'V-FTE Mar'!G8/2</f>
        <v>0</v>
      </c>
      <c r="H8" s="7">
        <f>'V-FTE Mar'!H8/2</f>
        <v>0</v>
      </c>
      <c r="I8" s="7">
        <f>'V-FTE Mar'!I8/2</f>
        <v>0</v>
      </c>
      <c r="J8" s="7">
        <f>'V-FTE Mar'!J8/2</f>
        <v>0</v>
      </c>
      <c r="K8" s="7">
        <f>'V-FTE Mar'!K8/2</f>
        <v>0</v>
      </c>
      <c r="L8" s="7">
        <f>'V-FTE Mar'!L8/2</f>
        <v>0</v>
      </c>
      <c r="M8" s="7">
        <f>'V-FTE Mar'!M8/2</f>
        <v>0</v>
      </c>
      <c r="N8" s="7">
        <f>'V-FTE Mar'!N8/2</f>
        <v>0</v>
      </c>
      <c r="O8" s="7">
        <f>'V-FTE Mar'!O8/2</f>
        <v>0</v>
      </c>
      <c r="P8" s="7">
        <f>'V-FTE Mar'!P8/2</f>
        <v>0</v>
      </c>
      <c r="Q8" s="7">
        <f>'V-FTE Mar'!Q8/2</f>
        <v>0</v>
      </c>
      <c r="R8" s="7">
        <f>'V-FTE Mar'!R8/2</f>
        <v>0</v>
      </c>
      <c r="S8" s="7">
        <f>'V-FTE Mar'!S8/2</f>
        <v>0</v>
      </c>
      <c r="T8" s="7">
        <f>'V-FTE Mar'!T8/2</f>
        <v>0</v>
      </c>
      <c r="U8" s="7">
        <f>'V-FTE Mar'!U8/2</f>
        <v>0</v>
      </c>
      <c r="V8" s="7">
        <f>'V-FTE Mar'!V8/2</f>
        <v>0</v>
      </c>
      <c r="W8" s="7">
        <f>'V-FTE Mar'!W8/2</f>
        <v>0</v>
      </c>
      <c r="X8" s="7">
        <f>'V-FTE Mar'!X8/2</f>
        <v>0</v>
      </c>
      <c r="Y8" s="7">
        <f>'V-FTE Mar'!Y8/2</f>
        <v>0</v>
      </c>
      <c r="Z8" s="7">
        <f>'V-FTE Mar'!Z8/2</f>
        <v>0</v>
      </c>
      <c r="AA8" s="7">
        <f>'V-FTE Mar'!AA8/2</f>
        <v>0</v>
      </c>
      <c r="AB8" s="7">
        <f>'V-FTE Mar'!AB8/2</f>
        <v>0</v>
      </c>
      <c r="AC8" s="7">
        <f>'V-FTE Mar'!AC8/2</f>
        <v>0</v>
      </c>
      <c r="AD8" s="7">
        <f>'V-FTE Mar'!AD8/2</f>
        <v>0</v>
      </c>
      <c r="AE8" s="7">
        <f>'V-FTE Mar'!AE8/2</f>
        <v>0</v>
      </c>
    </row>
    <row r="9" spans="1:32" x14ac:dyDescent="0.25">
      <c r="A9" s="3" t="s">
        <v>14</v>
      </c>
      <c r="B9" s="7">
        <f>'V-FTE Mar'!B9/2</f>
        <v>0</v>
      </c>
      <c r="C9" s="7">
        <f>'V-FTE Mar'!C9/2</f>
        <v>0</v>
      </c>
      <c r="D9" s="7">
        <f>'V-FTE Mar'!D9/2</f>
        <v>0</v>
      </c>
      <c r="E9" s="7">
        <f>'V-FTE Mar'!E9/2</f>
        <v>0</v>
      </c>
      <c r="F9" s="7">
        <f>'V-FTE Mar'!F9/2</f>
        <v>0</v>
      </c>
      <c r="G9" s="7">
        <f>'V-FTE Mar'!G9/2</f>
        <v>0</v>
      </c>
      <c r="H9" s="7">
        <f>'V-FTE Mar'!H9/2</f>
        <v>0</v>
      </c>
      <c r="I9" s="7">
        <f>'V-FTE Mar'!I9/2</f>
        <v>0</v>
      </c>
      <c r="J9" s="7">
        <f>'V-FTE Mar'!J9/2</f>
        <v>0</v>
      </c>
      <c r="K9" s="7">
        <f>'V-FTE Mar'!K9/2</f>
        <v>0</v>
      </c>
      <c r="L9" s="7">
        <f>'V-FTE Mar'!L9/2</f>
        <v>0</v>
      </c>
      <c r="M9" s="7">
        <f>'V-FTE Mar'!M9/2</f>
        <v>0</v>
      </c>
      <c r="N9" s="7">
        <f>'V-FTE Mar'!N9/2</f>
        <v>0</v>
      </c>
      <c r="O9" s="7">
        <f>'V-FTE Mar'!O9/2</f>
        <v>0</v>
      </c>
      <c r="P9" s="7">
        <f>'V-FTE Mar'!P9/2</f>
        <v>0</v>
      </c>
      <c r="Q9" s="7">
        <f>'V-FTE Mar'!Q9/2</f>
        <v>0</v>
      </c>
      <c r="R9" s="7">
        <f>'V-FTE Mar'!R9/2</f>
        <v>0</v>
      </c>
      <c r="S9" s="7">
        <f>'V-FTE Mar'!S9/2</f>
        <v>0</v>
      </c>
      <c r="T9" s="7">
        <f>'V-FTE Mar'!T9/2</f>
        <v>0</v>
      </c>
      <c r="U9" s="7">
        <f>'V-FTE Mar'!U9/2</f>
        <v>0</v>
      </c>
      <c r="V9" s="7">
        <f>'V-FTE Mar'!V9/2</f>
        <v>0</v>
      </c>
      <c r="W9" s="7">
        <f>'V-FTE Mar'!W9/2</f>
        <v>0</v>
      </c>
      <c r="X9" s="7">
        <f>'V-FTE Mar'!X9/2</f>
        <v>0</v>
      </c>
      <c r="Y9" s="7">
        <f>'V-FTE Mar'!Y9/2</f>
        <v>0</v>
      </c>
      <c r="Z9" s="7">
        <f>'V-FTE Mar'!Z9/2</f>
        <v>0</v>
      </c>
      <c r="AA9" s="7">
        <f>'V-FTE Mar'!AA9/2</f>
        <v>0</v>
      </c>
      <c r="AB9" s="7">
        <f>'V-FTE Mar'!AB9/2</f>
        <v>0</v>
      </c>
      <c r="AC9" s="7">
        <f>'V-FTE Mar'!AC9/2</f>
        <v>0</v>
      </c>
      <c r="AD9" s="7">
        <f>'V-FTE Mar'!AD9/2</f>
        <v>0</v>
      </c>
      <c r="AE9" s="7">
        <f>'V-FTE Mar'!AE9/2</f>
        <v>0</v>
      </c>
    </row>
    <row r="10" spans="1:32" x14ac:dyDescent="0.25">
      <c r="A10" s="3" t="s">
        <v>15</v>
      </c>
      <c r="B10" s="7">
        <f>'V-FTE Mar'!B10/2</f>
        <v>0</v>
      </c>
      <c r="C10" s="7">
        <f>'V-FTE Mar'!C10/2</f>
        <v>0</v>
      </c>
      <c r="D10" s="7">
        <f>'V-FTE Mar'!D10/2</f>
        <v>0</v>
      </c>
      <c r="E10" s="7">
        <f>'V-FTE Mar'!E10/2</f>
        <v>0</v>
      </c>
      <c r="F10" s="7">
        <f>'V-FTE Mar'!F10/2</f>
        <v>0</v>
      </c>
      <c r="G10" s="7">
        <f>'V-FTE Mar'!G10/2</f>
        <v>0</v>
      </c>
      <c r="H10" s="7">
        <f>'V-FTE Mar'!H10/2</f>
        <v>0</v>
      </c>
      <c r="I10" s="7">
        <f>'V-FTE Mar'!I10/2</f>
        <v>0</v>
      </c>
      <c r="J10" s="7">
        <f>'V-FTE Mar'!J10/2</f>
        <v>0</v>
      </c>
      <c r="K10" s="7">
        <f>'V-FTE Mar'!K10/2</f>
        <v>0</v>
      </c>
      <c r="L10" s="7">
        <f>'V-FTE Mar'!L10/2</f>
        <v>0</v>
      </c>
      <c r="M10" s="7">
        <f>'V-FTE Mar'!M10/2</f>
        <v>0</v>
      </c>
      <c r="N10" s="7">
        <f>'V-FTE Mar'!N10/2</f>
        <v>0</v>
      </c>
      <c r="O10" s="7">
        <f>'V-FTE Mar'!O10/2</f>
        <v>0</v>
      </c>
      <c r="P10" s="7">
        <f>'V-FTE Mar'!P10/2</f>
        <v>0</v>
      </c>
      <c r="Q10" s="7">
        <f>'V-FTE Mar'!Q10/2</f>
        <v>0</v>
      </c>
      <c r="R10" s="7">
        <f>'V-FTE Mar'!R10/2</f>
        <v>0</v>
      </c>
      <c r="S10" s="7">
        <f>'V-FTE Mar'!S10/2</f>
        <v>0</v>
      </c>
      <c r="T10" s="7">
        <f>'V-FTE Mar'!T10/2</f>
        <v>0</v>
      </c>
      <c r="U10" s="7">
        <f>'V-FTE Mar'!U10/2</f>
        <v>0</v>
      </c>
      <c r="V10" s="7">
        <f>'V-FTE Mar'!V10/2</f>
        <v>0</v>
      </c>
      <c r="W10" s="7">
        <f>'V-FTE Mar'!W10/2</f>
        <v>0</v>
      </c>
      <c r="X10" s="7">
        <f>'V-FTE Mar'!X10/2</f>
        <v>0</v>
      </c>
      <c r="Y10" s="7">
        <f>'V-FTE Mar'!Y10/2</f>
        <v>0</v>
      </c>
      <c r="Z10" s="7">
        <f>'V-FTE Mar'!Z10/2</f>
        <v>0</v>
      </c>
      <c r="AA10" s="7">
        <f>'V-FTE Mar'!AA10/2</f>
        <v>0</v>
      </c>
      <c r="AB10" s="7">
        <f>'V-FTE Mar'!AB10/2</f>
        <v>0</v>
      </c>
      <c r="AC10" s="7">
        <f>'V-FTE Mar'!AC10/2</f>
        <v>0</v>
      </c>
      <c r="AD10" s="7">
        <f>'V-FTE Mar'!AD10/2</f>
        <v>0</v>
      </c>
      <c r="AE10" s="7">
        <f>'V-FTE Mar'!AE10/2</f>
        <v>0</v>
      </c>
    </row>
    <row r="11" spans="1:32" x14ac:dyDescent="0.25">
      <c r="A11" s="3" t="s">
        <v>16</v>
      </c>
      <c r="B11" s="7">
        <f>'V-FTE Mar'!B11/2</f>
        <v>0</v>
      </c>
      <c r="C11" s="7">
        <f>'V-FTE Mar'!C11/2</f>
        <v>0</v>
      </c>
      <c r="D11" s="7">
        <f>'V-FTE Mar'!D11/2</f>
        <v>0</v>
      </c>
      <c r="E11" s="7">
        <f>'V-FTE Mar'!E11/2</f>
        <v>0</v>
      </c>
      <c r="F11" s="7">
        <f>'V-FTE Mar'!F11/2</f>
        <v>0</v>
      </c>
      <c r="G11" s="7">
        <f>'V-FTE Mar'!G11/2</f>
        <v>0</v>
      </c>
      <c r="H11" s="7">
        <f>'V-FTE Mar'!H11/2</f>
        <v>0</v>
      </c>
      <c r="I11" s="7">
        <f>'V-FTE Mar'!I11/2</f>
        <v>0</v>
      </c>
      <c r="J11" s="7">
        <f>'V-FTE Mar'!J11/2</f>
        <v>0</v>
      </c>
      <c r="K11" s="7">
        <f>'V-FTE Mar'!K11/2</f>
        <v>0</v>
      </c>
      <c r="L11" s="7">
        <f>'V-FTE Mar'!L11/2</f>
        <v>0</v>
      </c>
      <c r="M11" s="7">
        <f>'V-FTE Mar'!M11/2</f>
        <v>0</v>
      </c>
      <c r="N11" s="7">
        <f>'V-FTE Mar'!N11/2</f>
        <v>0</v>
      </c>
      <c r="O11" s="7">
        <f>'V-FTE Mar'!O11/2</f>
        <v>0</v>
      </c>
      <c r="P11" s="7">
        <f>'V-FTE Mar'!P11/2</f>
        <v>0</v>
      </c>
      <c r="Q11" s="7">
        <f>'V-FTE Mar'!Q11/2</f>
        <v>0</v>
      </c>
      <c r="R11" s="7">
        <f>'V-FTE Mar'!R11/2</f>
        <v>0</v>
      </c>
      <c r="S11" s="7">
        <f>'V-FTE Mar'!S11/2</f>
        <v>0</v>
      </c>
      <c r="T11" s="7">
        <f>'V-FTE Mar'!T11/2</f>
        <v>0</v>
      </c>
      <c r="U11" s="7">
        <f>'V-FTE Mar'!U11/2</f>
        <v>0</v>
      </c>
      <c r="V11" s="7">
        <f>'V-FTE Mar'!V11/2</f>
        <v>0</v>
      </c>
      <c r="W11" s="7">
        <f>'V-FTE Mar'!W11/2</f>
        <v>0</v>
      </c>
      <c r="X11" s="7">
        <f>'V-FTE Mar'!X11/2</f>
        <v>0</v>
      </c>
      <c r="Y11" s="7">
        <f>'V-FTE Mar'!Y11/2</f>
        <v>0</v>
      </c>
      <c r="Z11" s="7">
        <f>'V-FTE Mar'!Z11/2</f>
        <v>0</v>
      </c>
      <c r="AA11" s="7">
        <f>'V-FTE Mar'!AA11/2</f>
        <v>0</v>
      </c>
      <c r="AB11" s="7">
        <f>'V-FTE Mar'!AB11/2</f>
        <v>0</v>
      </c>
      <c r="AC11" s="7">
        <f>'V-FTE Mar'!AC11/2</f>
        <v>0</v>
      </c>
      <c r="AD11" s="7">
        <f>'V-FTE Mar'!AD11/2</f>
        <v>0</v>
      </c>
      <c r="AE11" s="7">
        <f>'V-FTE Mar'!AE11/2</f>
        <v>0</v>
      </c>
    </row>
    <row r="12" spans="1:32" x14ac:dyDescent="0.25">
      <c r="A12" s="3" t="s">
        <v>17</v>
      </c>
      <c r="B12" s="7">
        <f>'V-FTE Mar'!B12/2</f>
        <v>0</v>
      </c>
      <c r="C12" s="7">
        <f>'V-FTE Mar'!C12/2</f>
        <v>0</v>
      </c>
      <c r="D12" s="7">
        <f>'V-FTE Mar'!D12/2</f>
        <v>0</v>
      </c>
      <c r="E12" s="7">
        <f>'V-FTE Mar'!E12/2</f>
        <v>0</v>
      </c>
      <c r="F12" s="7">
        <f>'V-FTE Mar'!F12/2</f>
        <v>0</v>
      </c>
      <c r="G12" s="7">
        <f>'V-FTE Mar'!G12/2</f>
        <v>0</v>
      </c>
      <c r="H12" s="7">
        <f>'V-FTE Mar'!H12/2</f>
        <v>0</v>
      </c>
      <c r="I12" s="7">
        <f>'V-FTE Mar'!I12/2</f>
        <v>0</v>
      </c>
      <c r="J12" s="7">
        <f>'V-FTE Mar'!J12/2</f>
        <v>0</v>
      </c>
      <c r="K12" s="7">
        <f>'V-FTE Mar'!K12/2</f>
        <v>0</v>
      </c>
      <c r="L12" s="7">
        <f>'V-FTE Mar'!L12/2</f>
        <v>0</v>
      </c>
      <c r="M12" s="7">
        <f>'V-FTE Mar'!M12/2</f>
        <v>0</v>
      </c>
      <c r="N12" s="7">
        <f>'V-FTE Mar'!N12/2</f>
        <v>0</v>
      </c>
      <c r="O12" s="7">
        <f>'V-FTE Mar'!O12/2</f>
        <v>0</v>
      </c>
      <c r="P12" s="7">
        <f>'V-FTE Mar'!P12/2</f>
        <v>0</v>
      </c>
      <c r="Q12" s="7">
        <f>'V-FTE Mar'!Q12/2</f>
        <v>0</v>
      </c>
      <c r="R12" s="7">
        <f>'V-FTE Mar'!R12/2</f>
        <v>0</v>
      </c>
      <c r="S12" s="7">
        <f>'V-FTE Mar'!S12/2</f>
        <v>0</v>
      </c>
      <c r="T12" s="7">
        <f>'V-FTE Mar'!T12/2</f>
        <v>0</v>
      </c>
      <c r="U12" s="7">
        <f>'V-FTE Mar'!U12/2</f>
        <v>0</v>
      </c>
      <c r="V12" s="7">
        <f>'V-FTE Mar'!V12/2</f>
        <v>0</v>
      </c>
      <c r="W12" s="7">
        <f>'V-FTE Mar'!W12/2</f>
        <v>0</v>
      </c>
      <c r="X12" s="7">
        <f>'V-FTE Mar'!X12/2</f>
        <v>0</v>
      </c>
      <c r="Y12" s="7">
        <f>'V-FTE Mar'!Y12/2</f>
        <v>0</v>
      </c>
      <c r="Z12" s="7">
        <f>'V-FTE Mar'!Z12/2</f>
        <v>0</v>
      </c>
      <c r="AA12" s="7">
        <f>'V-FTE Mar'!AA12/2</f>
        <v>0</v>
      </c>
      <c r="AB12" s="7">
        <f>'V-FTE Mar'!AB12/2</f>
        <v>0</v>
      </c>
      <c r="AC12" s="7">
        <f>'V-FTE Mar'!AC12/2</f>
        <v>0</v>
      </c>
      <c r="AD12" s="7">
        <f>'V-FTE Mar'!AD12/2</f>
        <v>0</v>
      </c>
      <c r="AE12" s="7">
        <f>'V-FTE Mar'!AE12/2</f>
        <v>0</v>
      </c>
    </row>
    <row r="13" spans="1:32" x14ac:dyDescent="0.25">
      <c r="A13" s="3" t="s">
        <v>18</v>
      </c>
      <c r="B13" s="7">
        <f>'V-FTE Mar'!B13/2</f>
        <v>0</v>
      </c>
      <c r="C13" s="7">
        <f>'V-FTE Mar'!C13/2</f>
        <v>0</v>
      </c>
      <c r="D13" s="7">
        <f>'V-FTE Mar'!D13/2</f>
        <v>0</v>
      </c>
      <c r="E13" s="7">
        <f>'V-FTE Mar'!E13/2</f>
        <v>0</v>
      </c>
      <c r="F13" s="7">
        <f>'V-FTE Mar'!F13/2</f>
        <v>0</v>
      </c>
      <c r="G13" s="7">
        <f>'V-FTE Mar'!G13/2</f>
        <v>0</v>
      </c>
      <c r="H13" s="7">
        <f>'V-FTE Mar'!H13/2</f>
        <v>0</v>
      </c>
      <c r="I13" s="7">
        <f>'V-FTE Mar'!I13/2</f>
        <v>0</v>
      </c>
      <c r="J13" s="7">
        <f>'V-FTE Mar'!J13/2</f>
        <v>0</v>
      </c>
      <c r="K13" s="7">
        <f>'V-FTE Mar'!K13/2</f>
        <v>0</v>
      </c>
      <c r="L13" s="7">
        <f>'V-FTE Mar'!L13/2</f>
        <v>0</v>
      </c>
      <c r="M13" s="7">
        <f>'V-FTE Mar'!M13/2</f>
        <v>0</v>
      </c>
      <c r="N13" s="7">
        <f>'V-FTE Mar'!N13/2</f>
        <v>0</v>
      </c>
      <c r="O13" s="7">
        <f>'V-FTE Mar'!O13/2</f>
        <v>0</v>
      </c>
      <c r="P13" s="7">
        <f>'V-FTE Mar'!P13/2</f>
        <v>0</v>
      </c>
      <c r="Q13" s="7">
        <f>'V-FTE Mar'!Q13/2</f>
        <v>0</v>
      </c>
      <c r="R13" s="7">
        <f>'V-FTE Mar'!R13/2</f>
        <v>0</v>
      </c>
      <c r="S13" s="7">
        <f>'V-FTE Mar'!S13/2</f>
        <v>0</v>
      </c>
      <c r="T13" s="7">
        <f>'V-FTE Mar'!T13/2</f>
        <v>0</v>
      </c>
      <c r="U13" s="7">
        <f>'V-FTE Mar'!U13/2</f>
        <v>0</v>
      </c>
      <c r="V13" s="7">
        <f>'V-FTE Mar'!V13/2</f>
        <v>0</v>
      </c>
      <c r="W13" s="7">
        <f>'V-FTE Mar'!W13/2</f>
        <v>0</v>
      </c>
      <c r="X13" s="7">
        <f>'V-FTE Mar'!X13/2</f>
        <v>0</v>
      </c>
      <c r="Y13" s="7">
        <f>'V-FTE Mar'!Y13/2</f>
        <v>0</v>
      </c>
      <c r="Z13" s="7">
        <f>'V-FTE Mar'!Z13/2</f>
        <v>0</v>
      </c>
      <c r="AA13" s="7">
        <f>'V-FTE Mar'!AA13/2</f>
        <v>0</v>
      </c>
      <c r="AB13" s="7">
        <f>'V-FTE Mar'!AB13/2</f>
        <v>0</v>
      </c>
      <c r="AC13" s="7">
        <f>'V-FTE Mar'!AC13/2</f>
        <v>0</v>
      </c>
      <c r="AD13" s="7">
        <f>'V-FTE Mar'!AD13/2</f>
        <v>0</v>
      </c>
      <c r="AE13" s="7">
        <f>'V-FTE Mar'!AE13/2</f>
        <v>0</v>
      </c>
    </row>
    <row r="14" spans="1:32" x14ac:dyDescent="0.25">
      <c r="A14" s="3" t="s">
        <v>19</v>
      </c>
      <c r="B14" s="7">
        <f>'V-FTE Mar'!B14/2</f>
        <v>0</v>
      </c>
      <c r="C14" s="7">
        <f>'V-FTE Mar'!C14/2</f>
        <v>0</v>
      </c>
      <c r="D14" s="7">
        <f>'V-FTE Mar'!D14/2</f>
        <v>0</v>
      </c>
      <c r="E14" s="7">
        <f>'V-FTE Mar'!E14/2</f>
        <v>0</v>
      </c>
      <c r="F14" s="7">
        <f>'V-FTE Mar'!F14/2</f>
        <v>0</v>
      </c>
      <c r="G14" s="7">
        <f>'V-FTE Mar'!G14/2</f>
        <v>0</v>
      </c>
      <c r="H14" s="7">
        <f>'V-FTE Mar'!H14/2</f>
        <v>0</v>
      </c>
      <c r="I14" s="7">
        <f>'V-FTE Mar'!I14/2</f>
        <v>0</v>
      </c>
      <c r="J14" s="7">
        <f>'V-FTE Mar'!J14/2</f>
        <v>0</v>
      </c>
      <c r="K14" s="7">
        <f>'V-FTE Mar'!K14/2</f>
        <v>0</v>
      </c>
      <c r="L14" s="7">
        <f>'V-FTE Mar'!L14/2</f>
        <v>0</v>
      </c>
      <c r="M14" s="7">
        <f>'V-FTE Mar'!M14/2</f>
        <v>0</v>
      </c>
      <c r="N14" s="7">
        <f>'V-FTE Mar'!N14/2</f>
        <v>0</v>
      </c>
      <c r="O14" s="7">
        <f>'V-FTE Mar'!O14/2</f>
        <v>0</v>
      </c>
      <c r="P14" s="7">
        <f>'V-FTE Mar'!P14/2</f>
        <v>0</v>
      </c>
      <c r="Q14" s="7">
        <f>'V-FTE Mar'!Q14/2</f>
        <v>0</v>
      </c>
      <c r="R14" s="7">
        <f>'V-FTE Mar'!R14/2</f>
        <v>0</v>
      </c>
      <c r="S14" s="7">
        <f>'V-FTE Mar'!S14/2</f>
        <v>0</v>
      </c>
      <c r="T14" s="7">
        <f>'V-FTE Mar'!T14/2</f>
        <v>0</v>
      </c>
      <c r="U14" s="7">
        <f>'V-FTE Mar'!U14/2</f>
        <v>0</v>
      </c>
      <c r="V14" s="7">
        <f>'V-FTE Mar'!V14/2</f>
        <v>0</v>
      </c>
      <c r="W14" s="7">
        <f>'V-FTE Mar'!W14/2</f>
        <v>0</v>
      </c>
      <c r="X14" s="7">
        <f>'V-FTE Mar'!X14/2</f>
        <v>0</v>
      </c>
      <c r="Y14" s="7">
        <f>'V-FTE Mar'!Y14/2</f>
        <v>0</v>
      </c>
      <c r="Z14" s="7">
        <f>'V-FTE Mar'!Z14/2</f>
        <v>0</v>
      </c>
      <c r="AA14" s="7">
        <f>'V-FTE Mar'!AA14/2</f>
        <v>0</v>
      </c>
      <c r="AB14" s="7">
        <f>'V-FTE Mar'!AB14/2</f>
        <v>0</v>
      </c>
      <c r="AC14" s="7">
        <f>'V-FTE Mar'!AC14/2</f>
        <v>0</v>
      </c>
      <c r="AD14" s="7">
        <f>'V-FTE Mar'!AD14/2</f>
        <v>0</v>
      </c>
      <c r="AE14" s="7">
        <f>'V-FTE Mar'!AE14/2</f>
        <v>0</v>
      </c>
    </row>
    <row r="15" spans="1:32" x14ac:dyDescent="0.25">
      <c r="A15" s="3" t="s">
        <v>20</v>
      </c>
      <c r="B15" s="7">
        <f>'V-FTE Mar'!B15/2</f>
        <v>0</v>
      </c>
      <c r="C15" s="7">
        <f>'V-FTE Mar'!C15/2</f>
        <v>0</v>
      </c>
      <c r="D15" s="7">
        <f>'V-FTE Mar'!D15/2</f>
        <v>0</v>
      </c>
      <c r="E15" s="7">
        <f>'V-FTE Mar'!E15/2</f>
        <v>0</v>
      </c>
      <c r="F15" s="7">
        <f>'V-FTE Mar'!F15/2</f>
        <v>0</v>
      </c>
      <c r="G15" s="7">
        <f>'V-FTE Mar'!G15/2</f>
        <v>0</v>
      </c>
      <c r="H15" s="7">
        <f>'V-FTE Mar'!H15/2</f>
        <v>0</v>
      </c>
      <c r="I15" s="7">
        <f>'V-FTE Mar'!I15/2</f>
        <v>0</v>
      </c>
      <c r="J15" s="7">
        <f>'V-FTE Mar'!J15/2</f>
        <v>0</v>
      </c>
      <c r="K15" s="7">
        <f>'V-FTE Mar'!K15/2</f>
        <v>0</v>
      </c>
      <c r="L15" s="7">
        <f>'V-FTE Mar'!L15/2</f>
        <v>0</v>
      </c>
      <c r="M15" s="7">
        <f>'V-FTE Mar'!M15/2</f>
        <v>0</v>
      </c>
      <c r="N15" s="7">
        <f>'V-FTE Mar'!N15/2</f>
        <v>0</v>
      </c>
      <c r="O15" s="7">
        <f>'V-FTE Mar'!O15/2</f>
        <v>0</v>
      </c>
      <c r="P15" s="7">
        <f>'V-FTE Mar'!P15/2</f>
        <v>0</v>
      </c>
      <c r="Q15" s="7">
        <f>'V-FTE Mar'!Q15/2</f>
        <v>0</v>
      </c>
      <c r="R15" s="7">
        <f>'V-FTE Mar'!R15/2</f>
        <v>0</v>
      </c>
      <c r="S15" s="7">
        <f>'V-FTE Mar'!S15/2</f>
        <v>0</v>
      </c>
      <c r="T15" s="7">
        <f>'V-FTE Mar'!T15/2</f>
        <v>0</v>
      </c>
      <c r="U15" s="7">
        <f>'V-FTE Mar'!U15/2</f>
        <v>0</v>
      </c>
      <c r="V15" s="7">
        <f>'V-FTE Mar'!V15/2</f>
        <v>0</v>
      </c>
      <c r="W15" s="7">
        <f>'V-FTE Mar'!W15/2</f>
        <v>0</v>
      </c>
      <c r="X15" s="7">
        <f>'V-FTE Mar'!X15/2</f>
        <v>0</v>
      </c>
      <c r="Y15" s="7">
        <f>'V-FTE Mar'!Y15/2</f>
        <v>0</v>
      </c>
      <c r="Z15" s="7">
        <f>'V-FTE Mar'!Z15/2</f>
        <v>0</v>
      </c>
      <c r="AA15" s="7">
        <f>'V-FTE Mar'!AA15/2</f>
        <v>0</v>
      </c>
      <c r="AB15" s="7">
        <f>'V-FTE Mar'!AB15/2</f>
        <v>0</v>
      </c>
      <c r="AC15" s="7">
        <f>'V-FTE Mar'!AC15/2</f>
        <v>0</v>
      </c>
      <c r="AD15" s="7">
        <f>'V-FTE Mar'!AD15/2</f>
        <v>0</v>
      </c>
      <c r="AE15" s="7">
        <f>'V-FTE Mar'!AE15/2</f>
        <v>0</v>
      </c>
    </row>
    <row r="16" spans="1:32" x14ac:dyDescent="0.25">
      <c r="A16" s="3" t="s">
        <v>21</v>
      </c>
      <c r="B16" s="7">
        <f>'V-FTE Mar'!B16/2</f>
        <v>0</v>
      </c>
      <c r="C16" s="7">
        <f>'V-FTE Mar'!C16/2</f>
        <v>0</v>
      </c>
      <c r="D16" s="7">
        <f>'V-FTE Mar'!D16/2</f>
        <v>0</v>
      </c>
      <c r="E16" s="7">
        <f>'V-FTE Mar'!E16/2</f>
        <v>0</v>
      </c>
      <c r="F16" s="7">
        <f>'V-FTE Mar'!F16/2</f>
        <v>0</v>
      </c>
      <c r="G16" s="7">
        <f>'V-FTE Mar'!G16/2</f>
        <v>0</v>
      </c>
      <c r="H16" s="7">
        <f>'V-FTE Mar'!H16/2</f>
        <v>0</v>
      </c>
      <c r="I16" s="7">
        <f>'V-FTE Mar'!I16/2</f>
        <v>0</v>
      </c>
      <c r="J16" s="7">
        <f>'V-FTE Mar'!J16/2</f>
        <v>0</v>
      </c>
      <c r="K16" s="7">
        <f>'V-FTE Mar'!K16/2</f>
        <v>0</v>
      </c>
      <c r="L16" s="7">
        <f>'V-FTE Mar'!L16/2</f>
        <v>0</v>
      </c>
      <c r="M16" s="7">
        <f>'V-FTE Mar'!M16/2</f>
        <v>0</v>
      </c>
      <c r="N16" s="7">
        <f>'V-FTE Mar'!N16/2</f>
        <v>0</v>
      </c>
      <c r="O16" s="7">
        <f>'V-FTE Mar'!O16/2</f>
        <v>0</v>
      </c>
      <c r="P16" s="7">
        <f>'V-FTE Mar'!P16/2</f>
        <v>0</v>
      </c>
      <c r="Q16" s="7">
        <f>'V-FTE Mar'!Q16/2</f>
        <v>0</v>
      </c>
      <c r="R16" s="7">
        <f>'V-FTE Mar'!R16/2</f>
        <v>0</v>
      </c>
      <c r="S16" s="7">
        <f>'V-FTE Mar'!S16/2</f>
        <v>0</v>
      </c>
      <c r="T16" s="7">
        <f>'V-FTE Mar'!T16/2</f>
        <v>0</v>
      </c>
      <c r="U16" s="7">
        <f>'V-FTE Mar'!U16/2</f>
        <v>0</v>
      </c>
      <c r="V16" s="7">
        <f>'V-FTE Mar'!V16/2</f>
        <v>0</v>
      </c>
      <c r="W16" s="7">
        <f>'V-FTE Mar'!W16/2</f>
        <v>0</v>
      </c>
      <c r="X16" s="7">
        <f>'V-FTE Mar'!X16/2</f>
        <v>0</v>
      </c>
      <c r="Y16" s="7">
        <f>'V-FTE Mar'!Y16/2</f>
        <v>0</v>
      </c>
      <c r="Z16" s="7">
        <f>'V-FTE Mar'!Z16/2</f>
        <v>0</v>
      </c>
      <c r="AA16" s="7">
        <f>'V-FTE Mar'!AA16/2</f>
        <v>0</v>
      </c>
      <c r="AB16" s="7">
        <f>'V-FTE Mar'!AB16/2</f>
        <v>0</v>
      </c>
      <c r="AC16" s="7">
        <f>'V-FTE Mar'!AC16/2</f>
        <v>0</v>
      </c>
      <c r="AD16" s="7">
        <f>'V-FTE Mar'!AD16/2</f>
        <v>0</v>
      </c>
      <c r="AE16" s="7">
        <f>'V-FTE Mar'!AE16/2</f>
        <v>0</v>
      </c>
    </row>
    <row r="17" spans="1:32" x14ac:dyDescent="0.25">
      <c r="A17" s="3" t="s">
        <v>22</v>
      </c>
      <c r="B17" s="7">
        <f>'V-FTE Mar'!B17/2</f>
        <v>0</v>
      </c>
      <c r="C17" s="7">
        <f>'V-FTE Mar'!C17/2</f>
        <v>0</v>
      </c>
      <c r="D17" s="7">
        <f>'V-FTE Mar'!D17/2</f>
        <v>0</v>
      </c>
      <c r="E17" s="7">
        <f>'V-FTE Mar'!E17/2</f>
        <v>0</v>
      </c>
      <c r="F17" s="7">
        <f>'V-FTE Mar'!F17/2</f>
        <v>0</v>
      </c>
      <c r="G17" s="7">
        <f>'V-FTE Mar'!G17/2</f>
        <v>0</v>
      </c>
      <c r="H17" s="7">
        <f>'V-FTE Mar'!H17/2</f>
        <v>0</v>
      </c>
      <c r="I17" s="7">
        <f>'V-FTE Mar'!I17/2</f>
        <v>0</v>
      </c>
      <c r="J17" s="7">
        <f>'V-FTE Mar'!J17/2</f>
        <v>0</v>
      </c>
      <c r="K17" s="7">
        <f>'V-FTE Mar'!K17/2</f>
        <v>0</v>
      </c>
      <c r="L17" s="7">
        <f>'V-FTE Mar'!L17/2</f>
        <v>0</v>
      </c>
      <c r="M17" s="7">
        <f>'V-FTE Mar'!M17/2</f>
        <v>0</v>
      </c>
      <c r="N17" s="7">
        <f>'V-FTE Mar'!N17/2</f>
        <v>0</v>
      </c>
      <c r="O17" s="7">
        <f>'V-FTE Mar'!O17/2</f>
        <v>0</v>
      </c>
      <c r="P17" s="7">
        <f>'V-FTE Mar'!P17/2</f>
        <v>0</v>
      </c>
      <c r="Q17" s="7">
        <f>'V-FTE Mar'!Q17/2</f>
        <v>0</v>
      </c>
      <c r="R17" s="7">
        <f>'V-FTE Mar'!R17/2</f>
        <v>0</v>
      </c>
      <c r="S17" s="7">
        <f>'V-FTE Mar'!S17/2</f>
        <v>0</v>
      </c>
      <c r="T17" s="7">
        <f>'V-FTE Mar'!T17/2</f>
        <v>0</v>
      </c>
      <c r="U17" s="7">
        <f>'V-FTE Mar'!U17/2</f>
        <v>0</v>
      </c>
      <c r="V17" s="7">
        <f>'V-FTE Mar'!V17/2</f>
        <v>0</v>
      </c>
      <c r="W17" s="7">
        <f>'V-FTE Mar'!W17/2</f>
        <v>0</v>
      </c>
      <c r="X17" s="7">
        <f>'V-FTE Mar'!X17/2</f>
        <v>0</v>
      </c>
      <c r="Y17" s="7">
        <f>'V-FTE Mar'!Y17/2</f>
        <v>0</v>
      </c>
      <c r="Z17" s="7">
        <f>'V-FTE Mar'!Z17/2</f>
        <v>0</v>
      </c>
      <c r="AA17" s="7">
        <f>'V-FTE Mar'!AA17/2</f>
        <v>0</v>
      </c>
      <c r="AB17" s="7">
        <f>'V-FTE Mar'!AB17/2</f>
        <v>0</v>
      </c>
      <c r="AC17" s="7">
        <f>'V-FTE Mar'!AC17/2</f>
        <v>0</v>
      </c>
      <c r="AD17" s="7">
        <f>'V-FTE Mar'!AD17/2</f>
        <v>0</v>
      </c>
      <c r="AE17" s="7">
        <f>'V-FTE Mar'!AE17/2</f>
        <v>0</v>
      </c>
    </row>
    <row r="18" spans="1:32" x14ac:dyDescent="0.25">
      <c r="A18" s="3" t="s">
        <v>23</v>
      </c>
      <c r="B18" s="7">
        <f>'V-FTE Mar'!B18/2</f>
        <v>0</v>
      </c>
      <c r="C18" s="7">
        <f>'V-FTE Mar'!C18/2</f>
        <v>0</v>
      </c>
      <c r="D18" s="7">
        <f>'V-FTE Mar'!D18/2</f>
        <v>0</v>
      </c>
      <c r="E18" s="7">
        <f>'V-FTE Mar'!E18/2</f>
        <v>0</v>
      </c>
      <c r="F18" s="7">
        <f>'V-FTE Mar'!F18/2</f>
        <v>0</v>
      </c>
      <c r="G18" s="7">
        <f>'V-FTE Mar'!G18/2</f>
        <v>0</v>
      </c>
      <c r="H18" s="7">
        <f>'V-FTE Mar'!H18/2</f>
        <v>0</v>
      </c>
      <c r="I18" s="7">
        <f>'V-FTE Mar'!I18/2</f>
        <v>0</v>
      </c>
      <c r="J18" s="7">
        <f>'V-FTE Mar'!J18/2</f>
        <v>0</v>
      </c>
      <c r="K18" s="7">
        <f>'V-FTE Mar'!K18/2</f>
        <v>0</v>
      </c>
      <c r="L18" s="7">
        <f>'V-FTE Mar'!L18/2</f>
        <v>0</v>
      </c>
      <c r="M18" s="7">
        <f>'V-FTE Mar'!M18/2</f>
        <v>0</v>
      </c>
      <c r="N18" s="7">
        <f>'V-FTE Mar'!N18/2</f>
        <v>0</v>
      </c>
      <c r="O18" s="7">
        <f>'V-FTE Mar'!O18/2</f>
        <v>0</v>
      </c>
      <c r="P18" s="7">
        <f>'V-FTE Mar'!P18/2</f>
        <v>0</v>
      </c>
      <c r="Q18" s="7">
        <f>'V-FTE Mar'!Q18/2</f>
        <v>0</v>
      </c>
      <c r="R18" s="7">
        <f>'V-FTE Mar'!R18/2</f>
        <v>0</v>
      </c>
      <c r="S18" s="7">
        <f>'V-FTE Mar'!S18/2</f>
        <v>0</v>
      </c>
      <c r="T18" s="7">
        <f>'V-FTE Mar'!T18/2</f>
        <v>0</v>
      </c>
      <c r="U18" s="7">
        <f>'V-FTE Mar'!U18/2</f>
        <v>0</v>
      </c>
      <c r="V18" s="7">
        <f>'V-FTE Mar'!V18/2</f>
        <v>0</v>
      </c>
      <c r="W18" s="7">
        <f>'V-FTE Mar'!W18/2</f>
        <v>0</v>
      </c>
      <c r="X18" s="7">
        <f>'V-FTE Mar'!X18/2</f>
        <v>0</v>
      </c>
      <c r="Y18" s="7">
        <f>'V-FTE Mar'!Y18/2</f>
        <v>0</v>
      </c>
      <c r="Z18" s="7">
        <f>'V-FTE Mar'!Z18/2</f>
        <v>0</v>
      </c>
      <c r="AA18" s="7">
        <f>'V-FTE Mar'!AA18/2</f>
        <v>0</v>
      </c>
      <c r="AB18" s="7">
        <f>'V-FTE Mar'!AB18/2</f>
        <v>0</v>
      </c>
      <c r="AC18" s="7">
        <f>'V-FTE Mar'!AC18/2</f>
        <v>0</v>
      </c>
      <c r="AD18" s="7">
        <f>'V-FTE Mar'!AD18/2</f>
        <v>0</v>
      </c>
      <c r="AE18" s="7">
        <f>'V-FTE Mar'!AE18/2</f>
        <v>0</v>
      </c>
    </row>
    <row r="19" spans="1:32" x14ac:dyDescent="0.25">
      <c r="A19" s="3" t="s">
        <v>24</v>
      </c>
      <c r="B19" s="7">
        <f>'V-FTE Mar'!B19/2</f>
        <v>0</v>
      </c>
      <c r="C19" s="7">
        <f>'V-FTE Mar'!C19/2</f>
        <v>4.3133556105248516</v>
      </c>
      <c r="D19" s="7">
        <f>'V-FTE Mar'!D19/2</f>
        <v>2.8572228000112418</v>
      </c>
      <c r="E19" s="7">
        <f>'V-FTE Mar'!E19/2</f>
        <v>2.1917050549998667</v>
      </c>
      <c r="F19" s="7">
        <f>'V-FTE Mar'!F19/2</f>
        <v>2.5019464098171995</v>
      </c>
      <c r="G19" s="7">
        <f>'V-FTE Mar'!G19/2</f>
        <v>2.637051515947328</v>
      </c>
      <c r="H19" s="7">
        <f>'V-FTE Mar'!H19/2</f>
        <v>0</v>
      </c>
      <c r="I19" s="7">
        <f>'V-FTE Mar'!I19/2</f>
        <v>0</v>
      </c>
      <c r="J19" s="7">
        <f>'V-FTE Mar'!J19/2</f>
        <v>3.9730908987897129</v>
      </c>
      <c r="K19" s="7">
        <f>'V-FTE Mar'!K19/2</f>
        <v>2.2267323047373075</v>
      </c>
      <c r="L19" s="7">
        <f>'V-FTE Mar'!L19/2</f>
        <v>2.0365843775912005</v>
      </c>
      <c r="M19" s="7">
        <f>'V-FTE Mar'!M19/2</f>
        <v>2.3368179467692642</v>
      </c>
      <c r="N19" s="7">
        <f>'V-FTE Mar'!N19/2</f>
        <v>2.3067945898514579</v>
      </c>
      <c r="O19" s="7">
        <f>'V-FTE Mar'!O19/2</f>
        <v>0</v>
      </c>
      <c r="P19" s="7">
        <f>'V-FTE Mar'!P19/2</f>
        <v>0</v>
      </c>
      <c r="Q19" s="7">
        <f>'V-FTE Mar'!Q19/2</f>
        <v>3.8029585429221431</v>
      </c>
      <c r="R19" s="7">
        <f>'V-FTE Mar'!R19/2</f>
        <v>2.2267323047373075</v>
      </c>
      <c r="S19" s="7">
        <f>'V-FTE Mar'!S19/2</f>
        <v>2.1917050549998667</v>
      </c>
      <c r="T19" s="7">
        <f>'V-FTE Mar'!T19/2</f>
        <v>2.3368179467692642</v>
      </c>
      <c r="U19" s="7">
        <f>'V-FTE Mar'!U19/2</f>
        <v>2.3067945898514579</v>
      </c>
      <c r="V19" s="7">
        <f>'V-FTE Mar'!V19/2</f>
        <v>0</v>
      </c>
      <c r="W19" s="7">
        <f>'V-FTE Mar'!W19/2</f>
        <v>0</v>
      </c>
      <c r="X19" s="7">
        <f>'V-FTE Mar'!X19/2</f>
        <v>3.9730908987897129</v>
      </c>
      <c r="Y19" s="7">
        <f>'V-FTE Mar'!Y19/2</f>
        <v>2.2267323047373075</v>
      </c>
      <c r="Z19" s="7">
        <f>'V-FTE Mar'!Z19/2</f>
        <v>2.1917050549998667</v>
      </c>
      <c r="AA19" s="7">
        <f>'V-FTE Mar'!AA19/2</f>
        <v>2.3368179467692642</v>
      </c>
      <c r="AB19" s="7">
        <f>'V-FTE Mar'!AB19/2</f>
        <v>2.4719230528993932</v>
      </c>
      <c r="AC19" s="7">
        <f>'V-FTE Mar'!AC19/2</f>
        <v>0</v>
      </c>
      <c r="AD19" s="7">
        <f>'V-FTE Mar'!AD19/2</f>
        <v>0</v>
      </c>
      <c r="AE19" s="7">
        <f>'V-FTE Mar'!AE19/2</f>
        <v>3.9730908987897129</v>
      </c>
      <c r="AF19" s="7">
        <f>'V-FTE Mar'!AF19/2</f>
        <v>2.3868568749656078</v>
      </c>
    </row>
    <row r="20" spans="1:32" x14ac:dyDescent="0.25">
      <c r="A20" s="3" t="s">
        <v>25</v>
      </c>
      <c r="B20" s="7">
        <f>'V-FTE Mar'!B20/2</f>
        <v>0</v>
      </c>
      <c r="C20" s="7">
        <f>'V-FTE Mar'!C20/2</f>
        <v>8.23640758111822</v>
      </c>
      <c r="D20" s="7">
        <f>'V-FTE Mar'!D20/2</f>
        <v>5.1690212826823343</v>
      </c>
      <c r="E20" s="7">
        <f>'V-FTE Mar'!E20/2</f>
        <v>4.3433789674426579</v>
      </c>
      <c r="F20" s="7">
        <f>'V-FTE Mar'!F20/2</f>
        <v>4.5085074304905932</v>
      </c>
      <c r="G20" s="7">
        <f>'V-FTE Mar'!G20/2</f>
        <v>4.6986553576367012</v>
      </c>
      <c r="H20" s="7">
        <f>'V-FTE Mar'!H20/2</f>
        <v>0</v>
      </c>
      <c r="I20" s="7">
        <f>'V-FTE Mar'!I20/2</f>
        <v>0</v>
      </c>
      <c r="J20" s="7">
        <f>'V-FTE Mar'!J20/2</f>
        <v>6.8803526269972988</v>
      </c>
      <c r="K20" s="7">
        <f>'V-FTE Mar'!K20/2</f>
        <v>3.9830986844289811</v>
      </c>
      <c r="L20" s="7">
        <f>'V-FTE Mar'!L20/2</f>
        <v>4.1682427187554545</v>
      </c>
      <c r="M20" s="7">
        <f>'V-FTE Mar'!M20/2</f>
        <v>4.5085074304905932</v>
      </c>
      <c r="N20" s="7">
        <f>'V-FTE Mar'!N20/2</f>
        <v>4.3283672889837552</v>
      </c>
      <c r="O20" s="7">
        <f>'V-FTE Mar'!O20/2</f>
        <v>0</v>
      </c>
      <c r="P20" s="7">
        <f>'V-FTE Mar'!P20/2</f>
        <v>0</v>
      </c>
      <c r="Q20" s="7">
        <f>'V-FTE Mar'!Q20/2</f>
        <v>6.6902046998511908</v>
      </c>
      <c r="R20" s="7">
        <f>'V-FTE Mar'!R20/2</f>
        <v>3.9830986844289811</v>
      </c>
      <c r="S20" s="7">
        <f>'V-FTE Mar'!S20/2</f>
        <v>4.3433789674426579</v>
      </c>
      <c r="T20" s="7">
        <f>'V-FTE Mar'!T20/2</f>
        <v>4.3233633961641207</v>
      </c>
      <c r="U20" s="7">
        <f>'V-FTE Mar'!U20/2</f>
        <v>4.3283672889837552</v>
      </c>
      <c r="V20" s="7">
        <f>'V-FTE Mar'!V20/2</f>
        <v>0</v>
      </c>
      <c r="W20" s="7">
        <f>'V-FTE Mar'!W20/2</f>
        <v>0</v>
      </c>
      <c r="X20" s="7">
        <f>'V-FTE Mar'!X20/2</f>
        <v>6.8803526269972988</v>
      </c>
      <c r="Y20" s="7">
        <f>'V-FTE Mar'!Y20/2</f>
        <v>4.1532310402965509</v>
      </c>
      <c r="Z20" s="7">
        <f>'V-FTE Mar'!Z20/2</f>
        <v>4.5235191089494959</v>
      </c>
      <c r="AA20" s="7">
        <f>'V-FTE Mar'!AA20/2</f>
        <v>4.6936514648170666</v>
      </c>
      <c r="AB20" s="7">
        <f>'V-FTE Mar'!AB20/2</f>
        <v>4.5135113233102278</v>
      </c>
      <c r="AC20" s="7">
        <f>'V-FTE Mar'!AC20/2</f>
        <v>0</v>
      </c>
      <c r="AD20" s="7">
        <f>'V-FTE Mar'!AD20/2</f>
        <v>0</v>
      </c>
      <c r="AE20" s="7">
        <f>'V-FTE Mar'!AE20/2</f>
        <v>7.270656266928782</v>
      </c>
      <c r="AF20" s="7">
        <f>'V-FTE Mar'!AF20/2</f>
        <v>4.3233633961641207</v>
      </c>
    </row>
    <row r="21" spans="1:32" x14ac:dyDescent="0.25">
      <c r="A21" s="3" t="s">
        <v>26</v>
      </c>
      <c r="B21" s="7">
        <f>'V-FTE Mar'!B21/2</f>
        <v>0</v>
      </c>
      <c r="C21" s="7">
        <f>'V-FTE Mar'!C21/2</f>
        <v>17.43356258360625</v>
      </c>
      <c r="D21" s="7">
        <f>'V-FTE Mar'!D21/2</f>
        <v>11.223731594439958</v>
      </c>
      <c r="E21" s="7">
        <f>'V-FTE Mar'!E21/2</f>
        <v>9.0720576819971654</v>
      </c>
      <c r="F21" s="7">
        <f>'V-FTE Mar'!F21/2</f>
        <v>9.4323379650108432</v>
      </c>
      <c r="G21" s="7">
        <f>'V-FTE Mar'!G21/2</f>
        <v>9.5224080357642613</v>
      </c>
      <c r="H21" s="7">
        <f>'V-FTE Mar'!H21/2</f>
        <v>2.8872461569290482</v>
      </c>
      <c r="I21" s="7">
        <f>'V-FTE Mar'!I21/2</f>
        <v>0</v>
      </c>
      <c r="J21" s="7">
        <f>'V-FTE Mar'!J21/2</f>
        <v>12.779942261346253</v>
      </c>
      <c r="K21" s="7">
        <f>'V-FTE Mar'!K21/2</f>
        <v>7.786057227351125</v>
      </c>
      <c r="L21" s="7">
        <f>'V-FTE Mar'!L21/2</f>
        <v>7.7160027278762433</v>
      </c>
      <c r="M21" s="7">
        <f>'V-FTE Mar'!M21/2</f>
        <v>7.8861350837438122</v>
      </c>
      <c r="N21" s="7">
        <f>'V-FTE Mar'!N21/2</f>
        <v>7.7660416560725869</v>
      </c>
      <c r="O21" s="7">
        <f>'V-FTE Mar'!O21/2</f>
        <v>2.3768490893263392</v>
      </c>
      <c r="P21" s="7">
        <f>'V-FTE Mar'!P21/2</f>
        <v>0</v>
      </c>
      <c r="Q21" s="7">
        <f>'V-FTE Mar'!Q21/2</f>
        <v>12.374626942955869</v>
      </c>
      <c r="R21" s="7">
        <f>'V-FTE Mar'!R21/2</f>
        <v>7.6059170858442862</v>
      </c>
      <c r="S21" s="7">
        <f>'V-FTE Mar'!S21/2</f>
        <v>7.9111545478419849</v>
      </c>
      <c r="T21" s="7">
        <f>'V-FTE Mar'!T21/2</f>
        <v>7.6909832637780715</v>
      </c>
      <c r="U21" s="7">
        <f>'V-FTE Mar'!U21/2</f>
        <v>7.9611934760383285</v>
      </c>
      <c r="V21" s="7">
        <f>'V-FTE Mar'!V21/2</f>
        <v>2.2067167334587698</v>
      </c>
      <c r="W21" s="7">
        <f>'V-FTE Mar'!W21/2</f>
        <v>0</v>
      </c>
      <c r="X21" s="7">
        <f>'V-FTE Mar'!X21/2</f>
        <v>12.779942261346253</v>
      </c>
      <c r="Y21" s="7">
        <f>'V-FTE Mar'!Y21/2</f>
        <v>7.786057227351125</v>
      </c>
      <c r="Z21" s="7">
        <f>'V-FTE Mar'!Z21/2</f>
        <v>8.2964542949538327</v>
      </c>
      <c r="AA21" s="7">
        <f>'V-FTE Mar'!AA21/2</f>
        <v>8.2714348308556609</v>
      </c>
      <c r="AB21" s="7">
        <f>'V-FTE Mar'!AB21/2</f>
        <v>8.3514971159698117</v>
      </c>
      <c r="AC21" s="7">
        <f>'V-FTE Mar'!AC21/2</f>
        <v>2.546981445193909</v>
      </c>
      <c r="AD21" s="7">
        <f>'V-FTE Mar'!AD21/2</f>
        <v>0</v>
      </c>
      <c r="AE21" s="7">
        <f>'V-FTE Mar'!AE21/2</f>
        <v>13.185257579736641</v>
      </c>
      <c r="AF21" s="7">
        <f>'V-FTE Mar'!AF21/2</f>
        <v>8.5116216861981133</v>
      </c>
    </row>
    <row r="22" spans="1:32" x14ac:dyDescent="0.25">
      <c r="A22" s="3" t="s">
        <v>27</v>
      </c>
      <c r="B22" s="7">
        <f>'V-FTE Mar'!B22/2</f>
        <v>0</v>
      </c>
      <c r="C22" s="7">
        <f>'V-FTE Mar'!C22/2</f>
        <v>23.898592106573886</v>
      </c>
      <c r="D22" s="7">
        <f>'V-FTE Mar'!D22/2</f>
        <v>17.333484727213559</v>
      </c>
      <c r="E22" s="7">
        <f>'V-FTE Mar'!E22/2</f>
        <v>15.637165061357496</v>
      </c>
      <c r="F22" s="7">
        <f>'V-FTE Mar'!F22/2</f>
        <v>14.966643423526488</v>
      </c>
      <c r="G22" s="7">
        <f>'V-FTE Mar'!G22/2</f>
        <v>14.20605171494206</v>
      </c>
      <c r="H22" s="7">
        <f>'V-FTE Mar'!H22/2</f>
        <v>4.6686320007188948</v>
      </c>
      <c r="I22" s="7">
        <f>'V-FTE Mar'!I22/2</f>
        <v>0</v>
      </c>
      <c r="J22" s="7">
        <f>'V-FTE Mar'!J22/2</f>
        <v>19.615259852966844</v>
      </c>
      <c r="K22" s="7">
        <f>'V-FTE Mar'!K22/2</f>
        <v>12.369623050136234</v>
      </c>
      <c r="L22" s="7">
        <f>'V-FTE Mar'!L22/2</f>
        <v>12.209498479907932</v>
      </c>
      <c r="M22" s="7">
        <f>'V-FTE Mar'!M22/2</f>
        <v>11.85422208971389</v>
      </c>
      <c r="N22" s="7">
        <f>'V-FTE Mar'!N22/2</f>
        <v>11.774159804599741</v>
      </c>
      <c r="O22" s="7">
        <f>'V-FTE Mar'!O22/2</f>
        <v>3.7429118290865309</v>
      </c>
      <c r="P22" s="7">
        <f>'V-FTE Mar'!P22/2</f>
        <v>0</v>
      </c>
      <c r="Q22" s="7">
        <f>'V-FTE Mar'!Q22/2</f>
        <v>18.969757679234004</v>
      </c>
      <c r="R22" s="7">
        <f>'V-FTE Mar'!R22/2</f>
        <v>11.969311624565483</v>
      </c>
      <c r="S22" s="7">
        <f>'V-FTE Mar'!S22/2</f>
        <v>12.424665871152211</v>
      </c>
      <c r="T22" s="7">
        <f>'V-FTE Mar'!T22/2</f>
        <v>11.433895092864603</v>
      </c>
      <c r="U22" s="7">
        <f>'V-FTE Mar'!U22/2</f>
        <v>11.974315517385117</v>
      </c>
      <c r="V22" s="7">
        <f>'V-FTE Mar'!V22/2</f>
        <v>3.5577677947600574</v>
      </c>
      <c r="W22" s="7">
        <f>'V-FTE Mar'!W22/2</f>
        <v>0</v>
      </c>
      <c r="X22" s="7">
        <f>'V-FTE Mar'!X22/2</f>
        <v>19.615259852966844</v>
      </c>
      <c r="Y22" s="7">
        <f>'V-FTE Mar'!Y22/2</f>
        <v>12.369623050136234</v>
      </c>
      <c r="Z22" s="7">
        <f>'V-FTE Mar'!Z22/2</f>
        <v>13.070168044885051</v>
      </c>
      <c r="AA22" s="7">
        <f>'V-FTE Mar'!AA22/2</f>
        <v>12.269545193743545</v>
      </c>
      <c r="AB22" s="7">
        <f>'V-FTE Mar'!AB22/2</f>
        <v>12.784946154165889</v>
      </c>
      <c r="AC22" s="7">
        <f>'V-FTE Mar'!AC22/2</f>
        <v>3.9280558634130029</v>
      </c>
      <c r="AD22" s="7">
        <f>'V-FTE Mar'!AD22/2</f>
        <v>0</v>
      </c>
      <c r="AE22" s="7">
        <f>'V-FTE Mar'!AE22/2</f>
        <v>20.255758133880043</v>
      </c>
      <c r="AF22" s="7">
        <f>'V-FTE Mar'!AF22/2</f>
        <v>13.365397721243481</v>
      </c>
    </row>
    <row r="23" spans="1:32" x14ac:dyDescent="0.25">
      <c r="A23" s="3" t="s">
        <v>28</v>
      </c>
      <c r="B23" s="7">
        <f>'V-FTE Mar'!B23/2</f>
        <v>0</v>
      </c>
      <c r="C23" s="7">
        <f>'V-FTE Mar'!C23/2</f>
        <v>35.592689626059482</v>
      </c>
      <c r="D23" s="7">
        <f>'V-FTE Mar'!D23/2</f>
        <v>24.934397920238208</v>
      </c>
      <c r="E23" s="7">
        <f>'V-FTE Mar'!E23/2</f>
        <v>21.731906515672193</v>
      </c>
      <c r="F23" s="7">
        <f>'V-FTE Mar'!F23/2</f>
        <v>22.177252976619652</v>
      </c>
      <c r="G23" s="7">
        <f>'V-FTE Mar'!G23/2</f>
        <v>20.646061773811528</v>
      </c>
      <c r="H23" s="7">
        <f>'V-FTE Mar'!H23/2</f>
        <v>7.4357847299767164</v>
      </c>
      <c r="I23" s="7">
        <f>'V-FTE Mar'!I23/2</f>
        <v>0</v>
      </c>
      <c r="J23" s="7">
        <f>'V-FTE Mar'!J23/2</f>
        <v>25.890141448788381</v>
      </c>
      <c r="K23" s="7">
        <f>'V-FTE Mar'!K23/2</f>
        <v>16.587904697088032</v>
      </c>
      <c r="L23" s="7">
        <f>'V-FTE Mar'!L23/2</f>
        <v>16.257647770992161</v>
      </c>
      <c r="M23" s="7">
        <f>'V-FTE Mar'!M23/2</f>
        <v>15.607141704439691</v>
      </c>
      <c r="N23" s="7">
        <f>'V-FTE Mar'!N23/2</f>
        <v>15.502059955227368</v>
      </c>
      <c r="O23" s="7">
        <f>'V-FTE Mar'!O23/2</f>
        <v>5.8495507061526126</v>
      </c>
      <c r="P23" s="7">
        <f>'V-FTE Mar'!P23/2</f>
        <v>0</v>
      </c>
      <c r="Q23" s="7">
        <f>'V-FTE Mar'!Q23/2</f>
        <v>24.759261671551005</v>
      </c>
      <c r="R23" s="7">
        <f>'V-FTE Mar'!R23/2</f>
        <v>15.962418094633732</v>
      </c>
      <c r="S23" s="7">
        <f>'V-FTE Mar'!S23/2</f>
        <v>16.477819055056074</v>
      </c>
      <c r="T23" s="7">
        <f>'V-FTE Mar'!T23/2</f>
        <v>15.166799136311861</v>
      </c>
      <c r="U23" s="7">
        <f>'V-FTE Mar'!U23/2</f>
        <v>15.717227346471647</v>
      </c>
      <c r="V23" s="7">
        <f>'V-FTE Mar'!V23/2</f>
        <v>5.6493949933672356</v>
      </c>
      <c r="W23" s="7">
        <f>'V-FTE Mar'!W23/2</f>
        <v>0</v>
      </c>
      <c r="X23" s="7">
        <f>'V-FTE Mar'!X23/2</f>
        <v>25.664966271904831</v>
      </c>
      <c r="Y23" s="7">
        <f>'V-FTE Mar'!Y23/2</f>
        <v>16.587904697088032</v>
      </c>
      <c r="Z23" s="7">
        <f>'V-FTE Mar'!Z23/2</f>
        <v>17.358504191311727</v>
      </c>
      <c r="AA23" s="7">
        <f>'V-FTE Mar'!AA23/2</f>
        <v>16.047484272567516</v>
      </c>
      <c r="AB23" s="7">
        <f>'V-FTE Mar'!AB23/2</f>
        <v>16.788060409873406</v>
      </c>
      <c r="AC23" s="7">
        <f>'V-FTE Mar'!AC23/2</f>
        <v>6.2448582389037295</v>
      </c>
      <c r="AD23" s="7">
        <f>'V-FTE Mar'!AD23/2</f>
        <v>0</v>
      </c>
      <c r="AE23" s="7">
        <f>'V-FTE Mar'!AE23/2</f>
        <v>26.565666979439023</v>
      </c>
      <c r="AF23" s="7">
        <f>'V-FTE Mar'!AF23/2</f>
        <v>17.843881794816266</v>
      </c>
    </row>
    <row r="24" spans="1:32" x14ac:dyDescent="0.25">
      <c r="A24" s="3" t="s">
        <v>29</v>
      </c>
      <c r="B24" s="7">
        <f>'V-FTE Mar'!B24/2</f>
        <v>0</v>
      </c>
      <c r="C24" s="7">
        <f>'V-FTE Mar'!C24/2</f>
        <v>40.596582445693876</v>
      </c>
      <c r="D24" s="7">
        <f>'V-FTE Mar'!D24/2</f>
        <v>30.353613843902259</v>
      </c>
      <c r="E24" s="7">
        <f>'V-FTE Mar'!E24/2</f>
        <v>25.945184269804358</v>
      </c>
      <c r="F24" s="7">
        <f>'V-FTE Mar'!F24/2</f>
        <v>26.440569658948167</v>
      </c>
      <c r="G24" s="7">
        <f>'V-FTE Mar'!G24/2</f>
        <v>24.774273350009906</v>
      </c>
      <c r="H24" s="7">
        <f>'V-FTE Mar'!H24/2</f>
        <v>10.162906316677462</v>
      </c>
      <c r="I24" s="7">
        <f>'V-FTE Mar'!I24/2</f>
        <v>0</v>
      </c>
      <c r="J24" s="7">
        <f>'V-FTE Mar'!J24/2</f>
        <v>31.874797261071119</v>
      </c>
      <c r="K24" s="7">
        <f>'V-FTE Mar'!K24/2</f>
        <v>21.291563947544365</v>
      </c>
      <c r="L24" s="7">
        <f>'V-FTE Mar'!L24/2</f>
        <v>20.200715312864066</v>
      </c>
      <c r="M24" s="7">
        <f>'V-FTE Mar'!M24/2</f>
        <v>19.199936748937187</v>
      </c>
      <c r="N24" s="7">
        <f>'V-FTE Mar'!N24/2</f>
        <v>19.094854999724863</v>
      </c>
      <c r="O24" s="7">
        <f>'V-FTE Mar'!O24/2</f>
        <v>8.0262440826935748</v>
      </c>
      <c r="P24" s="7">
        <f>'V-FTE Mar'!P24/2</f>
        <v>0</v>
      </c>
      <c r="Q24" s="7">
        <f>'V-FTE Mar'!Q24/2</f>
        <v>30.72390191255521</v>
      </c>
      <c r="R24" s="7">
        <f>'V-FTE Mar'!R24/2</f>
        <v>20.641057880991895</v>
      </c>
      <c r="S24" s="7">
        <f>'V-FTE Mar'!S24/2</f>
        <v>20.420886596927982</v>
      </c>
      <c r="T24" s="7">
        <f>'V-FTE Mar'!T24/2</f>
        <v>18.759594180809362</v>
      </c>
      <c r="U24" s="7">
        <f>'V-FTE Mar'!U24/2</f>
        <v>19.535197567852691</v>
      </c>
      <c r="V24" s="7">
        <f>'V-FTE Mar'!V24/2</f>
        <v>8.0262440826935748</v>
      </c>
      <c r="W24" s="7">
        <f>'V-FTE Mar'!W24/2</f>
        <v>0</v>
      </c>
      <c r="X24" s="7">
        <f>'V-FTE Mar'!X24/2</f>
        <v>31.874797261071119</v>
      </c>
      <c r="Y24" s="7">
        <f>'V-FTE Mar'!Y24/2</f>
        <v>21.506731338788644</v>
      </c>
      <c r="Z24" s="7">
        <f>'V-FTE Mar'!Z24/2</f>
        <v>21.526746910067189</v>
      </c>
      <c r="AA24" s="7">
        <f>'V-FTE Mar'!AA24/2</f>
        <v>19.860450601128928</v>
      </c>
      <c r="AB24" s="7">
        <f>'V-FTE Mar'!AB24/2</f>
        <v>20.846217486596906</v>
      </c>
      <c r="AC24" s="7">
        <f>'V-FTE Mar'!AC24/2</f>
        <v>8.8819097548510566</v>
      </c>
      <c r="AD24" s="7">
        <f>'V-FTE Mar'!AD24/2</f>
        <v>0</v>
      </c>
      <c r="AE24" s="7">
        <f>'V-FTE Mar'!AE24/2</f>
        <v>32.790509647064219</v>
      </c>
      <c r="AF24" s="7">
        <f>'V-FTE Mar'!AF24/2</f>
        <v>23.233074361562512</v>
      </c>
    </row>
    <row r="25" spans="1:32" x14ac:dyDescent="0.25">
      <c r="A25" s="3" t="s">
        <v>30</v>
      </c>
      <c r="B25" s="7">
        <f>'V-FTE Mar'!B25/2</f>
        <v>0</v>
      </c>
      <c r="C25" s="7">
        <f>'V-FTE Mar'!C25/2</f>
        <v>49.048157418056377</v>
      </c>
      <c r="D25" s="7">
        <f>'V-FTE Mar'!D25/2</f>
        <v>37.464145540602743</v>
      </c>
      <c r="E25" s="7">
        <f>'V-FTE Mar'!E25/2</f>
        <v>33.36095342850254</v>
      </c>
      <c r="F25" s="7">
        <f>'V-FTE Mar'!F25/2</f>
        <v>33.250867786470586</v>
      </c>
      <c r="G25" s="7">
        <f>'V-FTE Mar'!G25/2</f>
        <v>30.3586177367219</v>
      </c>
      <c r="H25" s="7">
        <f>'V-FTE Mar'!H25/2</f>
        <v>13.070168044885051</v>
      </c>
      <c r="I25" s="7">
        <f>'V-FTE Mar'!I25/2</f>
        <v>0</v>
      </c>
      <c r="J25" s="7">
        <f>'V-FTE Mar'!J25/2</f>
        <v>42.047711363387855</v>
      </c>
      <c r="K25" s="7">
        <f>'V-FTE Mar'!K25/2</f>
        <v>27.886694683822505</v>
      </c>
      <c r="L25" s="7">
        <f>'V-FTE Mar'!L25/2</f>
        <v>27.22117693881113</v>
      </c>
      <c r="M25" s="7">
        <f>'V-FTE Mar'!M25/2</f>
        <v>25.584903986790685</v>
      </c>
      <c r="N25" s="7">
        <f>'V-FTE Mar'!N25/2</f>
        <v>24.884358992041861</v>
      </c>
      <c r="O25" s="7">
        <f>'V-FTE Mar'!O25/2</f>
        <v>9.7275676413692711</v>
      </c>
      <c r="P25" s="7">
        <f>'V-FTE Mar'!P25/2</f>
        <v>0</v>
      </c>
      <c r="Q25" s="7">
        <f>'V-FTE Mar'!Q25/2</f>
        <v>40.411438411367406</v>
      </c>
      <c r="R25" s="7">
        <f>'V-FTE Mar'!R25/2</f>
        <v>27.036032904484657</v>
      </c>
      <c r="S25" s="7">
        <f>'V-FTE Mar'!S25/2</f>
        <v>27.67653118539786</v>
      </c>
      <c r="T25" s="7">
        <f>'V-FTE Mar'!T25/2</f>
        <v>24.709222743354662</v>
      </c>
      <c r="U25" s="7">
        <f>'V-FTE Mar'!U25/2</f>
        <v>25.324701560169689</v>
      </c>
      <c r="V25" s="7">
        <f>'V-FTE Mar'!V25/2</f>
        <v>9.7275676413692711</v>
      </c>
      <c r="W25" s="7">
        <f>'V-FTE Mar'!W25/2</f>
        <v>0</v>
      </c>
      <c r="X25" s="7">
        <f>'V-FTE Mar'!X25/2</f>
        <v>41.812528400865034</v>
      </c>
      <c r="Y25" s="7">
        <f>'V-FTE Mar'!Y25/2</f>
        <v>27.886694683822505</v>
      </c>
      <c r="Z25" s="7">
        <f>'V-FTE Mar'!Z25/2</f>
        <v>29.042593925158052</v>
      </c>
      <c r="AA25" s="7">
        <f>'V-FTE Mar'!AA25/2</f>
        <v>26.240413946162786</v>
      </c>
      <c r="AB25" s="7">
        <f>'V-FTE Mar'!AB25/2</f>
        <v>27.076064047041733</v>
      </c>
      <c r="AC25" s="7">
        <f>'V-FTE Mar'!AC25/2</f>
        <v>10.623264456083831</v>
      </c>
      <c r="AD25" s="7">
        <f>'V-FTE Mar'!AD25/2</f>
        <v>0</v>
      </c>
      <c r="AE25" s="7">
        <f>'V-FTE Mar'!AE25/2</f>
        <v>43.448801352885482</v>
      </c>
      <c r="AF25" s="7">
        <f>'V-FTE Mar'!AF25/2</f>
        <v>30.228516523411404</v>
      </c>
    </row>
    <row r="26" spans="1:32" x14ac:dyDescent="0.25">
      <c r="A26" s="3" t="s">
        <v>31</v>
      </c>
      <c r="B26" s="7">
        <f>'V-FTE Mar'!B26/2</f>
        <v>0</v>
      </c>
      <c r="C26" s="7">
        <f>'V-FTE Mar'!C26/2</f>
        <v>63.659524451388819</v>
      </c>
      <c r="D26" s="7">
        <f>'V-FTE Mar'!D26/2</f>
        <v>43.358731282132069</v>
      </c>
      <c r="E26" s="7">
        <f>'V-FTE Mar'!E26/2</f>
        <v>38.89025499419855</v>
      </c>
      <c r="F26" s="7">
        <f>'V-FTE Mar'!F26/2</f>
        <v>39.070395135705382</v>
      </c>
      <c r="G26" s="7">
        <f>'V-FTE Mar'!G26/2</f>
        <v>38.524970818365233</v>
      </c>
      <c r="H26" s="7">
        <f>'V-FTE Mar'!H26/2</f>
        <v>15.181810814770765</v>
      </c>
      <c r="I26" s="7">
        <f>'V-FTE Mar'!I26/2</f>
        <v>0</v>
      </c>
      <c r="J26" s="7">
        <f>'V-FTE Mar'!J26/2</f>
        <v>52.135559287770803</v>
      </c>
      <c r="K26" s="7">
        <f>'V-FTE Mar'!K26/2</f>
        <v>34.371739778068687</v>
      </c>
      <c r="L26" s="7">
        <f>'V-FTE Mar'!L26/2</f>
        <v>33.63616753358243</v>
      </c>
      <c r="M26" s="7">
        <f>'V-FTE Mar'!M26/2</f>
        <v>31.574563691893058</v>
      </c>
      <c r="N26" s="7">
        <f>'V-FTE Mar'!N26/2</f>
        <v>30.578789020785809</v>
      </c>
      <c r="O26" s="7">
        <f>'V-FTE Mar'!O26/2</f>
        <v>11.253754951357761</v>
      </c>
      <c r="P26" s="7">
        <f>'V-FTE Mar'!P26/2</f>
        <v>0</v>
      </c>
      <c r="Q26" s="7">
        <f>'V-FTE Mar'!Q26/2</f>
        <v>49.87880362611569</v>
      </c>
      <c r="R26" s="7">
        <f>'V-FTE Mar'!R26/2</f>
        <v>33.476042963354132</v>
      </c>
      <c r="S26" s="7">
        <f>'V-FTE Mar'!S26/2</f>
        <v>34.111537351447694</v>
      </c>
      <c r="T26" s="7">
        <f>'V-FTE Mar'!T26/2</f>
        <v>30.633831841801786</v>
      </c>
      <c r="U26" s="7">
        <f>'V-FTE Mar'!U26/2</f>
        <v>31.279334015534626</v>
      </c>
      <c r="V26" s="7">
        <f>'V-FTE Mar'!V26/2</f>
        <v>11.023575881654581</v>
      </c>
      <c r="W26" s="7">
        <f>'V-FTE Mar'!W26/2</f>
        <v>0</v>
      </c>
      <c r="X26" s="7">
        <f>'V-FTE Mar'!X26/2</f>
        <v>51.885364646789078</v>
      </c>
      <c r="Y26" s="7">
        <f>'V-FTE Mar'!Y26/2</f>
        <v>34.596914954952233</v>
      </c>
      <c r="Z26" s="7">
        <f>'V-FTE Mar'!Z26/2</f>
        <v>36.028028301367669</v>
      </c>
      <c r="AA26" s="7">
        <f>'V-FTE Mar'!AA26/2</f>
        <v>32.745474611687506</v>
      </c>
      <c r="AB26" s="7">
        <f>'V-FTE Mar'!AB26/2</f>
        <v>33.385972892600705</v>
      </c>
      <c r="AC26" s="7">
        <f>'V-FTE Mar'!AC26/2</f>
        <v>12.179475122990127</v>
      </c>
      <c r="AD26" s="7">
        <f>'V-FTE Mar'!AD26/2</f>
        <v>0</v>
      </c>
      <c r="AE26" s="7">
        <f>'V-FTE Mar'!AE26/2</f>
        <v>53.641731026480755</v>
      </c>
      <c r="AF26" s="7">
        <f>'V-FTE Mar'!AF26/2</f>
        <v>37.519188361618724</v>
      </c>
    </row>
    <row r="27" spans="1:32" x14ac:dyDescent="0.25">
      <c r="A27" s="3" t="s">
        <v>32</v>
      </c>
      <c r="B27" s="7">
        <f>'V-FTE Mar'!B27/2</f>
        <v>0</v>
      </c>
      <c r="C27" s="7">
        <f>'V-FTE Mar'!C27/2</f>
        <v>66.181486432484562</v>
      </c>
      <c r="D27" s="7">
        <f>'V-FTE Mar'!D27/2</f>
        <v>48.237526781275612</v>
      </c>
      <c r="E27" s="7">
        <f>'V-FTE Mar'!E27/2</f>
        <v>42.087742505944924</v>
      </c>
      <c r="F27" s="7">
        <f>'V-FTE Mar'!F27/2</f>
        <v>40.561555195956437</v>
      </c>
      <c r="G27" s="7">
        <f>'V-FTE Mar'!G27/2</f>
        <v>39.185484670556981</v>
      </c>
      <c r="H27" s="7">
        <f>'V-FTE Mar'!H27/2</f>
        <v>17.90392850865188</v>
      </c>
      <c r="I27" s="7">
        <f>'V-FTE Mar'!I27/2</f>
        <v>0</v>
      </c>
      <c r="J27" s="7">
        <f>'V-FTE Mar'!J27/2</f>
        <v>58.175257921069523</v>
      </c>
      <c r="K27" s="7">
        <f>'V-FTE Mar'!K27/2</f>
        <v>38.119655499974854</v>
      </c>
      <c r="L27" s="7">
        <f>'V-FTE Mar'!L27/2</f>
        <v>36.483382547954399</v>
      </c>
      <c r="M27" s="7">
        <f>'V-FTE Mar'!M27/2</f>
        <v>34.311693064233069</v>
      </c>
      <c r="N27" s="7">
        <f>'V-FTE Mar'!N27/2</f>
        <v>34.581903276493328</v>
      </c>
      <c r="O27" s="7">
        <f>'V-FTE Mar'!O27/2</f>
        <v>13.475483363275435</v>
      </c>
      <c r="P27" s="7">
        <f>'V-FTE Mar'!P27/2</f>
        <v>0</v>
      </c>
      <c r="Q27" s="7">
        <f>'V-FTE Mar'!Q27/2</f>
        <v>55.773389367645009</v>
      </c>
      <c r="R27" s="7">
        <f>'V-FTE Mar'!R27/2</f>
        <v>36.943740687360766</v>
      </c>
      <c r="S27" s="7">
        <f>'V-FTE Mar'!S27/2</f>
        <v>36.968760151458937</v>
      </c>
      <c r="T27" s="7">
        <f>'V-FTE Mar'!T27/2</f>
        <v>33.350945642863273</v>
      </c>
      <c r="U27" s="7">
        <f>'V-FTE Mar'!U27/2</f>
        <v>35.307467735340317</v>
      </c>
      <c r="V27" s="7">
        <f>'V-FTE Mar'!V27/2</f>
        <v>13.475483363275435</v>
      </c>
      <c r="W27" s="7">
        <f>'V-FTE Mar'!W27/2</f>
        <v>0</v>
      </c>
      <c r="X27" s="7">
        <f>'V-FTE Mar'!X27/2</f>
        <v>57.644845282188278</v>
      </c>
      <c r="Y27" s="7">
        <f>'V-FTE Mar'!Y27/2</f>
        <v>38.119655499974854</v>
      </c>
      <c r="Z27" s="7">
        <f>'V-FTE Mar'!Z27/2</f>
        <v>38.920278351116352</v>
      </c>
      <c r="AA27" s="7">
        <f>'V-FTE Mar'!AA27/2</f>
        <v>35.512627340945329</v>
      </c>
      <c r="AB27" s="7">
        <f>'V-FTE Mar'!AB27/2</f>
        <v>37.729351860043373</v>
      </c>
      <c r="AC27" s="7">
        <f>'V-FTE Mar'!AC27/2</f>
        <v>14.876573352773068</v>
      </c>
      <c r="AD27" s="7">
        <f>'V-FTE Mar'!AD27/2</f>
        <v>0</v>
      </c>
      <c r="AE27" s="7">
        <f>'V-FTE Mar'!AE27/2</f>
        <v>59.776503623352525</v>
      </c>
      <c r="AF27" s="7">
        <f>'V-FTE Mar'!AF27/2</f>
        <v>41.417220868113915</v>
      </c>
    </row>
    <row r="28" spans="1:32" x14ac:dyDescent="0.25">
      <c r="A28" s="3" t="s">
        <v>33</v>
      </c>
      <c r="B28" s="7">
        <f>'V-FTE Mar'!B28/2</f>
        <v>0</v>
      </c>
      <c r="C28" s="7">
        <f>'V-FTE Mar'!C28/2</f>
        <v>72.741589919025259</v>
      </c>
      <c r="D28" s="7">
        <f>'V-FTE Mar'!D28/2</f>
        <v>53.606703776743316</v>
      </c>
      <c r="E28" s="7">
        <f>'V-FTE Mar'!E28/2</f>
        <v>46.14089568984879</v>
      </c>
      <c r="F28" s="7">
        <f>'V-FTE Mar'!F28/2</f>
        <v>44.939961413136537</v>
      </c>
      <c r="G28" s="7">
        <f>'V-FTE Mar'!G28/2</f>
        <v>43.038482141675466</v>
      </c>
      <c r="H28" s="7">
        <f>'V-FTE Mar'!H28/2</f>
        <v>20.225734776962241</v>
      </c>
      <c r="I28" s="7">
        <f>'V-FTE Mar'!I28/2</f>
        <v>0</v>
      </c>
      <c r="J28" s="7">
        <f>'V-FTE Mar'!J28/2</f>
        <v>60.667196545247442</v>
      </c>
      <c r="K28" s="7">
        <f>'V-FTE Mar'!K28/2</f>
        <v>40.631609695431322</v>
      </c>
      <c r="L28" s="7">
        <f>'V-FTE Mar'!L28/2</f>
        <v>39.465702668456508</v>
      </c>
      <c r="M28" s="7">
        <f>'V-FTE Mar'!M28/2</f>
        <v>37.394091041127865</v>
      </c>
      <c r="N28" s="7">
        <f>'V-FTE Mar'!N28/2</f>
        <v>37.273997613456636</v>
      </c>
      <c r="O28" s="7">
        <f>'V-FTE Mar'!O28/2</f>
        <v>16.768044838594871</v>
      </c>
      <c r="P28" s="7">
        <f>'V-FTE Mar'!P28/2</f>
        <v>0</v>
      </c>
      <c r="Q28" s="7">
        <f>'V-FTE Mar'!Q28/2</f>
        <v>58.250316313364038</v>
      </c>
      <c r="R28" s="7">
        <f>'V-FTE Mar'!R28/2</f>
        <v>39.40565595462089</v>
      </c>
      <c r="S28" s="7">
        <f>'V-FTE Mar'!S28/2</f>
        <v>39.981103628878849</v>
      </c>
      <c r="T28" s="7">
        <f>'V-FTE Mar'!T28/2</f>
        <v>36.388308584381349</v>
      </c>
      <c r="U28" s="7">
        <f>'V-FTE Mar'!U28/2</f>
        <v>38.024581536401797</v>
      </c>
      <c r="V28" s="7">
        <f>'V-FTE Mar'!V28/2</f>
        <v>16.768044838594871</v>
      </c>
      <c r="W28" s="7">
        <f>'V-FTE Mar'!W28/2</f>
        <v>0</v>
      </c>
      <c r="X28" s="7">
        <f>'V-FTE Mar'!X28/2</f>
        <v>60.396986332987197</v>
      </c>
      <c r="Y28" s="7">
        <f>'V-FTE Mar'!Y28/2</f>
        <v>40.876800443593403</v>
      </c>
      <c r="Z28" s="7">
        <f>'V-FTE Mar'!Z28/2</f>
        <v>42.037703577748587</v>
      </c>
      <c r="AA28" s="7">
        <f>'V-FTE Mar'!AA28/2</f>
        <v>38.650068138856092</v>
      </c>
      <c r="AB28" s="7">
        <f>'V-FTE Mar'!AB28/2</f>
        <v>40.531531839038628</v>
      </c>
      <c r="AC28" s="7">
        <f>'V-FTE Mar'!AC28/2</f>
        <v>18.499391754188373</v>
      </c>
      <c r="AD28" s="7">
        <f>'V-FTE Mar'!AD28/2</f>
        <v>0</v>
      </c>
      <c r="AE28" s="7">
        <f>'V-FTE Mar'!AE28/2</f>
        <v>62.548660245429986</v>
      </c>
      <c r="AF28" s="7">
        <f>'V-FTE Mar'!AF28/2</f>
        <v>44.309470917862598</v>
      </c>
    </row>
    <row r="29" spans="1:32" x14ac:dyDescent="0.25">
      <c r="A29" s="3" t="s">
        <v>34</v>
      </c>
      <c r="B29" s="7">
        <f>'V-FTE Mar'!B29/2</f>
        <v>0</v>
      </c>
      <c r="C29" s="7">
        <f>'V-FTE Mar'!C29/2</f>
        <v>71.025254681890658</v>
      </c>
      <c r="D29" s="7">
        <f>'V-FTE Mar'!D29/2</f>
        <v>53.706781633135996</v>
      </c>
      <c r="E29" s="7">
        <f>'V-FTE Mar'!E29/2</f>
        <v>47.116654789677504</v>
      </c>
      <c r="F29" s="7">
        <f>'V-FTE Mar'!F29/2</f>
        <v>47.101643111218593</v>
      </c>
      <c r="G29" s="7">
        <f>'V-FTE Mar'!G29/2</f>
        <v>44.614708379860303</v>
      </c>
      <c r="H29" s="7">
        <f>'V-FTE Mar'!H29/2</f>
        <v>21.421665160854864</v>
      </c>
      <c r="I29" s="7">
        <f>'V-FTE Mar'!I29/2</f>
        <v>0</v>
      </c>
      <c r="J29" s="7">
        <f>'V-FTE Mar'!J29/2</f>
        <v>62.348504532644604</v>
      </c>
      <c r="K29" s="7">
        <f>'V-FTE Mar'!K29/2</f>
        <v>43.934178956390021</v>
      </c>
      <c r="L29" s="7">
        <f>'V-FTE Mar'!L29/2</f>
        <v>41.752481687029423</v>
      </c>
      <c r="M29" s="7">
        <f>'V-FTE Mar'!M29/2</f>
        <v>39.800963487372009</v>
      </c>
      <c r="N29" s="7">
        <f>'V-FTE Mar'!N29/2</f>
        <v>39.906045236584326</v>
      </c>
      <c r="O29" s="7">
        <f>'V-FTE Mar'!O29/2</f>
        <v>18.804629216186068</v>
      </c>
      <c r="P29" s="7">
        <f>'V-FTE Mar'!P29/2</f>
        <v>0</v>
      </c>
      <c r="Q29" s="7">
        <f>'V-FTE Mar'!Q29/2</f>
        <v>59.636394624402769</v>
      </c>
      <c r="R29" s="7">
        <f>'V-FTE Mar'!R29/2</f>
        <v>42.648178501743985</v>
      </c>
      <c r="S29" s="7">
        <f>'V-FTE Mar'!S29/2</f>
        <v>42.287898218730305</v>
      </c>
      <c r="T29" s="7">
        <f>'V-FTE Mar'!T29/2</f>
        <v>38.494947461447431</v>
      </c>
      <c r="U29" s="7">
        <f>'V-FTE Mar'!U29/2</f>
        <v>40.691656409266926</v>
      </c>
      <c r="V29" s="7">
        <f>'V-FTE Mar'!V29/2</f>
        <v>18.804629216186068</v>
      </c>
      <c r="W29" s="7">
        <f>'V-FTE Mar'!W29/2</f>
        <v>0</v>
      </c>
      <c r="X29" s="7">
        <f>'V-FTE Mar'!X29/2</f>
        <v>62.078294320384352</v>
      </c>
      <c r="Y29" s="7">
        <f>'V-FTE Mar'!Y29/2</f>
        <v>43.934178956390021</v>
      </c>
      <c r="Z29" s="7">
        <f>'V-FTE Mar'!Z29/2</f>
        <v>44.434568238353457</v>
      </c>
      <c r="AA29" s="7">
        <f>'V-FTE Mar'!AA29/2</f>
        <v>41.106979513296587</v>
      </c>
      <c r="AB29" s="7">
        <f>'V-FTE Mar'!AB29/2</f>
        <v>43.303688461116089</v>
      </c>
      <c r="AC29" s="7">
        <f>'V-FTE Mar'!AC29/2</f>
        <v>20.636053988172261</v>
      </c>
      <c r="AD29" s="7">
        <f>'V-FTE Mar'!AD29/2</f>
        <v>0</v>
      </c>
      <c r="AE29" s="7">
        <f>'V-FTE Mar'!AE29/2</f>
        <v>64.249983804105682</v>
      </c>
      <c r="AF29" s="7">
        <f>'V-FTE Mar'!AF29/2</f>
        <v>47.79218032032815</v>
      </c>
    </row>
    <row r="30" spans="1:32" x14ac:dyDescent="0.25">
      <c r="A30" s="3" t="s">
        <v>35</v>
      </c>
      <c r="B30" s="7">
        <f>'V-FTE Mar'!B30/2</f>
        <v>0</v>
      </c>
      <c r="C30" s="7">
        <f>'V-FTE Mar'!C30/2</f>
        <v>72.626500384173653</v>
      </c>
      <c r="D30" s="7">
        <f>'V-FTE Mar'!D30/2</f>
        <v>54.477381127359699</v>
      </c>
      <c r="E30" s="7">
        <f>'V-FTE Mar'!E30/2</f>
        <v>47.401876680396661</v>
      </c>
      <c r="F30" s="7">
        <f>'V-FTE Mar'!F30/2</f>
        <v>45.110093769004109</v>
      </c>
      <c r="G30" s="7">
        <f>'V-FTE Mar'!G30/2</f>
        <v>44.159354133273567</v>
      </c>
      <c r="H30" s="7">
        <f>'V-FTE Mar'!H30/2</f>
        <v>21.266544483446193</v>
      </c>
      <c r="I30" s="7">
        <f>'V-FTE Mar'!I30/2</f>
        <v>0</v>
      </c>
      <c r="J30" s="7">
        <f>'V-FTE Mar'!J30/2</f>
        <v>63.579462166274674</v>
      </c>
      <c r="K30" s="7">
        <f>'V-FTE Mar'!K30/2</f>
        <v>46.311028045716363</v>
      </c>
      <c r="L30" s="7">
        <f>'V-FTE Mar'!L30/2</f>
        <v>43.108536641150344</v>
      </c>
      <c r="M30" s="7">
        <f>'V-FTE Mar'!M30/2</f>
        <v>41.957641292634428</v>
      </c>
      <c r="N30" s="7">
        <f>'V-FTE Mar'!N30/2</f>
        <v>41.507290938867342</v>
      </c>
      <c r="O30" s="7">
        <f>'V-FTE Mar'!O30/2</f>
        <v>18.86967982284132</v>
      </c>
      <c r="P30" s="7">
        <f>'V-FTE Mar'!P30/2</f>
        <v>0</v>
      </c>
      <c r="Q30" s="7">
        <f>'V-FTE Mar'!Q30/2</f>
        <v>61.112543006194912</v>
      </c>
      <c r="R30" s="7">
        <f>'V-FTE Mar'!R30/2</f>
        <v>44.729797914711888</v>
      </c>
      <c r="S30" s="7">
        <f>'V-FTE Mar'!S30/2</f>
        <v>43.643953172851226</v>
      </c>
      <c r="T30" s="7">
        <f>'V-FTE Mar'!T30/2</f>
        <v>40.641617481070583</v>
      </c>
      <c r="U30" s="7">
        <f>'V-FTE Mar'!U30/2</f>
        <v>42.302909897189217</v>
      </c>
      <c r="V30" s="7">
        <f>'V-FTE Mar'!V30/2</f>
        <v>18.59946961058106</v>
      </c>
      <c r="W30" s="7">
        <f>'V-FTE Mar'!W30/2</f>
        <v>0</v>
      </c>
      <c r="X30" s="7">
        <f>'V-FTE Mar'!X30/2</f>
        <v>63.579462166274674</v>
      </c>
      <c r="Y30" s="7">
        <f>'V-FTE Mar'!Y30/2</f>
        <v>46.311028045716363</v>
      </c>
      <c r="Z30" s="7">
        <f>'V-FTE Mar'!Z30/2</f>
        <v>45.790623192474385</v>
      </c>
      <c r="AA30" s="7">
        <f>'V-FTE Mar'!AA30/2</f>
        <v>43.26866121137865</v>
      </c>
      <c r="AB30" s="7">
        <f>'V-FTE Mar'!AB30/2</f>
        <v>45.215175518216434</v>
      </c>
      <c r="AC30" s="7">
        <f>'V-FTE Mar'!AC30/2</f>
        <v>20.736131844564948</v>
      </c>
      <c r="AD30" s="7">
        <f>'V-FTE Mar'!AD30/2</f>
        <v>0</v>
      </c>
      <c r="AE30" s="7">
        <f>'V-FTE Mar'!AE30/2</f>
        <v>65.776171114094169</v>
      </c>
      <c r="AF30" s="7">
        <f>'V-FTE Mar'!AF30/2</f>
        <v>50.264103373227535</v>
      </c>
    </row>
    <row r="31" spans="1:32" x14ac:dyDescent="0.25">
      <c r="A31" s="3" t="s">
        <v>36</v>
      </c>
      <c r="B31" s="7">
        <f>'V-FTE Mar'!B31/2</f>
        <v>0</v>
      </c>
      <c r="C31" s="7">
        <f>'V-FTE Mar'!C31/2</f>
        <v>70.930180718317601</v>
      </c>
      <c r="D31" s="7">
        <f>'V-FTE Mar'!D31/2</f>
        <v>53.781840025430526</v>
      </c>
      <c r="E31" s="7">
        <f>'V-FTE Mar'!E31/2</f>
        <v>47.582016821903501</v>
      </c>
      <c r="F31" s="7">
        <f>'V-FTE Mar'!F31/2</f>
        <v>45.420335123821431</v>
      </c>
      <c r="G31" s="7">
        <f>'V-FTE Mar'!G31/2</f>
        <v>44.15435024045393</v>
      </c>
      <c r="H31" s="7">
        <f>'V-FTE Mar'!H31/2</f>
        <v>20.706108487647143</v>
      </c>
      <c r="I31" s="7">
        <f>'V-FTE Mar'!I31/2</f>
        <v>0</v>
      </c>
      <c r="J31" s="7">
        <f>'V-FTE Mar'!J31/2</f>
        <v>62.74881595821536</v>
      </c>
      <c r="K31" s="7">
        <f>'V-FTE Mar'!K31/2</f>
        <v>46.691323900008584</v>
      </c>
      <c r="L31" s="7">
        <f>'V-FTE Mar'!L31/2</f>
        <v>42.783283607874111</v>
      </c>
      <c r="M31" s="7">
        <f>'V-FTE Mar'!M31/2</f>
        <v>42.578124002269099</v>
      </c>
      <c r="N31" s="7">
        <f>'V-FTE Mar'!N31/2</f>
        <v>41.547322081424419</v>
      </c>
      <c r="O31" s="7">
        <f>'V-FTE Mar'!O31/2</f>
        <v>18.309243827042266</v>
      </c>
      <c r="P31" s="7">
        <f>'V-FTE Mar'!P31/2</f>
        <v>0</v>
      </c>
      <c r="Q31" s="7">
        <f>'V-FTE Mar'!Q31/2</f>
        <v>60.016690478694976</v>
      </c>
      <c r="R31" s="7">
        <f>'V-FTE Mar'!R31/2</f>
        <v>45.375300088444732</v>
      </c>
      <c r="S31" s="7">
        <f>'V-FTE Mar'!S31/2</f>
        <v>43.318700139574986</v>
      </c>
      <c r="T31" s="7">
        <f>'V-FTE Mar'!T31/2</f>
        <v>41.026917228182434</v>
      </c>
      <c r="U31" s="7">
        <f>'V-FTE Mar'!U31/2</f>
        <v>42.327929361287381</v>
      </c>
      <c r="V31" s="7">
        <f>'V-FTE Mar'!V31/2</f>
        <v>18.309243827042266</v>
      </c>
      <c r="W31" s="7">
        <f>'V-FTE Mar'!W31/2</f>
        <v>0</v>
      </c>
      <c r="X31" s="7">
        <f>'V-FTE Mar'!X31/2</f>
        <v>62.47360185313547</v>
      </c>
      <c r="Y31" s="7">
        <f>'V-FTE Mar'!Y31/2</f>
        <v>46.956530219449199</v>
      </c>
      <c r="Z31" s="7">
        <f>'V-FTE Mar'!Z31/2</f>
        <v>45.71556480017987</v>
      </c>
      <c r="AA31" s="7">
        <f>'V-FTE Mar'!AA31/2</f>
        <v>43.86912834973478</v>
      </c>
      <c r="AB31" s="7">
        <f>'V-FTE Mar'!AB31/2</f>
        <v>45.190156054118255</v>
      </c>
      <c r="AC31" s="7">
        <f>'V-FTE Mar'!AC31/2</f>
        <v>20.175695848765898</v>
      </c>
      <c r="AD31" s="7">
        <f>'V-FTE Mar'!AD31/2</f>
        <v>0</v>
      </c>
      <c r="AE31" s="7">
        <f>'V-FTE Mar'!AE31/2</f>
        <v>64.660303015315705</v>
      </c>
      <c r="AF31" s="7">
        <f>'V-FTE Mar'!AF31/2</f>
        <v>50.894593868501467</v>
      </c>
    </row>
    <row r="32" spans="1:32" x14ac:dyDescent="0.25">
      <c r="A32" s="3" t="s">
        <v>37</v>
      </c>
      <c r="B32" s="7">
        <f>'V-FTE Mar'!B32/2</f>
        <v>0</v>
      </c>
      <c r="C32" s="7">
        <f>'V-FTE Mar'!C32/2</f>
        <v>73.081854630760404</v>
      </c>
      <c r="D32" s="7">
        <f>'V-FTE Mar'!D32/2</f>
        <v>53.431567528056107</v>
      </c>
      <c r="E32" s="7">
        <f>'V-FTE Mar'!E32/2</f>
        <v>47.842219248524486</v>
      </c>
      <c r="F32" s="7">
        <f>'V-FTE Mar'!F32/2</f>
        <v>42.843330321709729</v>
      </c>
      <c r="G32" s="7">
        <f>'V-FTE Mar'!G32/2</f>
        <v>44.239416418387719</v>
      </c>
      <c r="H32" s="7">
        <f>'V-FTE Mar'!H32/2</f>
        <v>19.044816071528523</v>
      </c>
      <c r="I32" s="7">
        <f>'V-FTE Mar'!I32/2</f>
        <v>0</v>
      </c>
      <c r="J32" s="7">
        <f>'V-FTE Mar'!J32/2</f>
        <v>63.464372631423082</v>
      </c>
      <c r="K32" s="7">
        <f>'V-FTE Mar'!K32/2</f>
        <v>46.391090330830508</v>
      </c>
      <c r="L32" s="7">
        <f>'V-FTE Mar'!L32/2</f>
        <v>44.364513738878578</v>
      </c>
      <c r="M32" s="7">
        <f>'V-FTE Mar'!M32/2</f>
        <v>42.077734720305664</v>
      </c>
      <c r="N32" s="7">
        <f>'V-FTE Mar'!N32/2</f>
        <v>41.627384366538564</v>
      </c>
      <c r="O32" s="7">
        <f>'V-FTE Mar'!O32/2</f>
        <v>17.753811724062846</v>
      </c>
      <c r="P32" s="7">
        <f>'V-FTE Mar'!P32/2</f>
        <v>0</v>
      </c>
      <c r="Q32" s="7">
        <f>'V-FTE Mar'!Q32/2</f>
        <v>60.99244957852369</v>
      </c>
      <c r="R32" s="7">
        <f>'V-FTE Mar'!R32/2</f>
        <v>45.08507430490593</v>
      </c>
      <c r="S32" s="7">
        <f>'V-FTE Mar'!S32/2</f>
        <v>44.899930270579461</v>
      </c>
      <c r="T32" s="7">
        <f>'V-FTE Mar'!T32/2</f>
        <v>40.801742051298895</v>
      </c>
      <c r="U32" s="7">
        <f>'V-FTE Mar'!U32/2</f>
        <v>42.673197965842157</v>
      </c>
      <c r="V32" s="7">
        <f>'V-FTE Mar'!V32/2</f>
        <v>17.753811724062846</v>
      </c>
      <c r="W32" s="7">
        <f>'V-FTE Mar'!W32/2</f>
        <v>0</v>
      </c>
      <c r="X32" s="7">
        <f>'V-FTE Mar'!X32/2</f>
        <v>63.194162419162822</v>
      </c>
      <c r="Y32" s="7">
        <f>'V-FTE Mar'!Y32/2</f>
        <v>46.651292757451507</v>
      </c>
      <c r="Z32" s="7">
        <f>'V-FTE Mar'!Z32/2</f>
        <v>47.311806609643241</v>
      </c>
      <c r="AA32" s="7">
        <f>'V-FTE Mar'!AA32/2</f>
        <v>43.608925923113794</v>
      </c>
      <c r="AB32" s="7">
        <f>'V-FTE Mar'!AB32/2</f>
        <v>45.540428551492667</v>
      </c>
      <c r="AC32" s="7">
        <f>'V-FTE Mar'!AC32/2</f>
        <v>19.5652209247705</v>
      </c>
      <c r="AD32" s="7">
        <f>'V-FTE Mar'!AD32/2</f>
        <v>0</v>
      </c>
      <c r="AE32" s="7">
        <f>'V-FTE Mar'!AE32/2</f>
        <v>65.390871366982324</v>
      </c>
      <c r="AF32" s="7">
        <f>'V-FTE Mar'!AF32/2</f>
        <v>50.564336942405603</v>
      </c>
    </row>
    <row r="33" spans="1:32" x14ac:dyDescent="0.25">
      <c r="A33" s="3" t="s">
        <v>38</v>
      </c>
      <c r="B33" s="7">
        <f>'V-FTE Mar'!B33/2</f>
        <v>0</v>
      </c>
      <c r="C33" s="7">
        <f>'V-FTE Mar'!C33/2</f>
        <v>71.940967067883761</v>
      </c>
      <c r="D33" s="7">
        <f>'V-FTE Mar'!D33/2</f>
        <v>53.156353422976217</v>
      </c>
      <c r="E33" s="7">
        <f>'V-FTE Mar'!E33/2</f>
        <v>48.312585173570113</v>
      </c>
      <c r="F33" s="7">
        <f>'V-FTE Mar'!F33/2</f>
        <v>43.789066064620627</v>
      </c>
      <c r="G33" s="7">
        <f>'V-FTE Mar'!G33/2</f>
        <v>45.420335123821431</v>
      </c>
      <c r="H33" s="7">
        <f>'V-FTE Mar'!H33/2</f>
        <v>18.474372290090201</v>
      </c>
      <c r="I33" s="7">
        <f>'V-FTE Mar'!I33/2</f>
        <v>0</v>
      </c>
      <c r="J33" s="7">
        <f>'V-FTE Mar'!J33/2</f>
        <v>61.187601398489434</v>
      </c>
      <c r="K33" s="7">
        <f>'V-FTE Mar'!K33/2</f>
        <v>46.080848976013179</v>
      </c>
      <c r="L33" s="7">
        <f>'V-FTE Mar'!L33/2</f>
        <v>45.010015912611422</v>
      </c>
      <c r="M33" s="7">
        <f>'V-FTE Mar'!M33/2</f>
        <v>41.922614042896996</v>
      </c>
      <c r="N33" s="7">
        <f>'V-FTE Mar'!N33/2</f>
        <v>41.692434973193812</v>
      </c>
      <c r="O33" s="7">
        <f>'V-FTE Mar'!O33/2</f>
        <v>17.71378058150577</v>
      </c>
      <c r="P33" s="7">
        <f>'V-FTE Mar'!P33/2</f>
        <v>0</v>
      </c>
      <c r="Q33" s="7">
        <f>'V-FTE Mar'!Q33/2</f>
        <v>58.980884665030665</v>
      </c>
      <c r="R33" s="7">
        <f>'V-FTE Mar'!R33/2</f>
        <v>44.504622737828349</v>
      </c>
      <c r="S33" s="7">
        <f>'V-FTE Mar'!S33/2</f>
        <v>45.285230017691312</v>
      </c>
      <c r="T33" s="7">
        <f>'V-FTE Mar'!T33/2</f>
        <v>40.591578552874246</v>
      </c>
      <c r="U33" s="7">
        <f>'V-FTE Mar'!U33/2</f>
        <v>42.758264143775939</v>
      </c>
      <c r="V33" s="7">
        <f>'V-FTE Mar'!V33/2</f>
        <v>17.71378058150577</v>
      </c>
      <c r="W33" s="7">
        <f>'V-FTE Mar'!W33/2</f>
        <v>0</v>
      </c>
      <c r="X33" s="7">
        <f>'V-FTE Mar'!X33/2</f>
        <v>60.912387293409544</v>
      </c>
      <c r="Y33" s="7">
        <f>'V-FTE Mar'!Y33/2</f>
        <v>46.080848976013179</v>
      </c>
      <c r="Z33" s="7">
        <f>'V-FTE Mar'!Z33/2</f>
        <v>47.762156963410341</v>
      </c>
      <c r="AA33" s="7">
        <f>'V-FTE Mar'!AA33/2</f>
        <v>43.253649532919745</v>
      </c>
      <c r="AB33" s="7">
        <f>'V-FTE Mar'!AB33/2</f>
        <v>45.420335123821431</v>
      </c>
      <c r="AC33" s="7">
        <f>'V-FTE Mar'!AC33/2</f>
        <v>19.490162532475985</v>
      </c>
      <c r="AD33" s="7">
        <f>'V-FTE Mar'!AD33/2</f>
        <v>0</v>
      </c>
      <c r="AE33" s="7">
        <f>'V-FTE Mar'!AE33/2</f>
        <v>63.119104026868307</v>
      </c>
      <c r="AF33" s="7">
        <f>'V-FTE Mar'!AF33/2</f>
        <v>50.008904839426187</v>
      </c>
    </row>
    <row r="34" spans="1:32" x14ac:dyDescent="0.25">
      <c r="A34" s="3" t="s">
        <v>39</v>
      </c>
      <c r="B34" s="7">
        <f>'V-FTE Mar'!B34/2</f>
        <v>0</v>
      </c>
      <c r="C34" s="7">
        <f>'V-FTE Mar'!C34/2</f>
        <v>69.043713125315435</v>
      </c>
      <c r="D34" s="7">
        <f>'V-FTE Mar'!D34/2</f>
        <v>51.54009604223431</v>
      </c>
      <c r="E34" s="7">
        <f>'V-FTE Mar'!E34/2</f>
        <v>47.401876680396661</v>
      </c>
      <c r="F34" s="7">
        <f>'V-FTE Mar'!F34/2</f>
        <v>42.823314750431187</v>
      </c>
      <c r="G34" s="7">
        <f>'V-FTE Mar'!G34/2</f>
        <v>45.350280624346553</v>
      </c>
      <c r="H34" s="7">
        <f>'V-FTE Mar'!H34/2</f>
        <v>18.504395647008007</v>
      </c>
      <c r="I34" s="7">
        <f>'V-FTE Mar'!I34/2</f>
        <v>0</v>
      </c>
      <c r="J34" s="7">
        <f>'V-FTE Mar'!J34/2</f>
        <v>59.331157162405063</v>
      </c>
      <c r="K34" s="7">
        <f>'V-FTE Mar'!K34/2</f>
        <v>45.775611514015488</v>
      </c>
      <c r="L34" s="7">
        <f>'V-FTE Mar'!L34/2</f>
        <v>44.064280169700517</v>
      </c>
      <c r="M34" s="7">
        <f>'V-FTE Mar'!M34/2</f>
        <v>41.477267581949533</v>
      </c>
      <c r="N34" s="7">
        <f>'V-FTE Mar'!N34/2</f>
        <v>41.016909442543167</v>
      </c>
      <c r="O34" s="7">
        <f>'V-FTE Mar'!O34/2</f>
        <v>17.468589833343685</v>
      </c>
      <c r="P34" s="7">
        <f>'V-FTE Mar'!P34/2</f>
        <v>0</v>
      </c>
      <c r="Q34" s="7">
        <f>'V-FTE Mar'!Q34/2</f>
        <v>56.834214645407499</v>
      </c>
      <c r="R34" s="7">
        <f>'V-FTE Mar'!R34/2</f>
        <v>44.20438916865028</v>
      </c>
      <c r="S34" s="7">
        <f>'V-FTE Mar'!S34/2</f>
        <v>44.344498167600044</v>
      </c>
      <c r="T34" s="7">
        <f>'V-FTE Mar'!T34/2</f>
        <v>40.136224306287509</v>
      </c>
      <c r="U34" s="7">
        <f>'V-FTE Mar'!U34/2</f>
        <v>41.827540079323946</v>
      </c>
      <c r="V34" s="7">
        <f>'V-FTE Mar'!V34/2</f>
        <v>17.468589833343685</v>
      </c>
      <c r="W34" s="7">
        <f>'V-FTE Mar'!W34/2</f>
        <v>0</v>
      </c>
      <c r="X34" s="7">
        <f>'V-FTE Mar'!X34/2</f>
        <v>59.055943057325173</v>
      </c>
      <c r="Y34" s="7">
        <f>'V-FTE Mar'!Y34/2</f>
        <v>45.775611514015488</v>
      </c>
      <c r="Z34" s="7">
        <f>'V-FTE Mar'!Z34/2</f>
        <v>46.846444577417245</v>
      </c>
      <c r="AA34" s="7">
        <f>'V-FTE Mar'!AA34/2</f>
        <v>42.823314750431187</v>
      </c>
      <c r="AB34" s="7">
        <f>'V-FTE Mar'!AB34/2</f>
        <v>44.534646094746151</v>
      </c>
      <c r="AC34" s="7">
        <f>'V-FTE Mar'!AC34/2</f>
        <v>19.274995141231706</v>
      </c>
      <c r="AD34" s="7">
        <f>'V-FTE Mar'!AD34/2</f>
        <v>0</v>
      </c>
      <c r="AE34" s="7">
        <f>'V-FTE Mar'!AE34/2</f>
        <v>60.997453471343327</v>
      </c>
      <c r="AF34" s="7">
        <f>'V-FTE Mar'!AF34/2</f>
        <v>49.703667377428481</v>
      </c>
    </row>
    <row r="35" spans="1:32" x14ac:dyDescent="0.25">
      <c r="A35" s="3" t="s">
        <v>40</v>
      </c>
      <c r="B35" s="7">
        <f>'V-FTE Mar'!B35/2</f>
        <v>0</v>
      </c>
      <c r="C35" s="7">
        <f>'V-FTE Mar'!C35/2</f>
        <v>68.398210951582598</v>
      </c>
      <c r="D35" s="7">
        <f>'V-FTE Mar'!D35/2</f>
        <v>50.489278550111088</v>
      </c>
      <c r="E35" s="7">
        <f>'V-FTE Mar'!E35/2</f>
        <v>47.757153070590697</v>
      </c>
      <c r="F35" s="7">
        <f>'V-FTE Mar'!F35/2</f>
        <v>44.924949734677632</v>
      </c>
      <c r="G35" s="7">
        <f>'V-FTE Mar'!G35/2</f>
        <v>47.091635325579325</v>
      </c>
      <c r="H35" s="7">
        <f>'V-FTE Mar'!H35/2</f>
        <v>18.749586395170091</v>
      </c>
      <c r="I35" s="7">
        <f>'V-FTE Mar'!I35/2</f>
        <v>0</v>
      </c>
      <c r="J35" s="7">
        <f>'V-FTE Mar'!J35/2</f>
        <v>58.860791237359429</v>
      </c>
      <c r="K35" s="7">
        <f>'V-FTE Mar'!K35/2</f>
        <v>44.729797914711888</v>
      </c>
      <c r="L35" s="7">
        <f>'V-FTE Mar'!L35/2</f>
        <v>42.187820362337618</v>
      </c>
      <c r="M35" s="7">
        <f>'V-FTE Mar'!M35/2</f>
        <v>40.126216520648242</v>
      </c>
      <c r="N35" s="7">
        <f>'V-FTE Mar'!N35/2</f>
        <v>40.696660302086563</v>
      </c>
      <c r="O35" s="7">
        <f>'V-FTE Mar'!O35/2</f>
        <v>17.403539226688441</v>
      </c>
      <c r="P35" s="7">
        <f>'V-FTE Mar'!P35/2</f>
        <v>0</v>
      </c>
      <c r="Q35" s="7">
        <f>'V-FTE Mar'!Q35/2</f>
        <v>56.619047254163227</v>
      </c>
      <c r="R35" s="7">
        <f>'V-FTE Mar'!R35/2</f>
        <v>43.41877799596768</v>
      </c>
      <c r="S35" s="7">
        <f>'V-FTE Mar'!S35/2</f>
        <v>42.463034467417508</v>
      </c>
      <c r="T35" s="7">
        <f>'V-FTE Mar'!T35/2</f>
        <v>39.060387350066115</v>
      </c>
      <c r="U35" s="7">
        <f>'V-FTE Mar'!U35/2</f>
        <v>41.532310402965507</v>
      </c>
      <c r="V35" s="7">
        <f>'V-FTE Mar'!V35/2</f>
        <v>17.403539226688441</v>
      </c>
      <c r="W35" s="7">
        <f>'V-FTE Mar'!W35/2</f>
        <v>0</v>
      </c>
      <c r="X35" s="7">
        <f>'V-FTE Mar'!X35/2</f>
        <v>58.585577132279539</v>
      </c>
      <c r="Y35" s="7">
        <f>'V-FTE Mar'!Y35/2</f>
        <v>44.990000341332873</v>
      </c>
      <c r="Z35" s="7">
        <f>'V-FTE Mar'!Z35/2</f>
        <v>44.974988662873976</v>
      </c>
      <c r="AA35" s="7">
        <f>'V-FTE Mar'!AA35/2</f>
        <v>41.457252010670992</v>
      </c>
      <c r="AB35" s="7">
        <f>'V-FTE Mar'!AB35/2</f>
        <v>44.034256812782715</v>
      </c>
      <c r="AC35" s="7">
        <f>'V-FTE Mar'!AC35/2</f>
        <v>19.019796607430347</v>
      </c>
      <c r="AD35" s="7">
        <f>'V-FTE Mar'!AD35/2</f>
        <v>0</v>
      </c>
      <c r="AE35" s="7">
        <f>'V-FTE Mar'!AE35/2</f>
        <v>60.827321115475755</v>
      </c>
      <c r="AF35" s="7">
        <f>'V-FTE Mar'!AF35/2</f>
        <v>48.657853778124895</v>
      </c>
    </row>
    <row r="36" spans="1:32" x14ac:dyDescent="0.25">
      <c r="A36" s="3" t="s">
        <v>41</v>
      </c>
      <c r="B36" s="7">
        <f>'V-FTE Mar'!B36/2</f>
        <v>0</v>
      </c>
      <c r="C36" s="7">
        <f>'V-FTE Mar'!C36/2</f>
        <v>68.928623590463843</v>
      </c>
      <c r="D36" s="7">
        <f>'V-FTE Mar'!D36/2</f>
        <v>52.17559043032788</v>
      </c>
      <c r="E36" s="7">
        <f>'V-FTE Mar'!E36/2</f>
        <v>46.976545790727734</v>
      </c>
      <c r="F36" s="7">
        <f>'V-FTE Mar'!F36/2</f>
        <v>45.140117125921904</v>
      </c>
      <c r="G36" s="7">
        <f>'V-FTE Mar'!G36/2</f>
        <v>47.146678146595306</v>
      </c>
      <c r="H36" s="7">
        <f>'V-FTE Mar'!H36/2</f>
        <v>18.154123149633598</v>
      </c>
      <c r="I36" s="7">
        <f>'V-FTE Mar'!I36/2</f>
        <v>0</v>
      </c>
      <c r="J36" s="7">
        <f>'V-FTE Mar'!J36/2</f>
        <v>56.969319751537633</v>
      </c>
      <c r="K36" s="7">
        <f>'V-FTE Mar'!K36/2</f>
        <v>44.039260705602352</v>
      </c>
      <c r="L36" s="7">
        <f>'V-FTE Mar'!L36/2</f>
        <v>40.78673037283999</v>
      </c>
      <c r="M36" s="7">
        <f>'V-FTE Mar'!M36/2</f>
        <v>40.261321626778368</v>
      </c>
      <c r="N36" s="7">
        <f>'V-FTE Mar'!N36/2</f>
        <v>39.31058199104784</v>
      </c>
      <c r="O36" s="7">
        <f>'V-FTE Mar'!O36/2</f>
        <v>17.063274514953303</v>
      </c>
      <c r="P36" s="7">
        <f>'V-FTE Mar'!P36/2</f>
        <v>0</v>
      </c>
      <c r="Q36" s="7">
        <f>'V-FTE Mar'!Q36/2</f>
        <v>54.747591339619959</v>
      </c>
      <c r="R36" s="7">
        <f>'V-FTE Mar'!R36/2</f>
        <v>42.723236894038493</v>
      </c>
      <c r="S36" s="7">
        <f>'V-FTE Mar'!S36/2</f>
        <v>41.327150797360503</v>
      </c>
      <c r="T36" s="7">
        <f>'V-FTE Mar'!T36/2</f>
        <v>38.905266672657454</v>
      </c>
      <c r="U36" s="7">
        <f>'V-FTE Mar'!U36/2</f>
        <v>40.146232091926784</v>
      </c>
      <c r="V36" s="7">
        <f>'V-FTE Mar'!V36/2</f>
        <v>16.793064302693043</v>
      </c>
      <c r="W36" s="7">
        <f>'V-FTE Mar'!W36/2</f>
        <v>0</v>
      </c>
      <c r="X36" s="7">
        <f>'V-FTE Mar'!X36/2</f>
        <v>56.694105646457736</v>
      </c>
      <c r="Y36" s="7">
        <f>'V-FTE Mar'!Y36/2</f>
        <v>44.039260705602352</v>
      </c>
      <c r="Z36" s="7">
        <f>'V-FTE Mar'!Z36/2</f>
        <v>43.478824709803298</v>
      </c>
      <c r="AA36" s="7">
        <f>'V-FTE Mar'!AA36/2</f>
        <v>41.347166368639037</v>
      </c>
      <c r="AB36" s="7">
        <f>'V-FTE Mar'!AB36/2</f>
        <v>42.668194073022519</v>
      </c>
      <c r="AC36" s="7">
        <f>'V-FTE Mar'!AC36/2</f>
        <v>18.699547466973748</v>
      </c>
      <c r="AD36" s="7">
        <f>'V-FTE Mar'!AD36/2</f>
        <v>0</v>
      </c>
      <c r="AE36" s="7">
        <f>'V-FTE Mar'!AE36/2</f>
        <v>58.920837951195047</v>
      </c>
      <c r="AF36" s="7">
        <f>'V-FTE Mar'!AF36/2</f>
        <v>47.717121928033635</v>
      </c>
    </row>
    <row r="37" spans="1:32" x14ac:dyDescent="0.25">
      <c r="A37" s="3" t="s">
        <v>42</v>
      </c>
      <c r="B37" s="7">
        <f>'V-FTE Mar'!B37/2</f>
        <v>0</v>
      </c>
      <c r="C37" s="7">
        <f>'V-FTE Mar'!C37/2</f>
        <v>64.239976018466407</v>
      </c>
      <c r="D37" s="7">
        <f>'V-FTE Mar'!D37/2</f>
        <v>49.318367630316637</v>
      </c>
      <c r="E37" s="7">
        <f>'V-FTE Mar'!E37/2</f>
        <v>44.574677237303227</v>
      </c>
      <c r="F37" s="7">
        <f>'V-FTE Mar'!F37/2</f>
        <v>44.149346347634307</v>
      </c>
      <c r="G37" s="7">
        <f>'V-FTE Mar'!G37/2</f>
        <v>44.034256812782715</v>
      </c>
      <c r="H37" s="7">
        <f>'V-FTE Mar'!H37/2</f>
        <v>17.588683261014911</v>
      </c>
      <c r="I37" s="7">
        <f>'V-FTE Mar'!I37/2</f>
        <v>0</v>
      </c>
      <c r="J37" s="7">
        <f>'V-FTE Mar'!J37/2</f>
        <v>54.26221373611542</v>
      </c>
      <c r="K37" s="7">
        <f>'V-FTE Mar'!K37/2</f>
        <v>43.5088480667211</v>
      </c>
      <c r="L37" s="7">
        <f>'V-FTE Mar'!L37/2</f>
        <v>39.785951808913104</v>
      </c>
      <c r="M37" s="7">
        <f>'V-FTE Mar'!M37/2</f>
        <v>38.514963032725973</v>
      </c>
      <c r="N37" s="7">
        <f>'V-FTE Mar'!N37/2</f>
        <v>38.544986389643775</v>
      </c>
      <c r="O37" s="7">
        <f>'V-FTE Mar'!O37/2</f>
        <v>15.952410308994462</v>
      </c>
      <c r="P37" s="7">
        <f>'V-FTE Mar'!P37/2</f>
        <v>0</v>
      </c>
      <c r="Q37" s="7">
        <f>'V-FTE Mar'!Q37/2</f>
        <v>52.320703322097273</v>
      </c>
      <c r="R37" s="7">
        <f>'V-FTE Mar'!R37/2</f>
        <v>41.917610150077358</v>
      </c>
      <c r="S37" s="7">
        <f>'V-FTE Mar'!S37/2</f>
        <v>40.316364447794349</v>
      </c>
      <c r="T37" s="7">
        <f>'V-FTE Mar'!T37/2</f>
        <v>37.168915864244319</v>
      </c>
      <c r="U37" s="7">
        <f>'V-FTE Mar'!U37/2</f>
        <v>39.640838917143711</v>
      </c>
      <c r="V37" s="7">
        <f>'V-FTE Mar'!V37/2</f>
        <v>15.952410308994462</v>
      </c>
      <c r="W37" s="7">
        <f>'V-FTE Mar'!W37/2</f>
        <v>0</v>
      </c>
      <c r="X37" s="7">
        <f>'V-FTE Mar'!X37/2</f>
        <v>54.26221373611542</v>
      </c>
      <c r="Y37" s="7">
        <f>'V-FTE Mar'!Y37/2</f>
        <v>43.5088480667211</v>
      </c>
      <c r="Z37" s="7">
        <f>'V-FTE Mar'!Z37/2</f>
        <v>42.177812576698351</v>
      </c>
      <c r="AA37" s="7">
        <f>'V-FTE Mar'!AA37/2</f>
        <v>39.590799988947367</v>
      </c>
      <c r="AB37" s="7">
        <f>'V-FTE Mar'!AB37/2</f>
        <v>42.112761970043103</v>
      </c>
      <c r="AC37" s="7">
        <f>'V-FTE Mar'!AC37/2</f>
        <v>17.588683261014911</v>
      </c>
      <c r="AD37" s="7">
        <f>'V-FTE Mar'!AD37/2</f>
        <v>0</v>
      </c>
      <c r="AE37" s="7">
        <f>'V-FTE Mar'!AE37/2</f>
        <v>56.203724150133567</v>
      </c>
      <c r="AF37" s="7">
        <f>'V-FTE Mar'!AF37/2</f>
        <v>46.941518540990295</v>
      </c>
    </row>
    <row r="38" spans="1:32" x14ac:dyDescent="0.25">
      <c r="A38" s="3" t="s">
        <v>43</v>
      </c>
      <c r="B38" s="7">
        <f>'V-FTE Mar'!B38/2</f>
        <v>0</v>
      </c>
      <c r="C38" s="7">
        <f>'V-FTE Mar'!C38/2</f>
        <v>62.003235928089836</v>
      </c>
      <c r="D38" s="7">
        <f>'V-FTE Mar'!D38/2</f>
        <v>43.859120564095505</v>
      </c>
      <c r="E38" s="7">
        <f>'V-FTE Mar'!E38/2</f>
        <v>43.36873906777133</v>
      </c>
      <c r="F38" s="7">
        <f>'V-FTE Mar'!F38/2</f>
        <v>40.226294377040929</v>
      </c>
      <c r="G38" s="7">
        <f>'V-FTE Mar'!G38/2</f>
        <v>41.407213082474655</v>
      </c>
      <c r="H38" s="7">
        <f>'V-FTE Mar'!H38/2</f>
        <v>15.361950956277605</v>
      </c>
      <c r="I38" s="7">
        <f>'V-FTE Mar'!I38/2</f>
        <v>0</v>
      </c>
      <c r="J38" s="7">
        <f>'V-FTE Mar'!J38/2</f>
        <v>51.520080470955769</v>
      </c>
      <c r="K38" s="7">
        <f>'V-FTE Mar'!K38/2</f>
        <v>42.002676328011141</v>
      </c>
      <c r="L38" s="7">
        <f>'V-FTE Mar'!L38/2</f>
        <v>38.199717785089</v>
      </c>
      <c r="M38" s="7">
        <f>'V-FTE Mar'!M38/2</f>
        <v>36.703553832018315</v>
      </c>
      <c r="N38" s="7">
        <f>'V-FTE Mar'!N38/2</f>
        <v>37.003787401196377</v>
      </c>
      <c r="O38" s="7">
        <f>'V-FTE Mar'!O38/2</f>
        <v>15.091740744017347</v>
      </c>
      <c r="P38" s="7">
        <f>'V-FTE Mar'!P38/2</f>
        <v>0</v>
      </c>
      <c r="Q38" s="7">
        <f>'V-FTE Mar'!Q38/2</f>
        <v>49.313363737496999</v>
      </c>
      <c r="R38" s="7">
        <f>'V-FTE Mar'!R38/2</f>
        <v>40.676644730808029</v>
      </c>
      <c r="S38" s="7">
        <f>'V-FTE Mar'!S38/2</f>
        <v>38.740138209609512</v>
      </c>
      <c r="T38" s="7">
        <f>'V-FTE Mar'!T38/2</f>
        <v>35.617709090157653</v>
      </c>
      <c r="U38" s="7">
        <f>'V-FTE Mar'!U38/2</f>
        <v>37.829429716436053</v>
      </c>
      <c r="V38" s="7">
        <f>'V-FTE Mar'!V38/2</f>
        <v>15.091740744017347</v>
      </c>
      <c r="W38" s="7">
        <f>'V-FTE Mar'!W38/2</f>
        <v>0</v>
      </c>
      <c r="X38" s="7">
        <f>'V-FTE Mar'!X38/2</f>
        <v>51.244866365875872</v>
      </c>
      <c r="Y38" s="7">
        <f>'V-FTE Mar'!Y38/2</f>
        <v>42.002676328011141</v>
      </c>
      <c r="Z38" s="7">
        <f>'V-FTE Mar'!Z38/2</f>
        <v>40.92183547897011</v>
      </c>
      <c r="AA38" s="7">
        <f>'V-FTE Mar'!AA38/2</f>
        <v>37.789398573878977</v>
      </c>
      <c r="AB38" s="7">
        <f>'V-FTE Mar'!AB38/2</f>
        <v>40.311360554974719</v>
      </c>
      <c r="AC38" s="7">
        <f>'V-FTE Mar'!AC38/2</f>
        <v>16.452799590957905</v>
      </c>
      <c r="AD38" s="7">
        <f>'V-FTE Mar'!AD38/2</f>
        <v>0</v>
      </c>
      <c r="AE38" s="7">
        <f>'V-FTE Mar'!AE38/2</f>
        <v>52.901154889174869</v>
      </c>
      <c r="AF38" s="7">
        <f>'V-FTE Mar'!AF38/2</f>
        <v>45.44535458791961</v>
      </c>
    </row>
    <row r="39" spans="1:32" x14ac:dyDescent="0.25">
      <c r="A39" s="3" t="s">
        <v>44</v>
      </c>
      <c r="B39" s="7">
        <f>'V-FTE Mar'!B39/2</f>
        <v>0</v>
      </c>
      <c r="C39" s="7">
        <f>'V-FTE Mar'!C39/2</f>
        <v>51.695216719642971</v>
      </c>
      <c r="D39" s="7">
        <f>'V-FTE Mar'!D39/2</f>
        <v>41.001897764084262</v>
      </c>
      <c r="E39" s="7">
        <f>'V-FTE Mar'!E39/2</f>
        <v>38.825204387543302</v>
      </c>
      <c r="F39" s="7">
        <f>'V-FTE Mar'!F39/2</f>
        <v>36.548433154609654</v>
      </c>
      <c r="G39" s="7">
        <f>'V-FTE Mar'!G39/2</f>
        <v>38.374854033776209</v>
      </c>
      <c r="H39" s="7">
        <f>'V-FTE Mar'!H39/2</f>
        <v>13.465475577636166</v>
      </c>
      <c r="I39" s="7">
        <f>'V-FTE Mar'!I39/2</f>
        <v>0</v>
      </c>
      <c r="J39" s="7">
        <f>'V-FTE Mar'!J39/2</f>
        <v>47.797184213147773</v>
      </c>
      <c r="K39" s="7">
        <f>'V-FTE Mar'!K39/2</f>
        <v>39.390644276161986</v>
      </c>
      <c r="L39" s="7">
        <f>'V-FTE Mar'!L39/2</f>
        <v>35.527639019404226</v>
      </c>
      <c r="M39" s="7">
        <f>'V-FTE Mar'!M39/2</f>
        <v>34.611926633411137</v>
      </c>
      <c r="N39" s="7">
        <f>'V-FTE Mar'!N39/2</f>
        <v>34.401763134986489</v>
      </c>
      <c r="O39" s="7">
        <f>'V-FTE Mar'!O39/2</f>
        <v>13.465475577636166</v>
      </c>
      <c r="P39" s="7">
        <f>'V-FTE Mar'!P39/2</f>
        <v>0</v>
      </c>
      <c r="Q39" s="7">
        <f>'V-FTE Mar'!Q39/2</f>
        <v>45.845666013490366</v>
      </c>
      <c r="R39" s="7">
        <f>'V-FTE Mar'!R39/2</f>
        <v>38.044597107680339</v>
      </c>
      <c r="S39" s="7">
        <f>'V-FTE Mar'!S39/2</f>
        <v>36.078067229564013</v>
      </c>
      <c r="T39" s="7">
        <f>'V-FTE Mar'!T39/2</f>
        <v>33.781280425351831</v>
      </c>
      <c r="U39" s="7">
        <f>'V-FTE Mar'!U39/2</f>
        <v>34.967203023605173</v>
      </c>
      <c r="V39" s="7">
        <f>'V-FTE Mar'!V39/2</f>
        <v>13.465475577636166</v>
      </c>
      <c r="W39" s="7">
        <f>'V-FTE Mar'!W39/2</f>
        <v>0</v>
      </c>
      <c r="X39" s="7">
        <f>'V-FTE Mar'!X39/2</f>
        <v>47.516966215248246</v>
      </c>
      <c r="Y39" s="7">
        <f>'V-FTE Mar'!Y39/2</f>
        <v>39.390644276161986</v>
      </c>
      <c r="Z39" s="7">
        <f>'V-FTE Mar'!Z39/2</f>
        <v>37.999562072303618</v>
      </c>
      <c r="AA39" s="7">
        <f>'V-FTE Mar'!AA39/2</f>
        <v>35.717786946550333</v>
      </c>
      <c r="AB39" s="7">
        <f>'V-FTE Mar'!AB39/2</f>
        <v>37.524192254438354</v>
      </c>
      <c r="AC39" s="7">
        <f>'V-FTE Mar'!AC39/2</f>
        <v>14.801514960478551</v>
      </c>
      <c r="AD39" s="7">
        <f>'V-FTE Mar'!AD39/2</f>
        <v>0</v>
      </c>
      <c r="AE39" s="7">
        <f>'V-FTE Mar'!AE39/2</f>
        <v>49.19327030982577</v>
      </c>
      <c r="AF39" s="7">
        <f>'V-FTE Mar'!AF39/2</f>
        <v>42.618155144826176</v>
      </c>
    </row>
    <row r="40" spans="1:32" x14ac:dyDescent="0.25">
      <c r="A40" s="3" t="s">
        <v>45</v>
      </c>
      <c r="B40" s="7">
        <f>'V-FTE Mar'!B40/2</f>
        <v>0</v>
      </c>
      <c r="C40" s="7">
        <f>'V-FTE Mar'!C40/2</f>
        <v>48.232522888455975</v>
      </c>
      <c r="D40" s="7">
        <f>'V-FTE Mar'!D40/2</f>
        <v>37.714340181584468</v>
      </c>
      <c r="E40" s="7">
        <f>'V-FTE Mar'!E40/2</f>
        <v>33.951412781219389</v>
      </c>
      <c r="F40" s="7">
        <f>'V-FTE Mar'!F40/2</f>
        <v>32.345163186116757</v>
      </c>
      <c r="G40" s="7">
        <f>'V-FTE Mar'!G40/2</f>
        <v>32.290120365100776</v>
      </c>
      <c r="H40" s="7">
        <f>'V-FTE Mar'!H40/2</f>
        <v>11.624043020010708</v>
      </c>
      <c r="I40" s="7">
        <f>'V-FTE Mar'!I40/2</f>
        <v>0</v>
      </c>
      <c r="J40" s="7">
        <f>'V-FTE Mar'!J40/2</f>
        <v>42.703221322759958</v>
      </c>
      <c r="K40" s="7">
        <f>'V-FTE Mar'!K40/2</f>
        <v>35.792845338844856</v>
      </c>
      <c r="L40" s="7">
        <f>'V-FTE Mar'!L40/2</f>
        <v>32.565334470180666</v>
      </c>
      <c r="M40" s="7">
        <f>'V-FTE Mar'!M40/2</f>
        <v>30.393644986459339</v>
      </c>
      <c r="N40" s="7">
        <f>'V-FTE Mar'!N40/2</f>
        <v>30.578789020785809</v>
      </c>
      <c r="O40" s="7">
        <f>'V-FTE Mar'!O40/2</f>
        <v>11.624043020010708</v>
      </c>
      <c r="P40" s="7">
        <f>'V-FTE Mar'!P40/2</f>
        <v>0</v>
      </c>
      <c r="Q40" s="7">
        <f>'V-FTE Mar'!Q40/2</f>
        <v>40.766714801561449</v>
      </c>
      <c r="R40" s="7">
        <f>'V-FTE Mar'!R40/2</f>
        <v>34.691988918525283</v>
      </c>
      <c r="S40" s="7">
        <f>'V-FTE Mar'!S40/2</f>
        <v>32.840548575260556</v>
      </c>
      <c r="T40" s="7">
        <f>'V-FTE Mar'!T40/2</f>
        <v>29.557994885580396</v>
      </c>
      <c r="U40" s="7">
        <f>'V-FTE Mar'!U40/2</f>
        <v>31.149232802224134</v>
      </c>
      <c r="V40" s="7">
        <f>'V-FTE Mar'!V40/2</f>
        <v>11.624043020010708</v>
      </c>
      <c r="W40" s="7">
        <f>'V-FTE Mar'!W40/2</f>
        <v>0</v>
      </c>
      <c r="X40" s="7">
        <f>'V-FTE Mar'!X40/2</f>
        <v>42.428007217680069</v>
      </c>
      <c r="Y40" s="7">
        <f>'V-FTE Mar'!Y40/2</f>
        <v>35.792845338844856</v>
      </c>
      <c r="Z40" s="7">
        <f>'V-FTE Mar'!Z40/2</f>
        <v>34.506844884198813</v>
      </c>
      <c r="AA40" s="7">
        <f>'V-FTE Mar'!AA40/2</f>
        <v>31.509513085237806</v>
      </c>
      <c r="AB40" s="7">
        <f>'V-FTE Mar'!AB40/2</f>
        <v>33.145786037258254</v>
      </c>
      <c r="AC40" s="7">
        <f>'V-FTE Mar'!AC40/2</f>
        <v>12.965086295672727</v>
      </c>
      <c r="AD40" s="7">
        <f>'V-FTE Mar'!AD40/2</f>
        <v>0</v>
      </c>
      <c r="AE40" s="7">
        <f>'V-FTE Mar'!AE40/2</f>
        <v>43.809081635899162</v>
      </c>
      <c r="AF40" s="7">
        <f>'V-FTE Mar'!AF40/2</f>
        <v>38.815196601904027</v>
      </c>
    </row>
    <row r="41" spans="1:32" x14ac:dyDescent="0.25">
      <c r="A41" s="3" t="s">
        <v>46</v>
      </c>
      <c r="B41" s="7">
        <f>'V-FTE Mar'!B41/2</f>
        <v>0</v>
      </c>
      <c r="C41" s="7">
        <f>'V-FTE Mar'!C41/2</f>
        <v>41.717454437291984</v>
      </c>
      <c r="D41" s="7">
        <f>'V-FTE Mar'!D41/2</f>
        <v>31.829762225694409</v>
      </c>
      <c r="E41" s="7">
        <f>'V-FTE Mar'!E41/2</f>
        <v>28.452134572441192</v>
      </c>
      <c r="F41" s="7">
        <f>'V-FTE Mar'!F41/2</f>
        <v>27.561441650546264</v>
      </c>
      <c r="G41" s="7">
        <f>'V-FTE Mar'!G41/2</f>
        <v>27.031029011665026</v>
      </c>
      <c r="H41" s="7">
        <f>'V-FTE Mar'!H41/2</f>
        <v>9.8026260336637883</v>
      </c>
      <c r="I41" s="7">
        <f>'V-FTE Mar'!I41/2</f>
        <v>0</v>
      </c>
      <c r="J41" s="7">
        <f>'V-FTE Mar'!J41/2</f>
        <v>38.034589322041064</v>
      </c>
      <c r="K41" s="7">
        <f>'V-FTE Mar'!K41/2</f>
        <v>32.660408433753723</v>
      </c>
      <c r="L41" s="7">
        <f>'V-FTE Mar'!L41/2</f>
        <v>29.287784673320139</v>
      </c>
      <c r="M41" s="7">
        <f>'V-FTE Mar'!M41/2</f>
        <v>27.006009547566851</v>
      </c>
      <c r="N41" s="7">
        <f>'V-FTE Mar'!N41/2</f>
        <v>27.031029011665026</v>
      </c>
      <c r="O41" s="7">
        <f>'V-FTE Mar'!O41/2</f>
        <v>10.072836245924044</v>
      </c>
      <c r="P41" s="7">
        <f>'V-FTE Mar'!P41/2</f>
        <v>0</v>
      </c>
      <c r="Q41" s="7">
        <f>'V-FTE Mar'!Q41/2</f>
        <v>36.618487654084532</v>
      </c>
      <c r="R41" s="7">
        <f>'V-FTE Mar'!R41/2</f>
        <v>31.55454812061452</v>
      </c>
      <c r="S41" s="7">
        <f>'V-FTE Mar'!S41/2</f>
        <v>29.568002671219666</v>
      </c>
      <c r="T41" s="7">
        <f>'V-FTE Mar'!T41/2</f>
        <v>26.170359446687907</v>
      </c>
      <c r="U41" s="7">
        <f>'V-FTE Mar'!U41/2</f>
        <v>27.59646890028371</v>
      </c>
      <c r="V41" s="7">
        <f>'V-FTE Mar'!V41/2</f>
        <v>10.072836245924044</v>
      </c>
      <c r="W41" s="7">
        <f>'V-FTE Mar'!W41/2</f>
        <v>0</v>
      </c>
      <c r="X41" s="7">
        <f>'V-FTE Mar'!X41/2</f>
        <v>38.034589322041064</v>
      </c>
      <c r="Y41" s="7">
        <f>'V-FTE Mar'!Y41/2</f>
        <v>32.660408433753723</v>
      </c>
      <c r="Z41" s="7">
        <f>'V-FTE Mar'!Z41/2</f>
        <v>31.239302872977554</v>
      </c>
      <c r="AA41" s="7">
        <f>'V-FTE Mar'!AA41/2</f>
        <v>27.841659648445798</v>
      </c>
      <c r="AB41" s="7">
        <f>'V-FTE Mar'!AB41/2</f>
        <v>29.287784673320139</v>
      </c>
      <c r="AC41" s="7">
        <f>'V-FTE Mar'!AC41/2</f>
        <v>11.158680987784711</v>
      </c>
      <c r="AD41" s="7">
        <f>'V-FTE Mar'!AD41/2</f>
        <v>0</v>
      </c>
      <c r="AE41" s="7">
        <f>'V-FTE Mar'!AE41/2</f>
        <v>39.450690989997604</v>
      </c>
      <c r="AF41" s="7">
        <f>'V-FTE Mar'!AF41/2</f>
        <v>35.422557270191909</v>
      </c>
    </row>
    <row r="42" spans="1:32" x14ac:dyDescent="0.25">
      <c r="A42" s="3" t="s">
        <v>47</v>
      </c>
      <c r="B42" s="7">
        <f>'V-FTE Mar'!B42/2</f>
        <v>0</v>
      </c>
      <c r="C42" s="7">
        <f>'V-FTE Mar'!C42/2</f>
        <v>33.926393317121224</v>
      </c>
      <c r="D42" s="7">
        <f>'V-FTE Mar'!D42/2</f>
        <v>26.500616372783774</v>
      </c>
      <c r="E42" s="7">
        <f>'V-FTE Mar'!E42/2</f>
        <v>23.928615463491695</v>
      </c>
      <c r="F42" s="7">
        <f>'V-FTE Mar'!F42/2</f>
        <v>22.227291904815999</v>
      </c>
      <c r="G42" s="7">
        <f>'V-FTE Mar'!G42/2</f>
        <v>21.531750802886819</v>
      </c>
      <c r="H42" s="7">
        <f>'V-FTE Mar'!H42/2</f>
        <v>7.7510299776136842</v>
      </c>
      <c r="I42" s="7">
        <f>'V-FTE Mar'!I42/2</f>
        <v>0</v>
      </c>
      <c r="J42" s="7">
        <f>'V-FTE Mar'!J42/2</f>
        <v>33.641171426402067</v>
      </c>
      <c r="K42" s="7">
        <f>'V-FTE Mar'!K42/2</f>
        <v>29.232741852304155</v>
      </c>
      <c r="L42" s="7">
        <f>'V-FTE Mar'!L42/2</f>
        <v>26.745807120945862</v>
      </c>
      <c r="M42" s="7">
        <f>'V-FTE Mar'!M42/2</f>
        <v>23.623378001494</v>
      </c>
      <c r="N42" s="7">
        <f>'V-FTE Mar'!N42/2</f>
        <v>23.243082147201786</v>
      </c>
      <c r="O42" s="7">
        <f>'V-FTE Mar'!O42/2</f>
        <v>8.0112324042346739</v>
      </c>
      <c r="P42" s="7">
        <f>'V-FTE Mar'!P42/2</f>
        <v>0</v>
      </c>
      <c r="Q42" s="7">
        <f>'V-FTE Mar'!Q42/2</f>
        <v>32.200050294347356</v>
      </c>
      <c r="R42" s="7">
        <f>'V-FTE Mar'!R42/2</f>
        <v>28.41210342988412</v>
      </c>
      <c r="S42" s="7">
        <f>'V-FTE Mar'!S42/2</f>
        <v>27.031029011665026</v>
      </c>
      <c r="T42" s="7">
        <f>'V-FTE Mar'!T42/2</f>
        <v>23.062942005694946</v>
      </c>
      <c r="U42" s="7">
        <f>'V-FTE Mar'!U42/2</f>
        <v>23.80852203582047</v>
      </c>
      <c r="V42" s="7">
        <f>'V-FTE Mar'!V42/2</f>
        <v>8.0112324042346739</v>
      </c>
      <c r="W42" s="7">
        <f>'V-FTE Mar'!W42/2</f>
        <v>0</v>
      </c>
      <c r="X42" s="7">
        <f>'V-FTE Mar'!X42/2</f>
        <v>33.350945642863273</v>
      </c>
      <c r="Y42" s="7">
        <f>'V-FTE Mar'!Y42/2</f>
        <v>29.507955957384048</v>
      </c>
      <c r="Z42" s="7">
        <f>'V-FTE Mar'!Z42/2</f>
        <v>28.437122893982288</v>
      </c>
      <c r="AA42" s="7">
        <f>'V-FTE Mar'!AA42/2</f>
        <v>24.459028102372944</v>
      </c>
      <c r="AB42" s="7">
        <f>'V-FTE Mar'!AB42/2</f>
        <v>25.229627596596643</v>
      </c>
      <c r="AC42" s="7">
        <f>'V-FTE Mar'!AC42/2</f>
        <v>8.7818318984583712</v>
      </c>
      <c r="AD42" s="7">
        <f>'V-FTE Mar'!AD42/2</f>
        <v>0</v>
      </c>
      <c r="AE42" s="7">
        <f>'V-FTE Mar'!AE42/2</f>
        <v>34.792066774917977</v>
      </c>
      <c r="AF42" s="7">
        <f>'V-FTE Mar'!AF42/2</f>
        <v>31.689653226744646</v>
      </c>
    </row>
    <row r="43" spans="1:32" x14ac:dyDescent="0.25">
      <c r="A43" s="3" t="s">
        <v>48</v>
      </c>
      <c r="B43" s="7">
        <f>'V-FTE Mar'!B43/2</f>
        <v>0</v>
      </c>
      <c r="C43" s="7">
        <f>'V-FTE Mar'!C43/2</f>
        <v>25.109534168925411</v>
      </c>
      <c r="D43" s="7">
        <f>'V-FTE Mar'!D43/2</f>
        <v>20.751143523023853</v>
      </c>
      <c r="E43" s="7">
        <f>'V-FTE Mar'!E43/2</f>
        <v>19.500170318115252</v>
      </c>
      <c r="F43" s="7">
        <f>'V-FTE Mar'!F43/2</f>
        <v>18.284224362944094</v>
      </c>
      <c r="G43" s="7">
        <f>'V-FTE Mar'!G43/2</f>
        <v>18.384302219336782</v>
      </c>
      <c r="H43" s="7">
        <f>'V-FTE Mar'!H43/2</f>
        <v>6.3949750234927611</v>
      </c>
      <c r="I43" s="7">
        <f>'V-FTE Mar'!I43/2</f>
        <v>0</v>
      </c>
      <c r="J43" s="7">
        <f>'V-FTE Mar'!J43/2</f>
        <v>27.746585684872745</v>
      </c>
      <c r="K43" s="7">
        <f>'V-FTE Mar'!K43/2</f>
        <v>24.91438234895967</v>
      </c>
      <c r="L43" s="7">
        <f>'V-FTE Mar'!L43/2</f>
        <v>23.072949791334214</v>
      </c>
      <c r="M43" s="7">
        <f>'V-FTE Mar'!M43/2</f>
        <v>20.010567385717962</v>
      </c>
      <c r="N43" s="7">
        <f>'V-FTE Mar'!N43/2</f>
        <v>18.679531895695209</v>
      </c>
      <c r="O43" s="7">
        <f>'V-FTE Mar'!O43/2</f>
        <v>6.9103759839151051</v>
      </c>
      <c r="P43" s="7">
        <f>'V-FTE Mar'!P43/2</f>
        <v>0</v>
      </c>
      <c r="Q43" s="7">
        <f>'V-FTE Mar'!Q43/2</f>
        <v>26.57567476507829</v>
      </c>
      <c r="R43" s="7">
        <f>'V-FTE Mar'!R43/2</f>
        <v>24.08373614090036</v>
      </c>
      <c r="S43" s="7">
        <f>'V-FTE Mar'!S43/2</f>
        <v>23.368179467692645</v>
      </c>
      <c r="T43" s="7">
        <f>'V-FTE Mar'!T43/2</f>
        <v>19.440123604279641</v>
      </c>
      <c r="U43" s="7">
        <f>'V-FTE Mar'!U43/2</f>
        <v>19.269991248412069</v>
      </c>
      <c r="V43" s="7">
        <f>'V-FTE Mar'!V43/2</f>
        <v>6.9103759839151051</v>
      </c>
      <c r="W43" s="7">
        <f>'V-FTE Mar'!W43/2</f>
        <v>0</v>
      </c>
      <c r="X43" s="7">
        <f>'V-FTE Mar'!X43/2</f>
        <v>27.746585684872745</v>
      </c>
      <c r="Y43" s="7">
        <f>'V-FTE Mar'!Y43/2</f>
        <v>24.91438234895967</v>
      </c>
      <c r="Z43" s="7">
        <f>'V-FTE Mar'!Z43/2</f>
        <v>24.559105958765628</v>
      </c>
      <c r="AA43" s="7">
        <f>'V-FTE Mar'!AA43/2</f>
        <v>20.591018952795551</v>
      </c>
      <c r="AB43" s="7">
        <f>'V-FTE Mar'!AB43/2</f>
        <v>20.445906061026154</v>
      </c>
      <c r="AC43" s="7">
        <f>'V-FTE Mar'!AC43/2</f>
        <v>7.6809754781388024</v>
      </c>
      <c r="AD43" s="7">
        <f>'V-FTE Mar'!AD43/2</f>
        <v>0</v>
      </c>
      <c r="AE43" s="7">
        <f>'V-FTE Mar'!AE43/2</f>
        <v>28.622266928308761</v>
      </c>
      <c r="AF43" s="7">
        <f>'V-FTE Mar'!AF43/2</f>
        <v>26.855892762977817</v>
      </c>
    </row>
    <row r="44" spans="1:32" x14ac:dyDescent="0.25">
      <c r="A44" s="3" t="s">
        <v>49</v>
      </c>
      <c r="B44" s="7">
        <f>'V-FTE Mar'!B44/2</f>
        <v>0</v>
      </c>
      <c r="C44" s="7">
        <f>'V-FTE Mar'!C44/2</f>
        <v>18.459360611631297</v>
      </c>
      <c r="D44" s="7">
        <f>'V-FTE Mar'!D44/2</f>
        <v>15.186814707590401</v>
      </c>
      <c r="E44" s="7">
        <f>'V-FTE Mar'!E44/2</f>
        <v>14.53630864103793</v>
      </c>
      <c r="F44" s="7">
        <f>'V-FTE Mar'!F44/2</f>
        <v>13.465475577636166</v>
      </c>
      <c r="G44" s="7">
        <f>'V-FTE Mar'!G44/2</f>
        <v>13.370401614063114</v>
      </c>
      <c r="H44" s="7">
        <f>'V-FTE Mar'!H44/2</f>
        <v>5.5843443867119884</v>
      </c>
      <c r="I44" s="7">
        <f>'V-FTE Mar'!I44/2</f>
        <v>0</v>
      </c>
      <c r="J44" s="7">
        <f>'V-FTE Mar'!J44/2</f>
        <v>22.367400903765763</v>
      </c>
      <c r="K44" s="7">
        <f>'V-FTE Mar'!K44/2</f>
        <v>19.249975677133531</v>
      </c>
      <c r="L44" s="7">
        <f>'V-FTE Mar'!L44/2</f>
        <v>17.853889580455533</v>
      </c>
      <c r="M44" s="7">
        <f>'V-FTE Mar'!M44/2</f>
        <v>16.442791805318635</v>
      </c>
      <c r="N44" s="7">
        <f>'V-FTE Mar'!N44/2</f>
        <v>13.960860966779972</v>
      </c>
      <c r="O44" s="7">
        <f>'V-FTE Mar'!O44/2</f>
        <v>6.665185235753019</v>
      </c>
      <c r="P44" s="7">
        <f>'V-FTE Mar'!P44/2</f>
        <v>0</v>
      </c>
      <c r="Q44" s="7">
        <f>'V-FTE Mar'!Q44/2</f>
        <v>21.466700196231571</v>
      </c>
      <c r="R44" s="7">
        <f>'V-FTE Mar'!R44/2</f>
        <v>18.954746000775106</v>
      </c>
      <c r="S44" s="7">
        <f>'V-FTE Mar'!S44/2</f>
        <v>18.159127042453232</v>
      </c>
      <c r="T44" s="7">
        <f>'V-FTE Mar'!T44/2</f>
        <v>15.852332452601775</v>
      </c>
      <c r="U44" s="7">
        <f>'V-FTE Mar'!U44/2</f>
        <v>14.261094535958037</v>
      </c>
      <c r="V44" s="7">
        <f>'V-FTE Mar'!V44/2</f>
        <v>6.665185235753019</v>
      </c>
      <c r="W44" s="7">
        <f>'V-FTE Mar'!W44/2</f>
        <v>0</v>
      </c>
      <c r="X44" s="7">
        <f>'V-FTE Mar'!X44/2</f>
        <v>22.067167334587698</v>
      </c>
      <c r="Y44" s="7">
        <f>'V-FTE Mar'!Y44/2</f>
        <v>19.535197567852691</v>
      </c>
      <c r="Z44" s="7">
        <f>'V-FTE Mar'!Z44/2</f>
        <v>19.059827749987427</v>
      </c>
      <c r="AA44" s="7">
        <f>'V-FTE Mar'!AA44/2</f>
        <v>17.043258943674765</v>
      </c>
      <c r="AB44" s="7">
        <f>'V-FTE Mar'!AB44/2</f>
        <v>15.442013241391756</v>
      </c>
      <c r="AC44" s="7">
        <f>'V-FTE Mar'!AC44/2</f>
        <v>7.4708119797141572</v>
      </c>
      <c r="AD44" s="7">
        <f>'V-FTE Mar'!AD44/2</f>
        <v>0</v>
      </c>
      <c r="AE44" s="7">
        <f>'V-FTE Mar'!AE44/2</f>
        <v>22.962864149302256</v>
      </c>
      <c r="AF44" s="7">
        <f>'V-FTE Mar'!AF44/2</f>
        <v>20.981322592727036</v>
      </c>
    </row>
    <row r="45" spans="1:32" x14ac:dyDescent="0.25">
      <c r="A45" s="3" t="s">
        <v>50</v>
      </c>
      <c r="B45" s="7">
        <f>'V-FTE Mar'!B45/2</f>
        <v>0</v>
      </c>
      <c r="C45" s="7">
        <f>'V-FTE Mar'!C45/2</f>
        <v>11.904261017910235</v>
      </c>
      <c r="D45" s="7">
        <f>'V-FTE Mar'!D45/2</f>
        <v>11.358836700570086</v>
      </c>
      <c r="E45" s="7">
        <f>'V-FTE Mar'!E45/2</f>
        <v>9.1871472168487571</v>
      </c>
      <c r="F45" s="7">
        <f>'V-FTE Mar'!F45/2</f>
        <v>9.537419714223164</v>
      </c>
      <c r="G45" s="7">
        <f>'V-FTE Mar'!G45/2</f>
        <v>9.0520421107186273</v>
      </c>
      <c r="H45" s="7">
        <f>'V-FTE Mar'!H45/2</f>
        <v>0</v>
      </c>
      <c r="I45" s="7">
        <f>'V-FTE Mar'!I45/2</f>
        <v>0</v>
      </c>
      <c r="J45" s="7">
        <f>'V-FTE Mar'!J45/2</f>
        <v>15.762262381848357</v>
      </c>
      <c r="K45" s="7">
        <f>'V-FTE Mar'!K45/2</f>
        <v>13.685646861700082</v>
      </c>
      <c r="L45" s="7">
        <f>'V-FTE Mar'!L45/2</f>
        <v>12.164463444531224</v>
      </c>
      <c r="M45" s="7">
        <f>'V-FTE Mar'!M45/2</f>
        <v>12.229514051186472</v>
      </c>
      <c r="N45" s="7">
        <f>'V-FTE Mar'!N45/2</f>
        <v>9.637497570615853</v>
      </c>
      <c r="O45" s="7">
        <f>'V-FTE Mar'!O45/2</f>
        <v>0</v>
      </c>
      <c r="P45" s="7">
        <f>'V-FTE Mar'!P45/2</f>
        <v>0</v>
      </c>
      <c r="Q45" s="7">
        <f>'V-FTE Mar'!Q45/2</f>
        <v>15.171803029131496</v>
      </c>
      <c r="R45" s="7">
        <f>'V-FTE Mar'!R45/2</f>
        <v>13.10519529462249</v>
      </c>
      <c r="S45" s="7">
        <f>'V-FTE Mar'!S45/2</f>
        <v>12.459693120889654</v>
      </c>
      <c r="T45" s="7">
        <f>'V-FTE Mar'!T45/2</f>
        <v>11.629046912830344</v>
      </c>
      <c r="U45" s="7">
        <f>'V-FTE Mar'!U45/2</f>
        <v>9.9327272469742827</v>
      </c>
      <c r="V45" s="7">
        <f>'V-FTE Mar'!V45/2</f>
        <v>0</v>
      </c>
      <c r="W45" s="7">
        <f>'V-FTE Mar'!W45/2</f>
        <v>0</v>
      </c>
      <c r="X45" s="7">
        <f>'V-FTE Mar'!X45/2</f>
        <v>15.762262381848357</v>
      </c>
      <c r="Y45" s="7">
        <f>'V-FTE Mar'!Y45/2</f>
        <v>13.685646861700082</v>
      </c>
      <c r="Z45" s="7">
        <f>'V-FTE Mar'!Z45/2</f>
        <v>13.050152473606511</v>
      </c>
      <c r="AA45" s="7">
        <f>'V-FTE Mar'!AA45/2</f>
        <v>12.524743727544902</v>
      </c>
      <c r="AB45" s="7">
        <f>'V-FTE Mar'!AB45/2</f>
        <v>10.518182706871507</v>
      </c>
      <c r="AC45" s="7">
        <f>'V-FTE Mar'!AC45/2</f>
        <v>0</v>
      </c>
      <c r="AD45" s="7">
        <f>'V-FTE Mar'!AD45/2</f>
        <v>0</v>
      </c>
      <c r="AE45" s="7">
        <f>'V-FTE Mar'!AE45/2</f>
        <v>16.352721734565215</v>
      </c>
      <c r="AF45" s="7">
        <f>'V-FTE Mar'!AF45/2</f>
        <v>14.846549995855261</v>
      </c>
    </row>
    <row r="46" spans="1:32" x14ac:dyDescent="0.25">
      <c r="A46" s="3" t="s">
        <v>51</v>
      </c>
      <c r="B46" s="7">
        <f>'V-FTE Mar'!B46/2</f>
        <v>0</v>
      </c>
      <c r="C46" s="7">
        <f>'V-FTE Mar'!C46/2</f>
        <v>8.3464932231501763</v>
      </c>
      <c r="D46" s="7">
        <f>'V-FTE Mar'!D46/2</f>
        <v>7.4407886227963509</v>
      </c>
      <c r="E46" s="7">
        <f>'V-FTE Mar'!E46/2</f>
        <v>6.3699555593945902</v>
      </c>
      <c r="F46" s="7">
        <f>'V-FTE Mar'!F46/2</f>
        <v>7.3056835166662228</v>
      </c>
      <c r="G46" s="7">
        <f>'V-FTE Mar'!G46/2</f>
        <v>5.6393872077279674</v>
      </c>
      <c r="H46" s="7">
        <f>'V-FTE Mar'!H46/2</f>
        <v>0</v>
      </c>
      <c r="I46" s="7">
        <f>'V-FTE Mar'!I46/2</f>
        <v>0</v>
      </c>
      <c r="J46" s="7">
        <f>'V-FTE Mar'!J46/2</f>
        <v>10.082844031563312</v>
      </c>
      <c r="K46" s="7">
        <f>'V-FTE Mar'!K46/2</f>
        <v>9.1721355383898526</v>
      </c>
      <c r="L46" s="7">
        <f>'V-FTE Mar'!L46/2</f>
        <v>7.7710455488922214</v>
      </c>
      <c r="M46" s="7">
        <f>'V-FTE Mar'!M46/2</f>
        <v>8.1913725457415119</v>
      </c>
      <c r="N46" s="7">
        <f>'V-FTE Mar'!N46/2</f>
        <v>6.1848115250681168</v>
      </c>
      <c r="O46" s="7">
        <f>'V-FTE Mar'!O46/2</f>
        <v>0</v>
      </c>
      <c r="P46" s="7">
        <f>'V-FTE Mar'!P46/2</f>
        <v>0</v>
      </c>
      <c r="Q46" s="7">
        <f>'V-FTE Mar'!Q46/2</f>
        <v>9.7926182480245192</v>
      </c>
      <c r="R46" s="7">
        <f>'V-FTE Mar'!R46/2</f>
        <v>8.8819097548510566</v>
      </c>
      <c r="S46" s="7">
        <f>'V-FTE Mar'!S46/2</f>
        <v>8.0512635467917466</v>
      </c>
      <c r="T46" s="7">
        <f>'V-FTE Mar'!T46/2</f>
        <v>7.8961428693830804</v>
      </c>
      <c r="U46" s="7">
        <f>'V-FTE Mar'!U46/2</f>
        <v>6.1848115250681168</v>
      </c>
      <c r="V46" s="7">
        <f>'V-FTE Mar'!V46/2</f>
        <v>0</v>
      </c>
      <c r="W46" s="7">
        <f>'V-FTE Mar'!W46/2</f>
        <v>0</v>
      </c>
      <c r="X46" s="7">
        <f>'V-FTE Mar'!X46/2</f>
        <v>10.082844031563312</v>
      </c>
      <c r="Y46" s="7">
        <f>'V-FTE Mar'!Y46/2</f>
        <v>9.1721355383898526</v>
      </c>
      <c r="Z46" s="7">
        <f>'V-FTE Mar'!Z46/2</f>
        <v>8.3264776518716399</v>
      </c>
      <c r="AA46" s="7">
        <f>'V-FTE Mar'!AA46/2</f>
        <v>8.4866022220999415</v>
      </c>
      <c r="AB46" s="7">
        <f>'V-FTE Mar'!AB46/2</f>
        <v>6.4550217373283747</v>
      </c>
      <c r="AC46" s="7">
        <f>'V-FTE Mar'!AC46/2</f>
        <v>0</v>
      </c>
      <c r="AD46" s="7">
        <f>'V-FTE Mar'!AD46/2</f>
        <v>0</v>
      </c>
      <c r="AE46" s="7">
        <f>'V-FTE Mar'!AE46/2</f>
        <v>10.368065922282474</v>
      </c>
      <c r="AF46" s="7">
        <f>'V-FTE Mar'!AF46/2</f>
        <v>9.7475832126478092</v>
      </c>
    </row>
    <row r="47" spans="1:32" x14ac:dyDescent="0.25">
      <c r="A47" s="3" t="s">
        <v>52</v>
      </c>
      <c r="B47" s="7">
        <f>'V-FTE Mar'!B47/2</f>
        <v>0</v>
      </c>
      <c r="C47" s="7">
        <f>'V-FTE Mar'!C47/2</f>
        <v>5.8645623846115154</v>
      </c>
      <c r="D47" s="7">
        <f>'V-FTE Mar'!D47/2</f>
        <v>4.5535424658673032</v>
      </c>
      <c r="E47" s="7">
        <f>'V-FTE Mar'!E47/2</f>
        <v>4.2382972182303362</v>
      </c>
      <c r="F47" s="7">
        <f>'V-FTE Mar'!F47/2</f>
        <v>4.4434568238353469</v>
      </c>
      <c r="G47" s="7">
        <f>'V-FTE Mar'!G47/2</f>
        <v>3.8129663285614117</v>
      </c>
      <c r="H47" s="7">
        <f>'V-FTE Mar'!H47/2</f>
        <v>0</v>
      </c>
      <c r="I47" s="7">
        <f>'V-FTE Mar'!I47/2</f>
        <v>0</v>
      </c>
      <c r="J47" s="7">
        <f>'V-FTE Mar'!J47/2</f>
        <v>7.000446054668525</v>
      </c>
      <c r="K47" s="7">
        <f>'V-FTE Mar'!K47/2</f>
        <v>6.475037308606912</v>
      </c>
      <c r="L47" s="7">
        <f>'V-FTE Mar'!L47/2</f>
        <v>5.6043599579905266</v>
      </c>
      <c r="M47" s="7">
        <f>'V-FTE Mar'!M47/2</f>
        <v>5.2490835677964842</v>
      </c>
      <c r="N47" s="7">
        <f>'V-FTE Mar'!N47/2</f>
        <v>4.3383750746230234</v>
      </c>
      <c r="O47" s="7">
        <f>'V-FTE Mar'!O47/2</f>
        <v>0</v>
      </c>
      <c r="P47" s="7">
        <f>'V-FTE Mar'!P47/2</f>
        <v>0</v>
      </c>
      <c r="Q47" s="7">
        <f>'V-FTE Mar'!Q47/2</f>
        <v>6.720228056768998</v>
      </c>
      <c r="R47" s="7">
        <f>'V-FTE Mar'!R47/2</f>
        <v>6.1998232035270204</v>
      </c>
      <c r="S47" s="7">
        <f>'V-FTE Mar'!S47/2</f>
        <v>5.6043599579905266</v>
      </c>
      <c r="T47" s="7">
        <f>'V-FTE Mar'!T47/2</f>
        <v>5.2490835677964842</v>
      </c>
      <c r="U47" s="7">
        <f>'V-FTE Mar'!U47/2</f>
        <v>4.5985775012440122</v>
      </c>
      <c r="V47" s="7">
        <f>'V-FTE Mar'!V47/2</f>
        <v>0</v>
      </c>
      <c r="W47" s="7">
        <f>'V-FTE Mar'!W47/2</f>
        <v>0</v>
      </c>
      <c r="X47" s="7">
        <f>'V-FTE Mar'!X47/2</f>
        <v>6.720228056768998</v>
      </c>
      <c r="Y47" s="7">
        <f>'V-FTE Mar'!Y47/2</f>
        <v>6.475037308606912</v>
      </c>
      <c r="Z47" s="7">
        <f>'V-FTE Mar'!Z47/2</f>
        <v>5.8745701702507844</v>
      </c>
      <c r="AA47" s="7">
        <f>'V-FTE Mar'!AA47/2</f>
        <v>5.5192937800567412</v>
      </c>
      <c r="AB47" s="7">
        <f>'V-FTE Mar'!AB47/2</f>
        <v>4.858779927865001</v>
      </c>
      <c r="AC47" s="7">
        <f>'V-FTE Mar'!AC47/2</f>
        <v>0</v>
      </c>
      <c r="AD47" s="7">
        <f>'V-FTE Mar'!AD47/2</f>
        <v>0</v>
      </c>
      <c r="AE47" s="7">
        <f>'V-FTE Mar'!AE47/2</f>
        <v>7.000446054668525</v>
      </c>
      <c r="AF47" s="7">
        <f>'V-FTE Mar'!AF47/2</f>
        <v>7.0204616259470614</v>
      </c>
    </row>
    <row r="48" spans="1:32" x14ac:dyDescent="0.25">
      <c r="A48" s="3" t="s">
        <v>53</v>
      </c>
      <c r="B48" s="7">
        <f>'V-FTE Mar'!B48/2</f>
        <v>0</v>
      </c>
      <c r="C48" s="7">
        <f>'V-FTE Mar'!C48/2</f>
        <v>4.0531531839038628</v>
      </c>
      <c r="D48" s="7">
        <f>'V-FTE Mar'!D48/2</f>
        <v>3.6978767937098205</v>
      </c>
      <c r="E48" s="7">
        <f>'V-FTE Mar'!E48/2</f>
        <v>3.4977210809244452</v>
      </c>
      <c r="F48" s="7">
        <f>'V-FTE Mar'!F48/2</f>
        <v>2.8922500497486827</v>
      </c>
      <c r="G48" s="7">
        <f>'V-FTE Mar'!G48/2</f>
        <v>2.9072617282075859</v>
      </c>
      <c r="H48" s="7">
        <f>'V-FTE Mar'!H48/2</f>
        <v>0</v>
      </c>
      <c r="I48" s="7">
        <f>'V-FTE Mar'!I48/2</f>
        <v>0</v>
      </c>
      <c r="J48" s="7">
        <f>'V-FTE Mar'!J48/2</f>
        <v>5.4542431734014949</v>
      </c>
      <c r="K48" s="7">
        <f>'V-FTE Mar'!K48/2</f>
        <v>5.6193716364494293</v>
      </c>
      <c r="L48" s="7">
        <f>'V-FTE Mar'!L48/2</f>
        <v>4.6235969653421849</v>
      </c>
      <c r="M48" s="7">
        <f>'V-FTE Mar'!M48/2</f>
        <v>4.1532310402965509</v>
      </c>
      <c r="N48" s="7">
        <f>'V-FTE Mar'!N48/2</f>
        <v>3.6678534367920146</v>
      </c>
      <c r="O48" s="7">
        <f>'V-FTE Mar'!O48/2</f>
        <v>0</v>
      </c>
      <c r="P48" s="7">
        <f>'V-FTE Mar'!P48/2</f>
        <v>0</v>
      </c>
      <c r="Q48" s="7">
        <f>'V-FTE Mar'!Q48/2</f>
        <v>5.1740251755019679</v>
      </c>
      <c r="R48" s="7">
        <f>'V-FTE Mar'!R48/2</f>
        <v>5.3441575313695378</v>
      </c>
      <c r="S48" s="7">
        <f>'V-FTE Mar'!S48/2</f>
        <v>4.903814963241711</v>
      </c>
      <c r="T48" s="7">
        <f>'V-FTE Mar'!T48/2</f>
        <v>4.1532310402965509</v>
      </c>
      <c r="U48" s="7">
        <f>'V-FTE Mar'!U48/2</f>
        <v>3.9180480777737343</v>
      </c>
      <c r="V48" s="7">
        <f>'V-FTE Mar'!V48/2</f>
        <v>0</v>
      </c>
      <c r="W48" s="7">
        <f>'V-FTE Mar'!W48/2</f>
        <v>0</v>
      </c>
      <c r="X48" s="7">
        <f>'V-FTE Mar'!X48/2</f>
        <v>5.4542431734014949</v>
      </c>
      <c r="Y48" s="7">
        <f>'V-FTE Mar'!Y48/2</f>
        <v>5.6193716364494293</v>
      </c>
      <c r="Z48" s="7">
        <f>'V-FTE Mar'!Z48/2</f>
        <v>4.903814963241711</v>
      </c>
      <c r="AA48" s="7">
        <f>'V-FTE Mar'!AA48/2</f>
        <v>4.4034256812782715</v>
      </c>
      <c r="AB48" s="7">
        <f>'V-FTE Mar'!AB48/2</f>
        <v>4.1732466115750881</v>
      </c>
      <c r="AC48" s="7">
        <f>'V-FTE Mar'!AC48/2</f>
        <v>0</v>
      </c>
      <c r="AD48" s="7">
        <f>'V-FTE Mar'!AD48/2</f>
        <v>0</v>
      </c>
      <c r="AE48" s="7">
        <f>'V-FTE Mar'!AE48/2</f>
        <v>5.4542431734014949</v>
      </c>
      <c r="AF48" s="7">
        <f>'V-FTE Mar'!AF48/2</f>
        <v>6.159792060969945</v>
      </c>
    </row>
    <row r="49" spans="1:33" x14ac:dyDescent="0.25">
      <c r="A49" s="3" t="s">
        <v>54</v>
      </c>
      <c r="B49" s="7">
        <f>'V-FTE Mar'!B49/2</f>
        <v>0</v>
      </c>
      <c r="C49" s="7">
        <f>'V-FTE Mar'!C49/2</f>
        <v>0</v>
      </c>
      <c r="D49" s="7">
        <f>'V-FTE Mar'!D49/2</f>
        <v>0</v>
      </c>
      <c r="E49" s="7">
        <f>'V-FTE Mar'!E49/2</f>
        <v>0</v>
      </c>
      <c r="F49" s="7">
        <f>'V-FTE Mar'!F49/2</f>
        <v>0</v>
      </c>
      <c r="G49" s="7">
        <f>'V-FTE Mar'!G49/2</f>
        <v>0</v>
      </c>
      <c r="H49" s="7">
        <f>'V-FTE Mar'!H49/2</f>
        <v>0</v>
      </c>
      <c r="I49" s="7">
        <f>'V-FTE Mar'!I49/2</f>
        <v>0</v>
      </c>
      <c r="J49" s="7">
        <f>'V-FTE Mar'!J49/2</f>
        <v>0</v>
      </c>
      <c r="K49" s="7">
        <f>'V-FTE Mar'!K49/2</f>
        <v>0</v>
      </c>
      <c r="L49" s="7">
        <f>'V-FTE Mar'!L49/2</f>
        <v>0</v>
      </c>
      <c r="M49" s="7">
        <f>'V-FTE Mar'!M49/2</f>
        <v>0</v>
      </c>
      <c r="N49" s="7">
        <f>'V-FTE Mar'!N49/2</f>
        <v>0</v>
      </c>
      <c r="O49" s="7">
        <f>'V-FTE Mar'!O49/2</f>
        <v>0</v>
      </c>
      <c r="P49" s="7">
        <f>'V-FTE Mar'!P49/2</f>
        <v>0</v>
      </c>
      <c r="Q49" s="7">
        <f>'V-FTE Mar'!Q49/2</f>
        <v>0</v>
      </c>
      <c r="R49" s="7">
        <f>'V-FTE Mar'!R49/2</f>
        <v>0</v>
      </c>
      <c r="S49" s="7">
        <f>'V-FTE Mar'!S49/2</f>
        <v>0</v>
      </c>
      <c r="T49" s="7">
        <f>'V-FTE Mar'!T49/2</f>
        <v>0</v>
      </c>
      <c r="U49" s="7">
        <f>'V-FTE Mar'!U49/2</f>
        <v>0</v>
      </c>
      <c r="V49" s="7">
        <f>'V-FTE Mar'!V49/2</f>
        <v>0</v>
      </c>
      <c r="W49" s="7">
        <f>'V-FTE Mar'!W49/2</f>
        <v>0</v>
      </c>
      <c r="X49" s="7">
        <f>'V-FTE Mar'!X49/2</f>
        <v>0</v>
      </c>
      <c r="Y49" s="7">
        <f>'V-FTE Mar'!Y49/2</f>
        <v>0</v>
      </c>
      <c r="Z49" s="7">
        <f>'V-FTE Mar'!Z49/2</f>
        <v>0</v>
      </c>
      <c r="AA49" s="7">
        <f>'V-FTE Mar'!AA49/2</f>
        <v>0</v>
      </c>
      <c r="AB49" s="7">
        <f>'V-FTE Mar'!AB49/2</f>
        <v>0</v>
      </c>
      <c r="AC49" s="7">
        <f>'V-FTE Mar'!AC49/2</f>
        <v>0</v>
      </c>
      <c r="AD49" s="7">
        <f>'V-FTE Mar'!AD49/2</f>
        <v>0</v>
      </c>
      <c r="AE49" s="7">
        <f>'V-FTE Mar'!AE49/2</f>
        <v>0</v>
      </c>
      <c r="AF49" s="7">
        <f>'V-FTE Mar'!AF49/2</f>
        <v>0</v>
      </c>
    </row>
    <row r="50" spans="1:33" x14ac:dyDescent="0.25">
      <c r="A50" s="3" t="s">
        <v>55</v>
      </c>
      <c r="B50" s="7">
        <f>'V-FTE Mar'!B50/2</f>
        <v>0</v>
      </c>
      <c r="C50" s="7">
        <f>'V-FTE Mar'!C50/2</f>
        <v>0</v>
      </c>
      <c r="D50" s="7">
        <f>'V-FTE Mar'!D50/2</f>
        <v>0</v>
      </c>
      <c r="E50" s="7">
        <f>'V-FTE Mar'!E50/2</f>
        <v>0</v>
      </c>
      <c r="F50" s="7">
        <f>'V-FTE Mar'!F50/2</f>
        <v>0</v>
      </c>
      <c r="G50" s="7">
        <f>'V-FTE Mar'!G50/2</f>
        <v>0</v>
      </c>
      <c r="H50" s="7">
        <f>'V-FTE Mar'!H50/2</f>
        <v>0</v>
      </c>
      <c r="I50" s="7">
        <f>'V-FTE Mar'!I50/2</f>
        <v>0</v>
      </c>
      <c r="J50" s="7">
        <f>'V-FTE Mar'!J50/2</f>
        <v>0</v>
      </c>
      <c r="K50" s="7">
        <f>'V-FTE Mar'!K50/2</f>
        <v>0</v>
      </c>
      <c r="L50" s="7">
        <f>'V-FTE Mar'!L50/2</f>
        <v>0</v>
      </c>
      <c r="M50" s="7">
        <f>'V-FTE Mar'!M50/2</f>
        <v>0</v>
      </c>
      <c r="N50" s="7">
        <f>'V-FTE Mar'!N50/2</f>
        <v>0</v>
      </c>
      <c r="O50" s="7">
        <f>'V-FTE Mar'!O50/2</f>
        <v>0</v>
      </c>
      <c r="P50" s="7">
        <f>'V-FTE Mar'!P50/2</f>
        <v>0</v>
      </c>
      <c r="Q50" s="7">
        <f>'V-FTE Mar'!Q50/2</f>
        <v>0</v>
      </c>
      <c r="R50" s="7">
        <f>'V-FTE Mar'!R50/2</f>
        <v>0</v>
      </c>
      <c r="S50" s="7">
        <f>'V-FTE Mar'!S50/2</f>
        <v>0</v>
      </c>
      <c r="T50" s="7">
        <f>'V-FTE Mar'!T50/2</f>
        <v>0</v>
      </c>
      <c r="U50" s="7">
        <f>'V-FTE Mar'!U50/2</f>
        <v>0</v>
      </c>
      <c r="V50" s="7">
        <f>'V-FTE Mar'!V50/2</f>
        <v>0</v>
      </c>
      <c r="W50" s="7">
        <f>'V-FTE Mar'!W50/2</f>
        <v>0</v>
      </c>
      <c r="X50" s="7">
        <f>'V-FTE Mar'!X50/2</f>
        <v>0</v>
      </c>
      <c r="Y50" s="7">
        <f>'V-FTE Mar'!Y50/2</f>
        <v>0</v>
      </c>
      <c r="Z50" s="7">
        <f>'V-FTE Mar'!Z50/2</f>
        <v>0</v>
      </c>
      <c r="AA50" s="7">
        <f>'V-FTE Mar'!AA50/2</f>
        <v>0</v>
      </c>
      <c r="AB50" s="7">
        <f>'V-FTE Mar'!AB50/2</f>
        <v>0</v>
      </c>
      <c r="AC50" s="7">
        <f>'V-FTE Mar'!AC50/2</f>
        <v>0</v>
      </c>
      <c r="AD50" s="7">
        <f>'V-FTE Mar'!AD50/2</f>
        <v>0</v>
      </c>
      <c r="AE50" s="7">
        <f>'V-FTE Mar'!AE50/2</f>
        <v>0</v>
      </c>
      <c r="AF50" s="7">
        <f>'V-FTE Mar'!AF50/2</f>
        <v>0</v>
      </c>
    </row>
    <row r="51" spans="1:33" s="12" customFormat="1" x14ac:dyDescent="0.25">
      <c r="A51" s="12" t="s">
        <v>59</v>
      </c>
      <c r="B51" s="13">
        <f>SUM(B3:B50)</f>
        <v>0</v>
      </c>
      <c r="C51" s="13">
        <f t="shared" ref="C51:AF51" si="1">SUM(C3:C50)</f>
        <v>1323.2294172241204</v>
      </c>
      <c r="D51" s="13">
        <f t="shared" si="1"/>
        <v>990.51057586099</v>
      </c>
      <c r="E51" s="13">
        <f t="shared" si="1"/>
        <v>890.22255596987736</v>
      </c>
      <c r="F51" s="13">
        <f t="shared" si="1"/>
        <v>853.98936806290465</v>
      </c>
      <c r="G51" s="13">
        <f t="shared" si="1"/>
        <v>847.6044008250509</v>
      </c>
      <c r="H51" s="13">
        <f t="shared" si="1"/>
        <v>335.43095127137224</v>
      </c>
      <c r="I51" s="13">
        <f t="shared" si="1"/>
        <v>0</v>
      </c>
      <c r="J51" s="13">
        <f t="shared" si="1"/>
        <v>1158.9015770273268</v>
      </c>
      <c r="K51" s="13">
        <f t="shared" si="1"/>
        <v>870.91253357890798</v>
      </c>
      <c r="L51" s="13">
        <f t="shared" si="1"/>
        <v>816.65532373561223</v>
      </c>
      <c r="M51" s="13">
        <f t="shared" si="1"/>
        <v>777.58993249272658</v>
      </c>
      <c r="N51" s="13">
        <f t="shared" si="1"/>
        <v>762.66832410457698</v>
      </c>
      <c r="O51" s="13">
        <f t="shared" si="1"/>
        <v>302.40025476896568</v>
      </c>
      <c r="P51" s="13">
        <f t="shared" si="1"/>
        <v>0</v>
      </c>
      <c r="Q51" s="13">
        <f t="shared" si="1"/>
        <v>1112.5405100534142</v>
      </c>
      <c r="R51" s="13">
        <f t="shared" si="1"/>
        <v>843.80644617494875</v>
      </c>
      <c r="S51" s="13">
        <f t="shared" si="1"/>
        <v>827.1985259065824</v>
      </c>
      <c r="T51" s="13">
        <f t="shared" si="1"/>
        <v>754.03160509788768</v>
      </c>
      <c r="U51" s="13">
        <f t="shared" si="1"/>
        <v>779.17616651655089</v>
      </c>
      <c r="V51" s="13">
        <f t="shared" si="1"/>
        <v>301.07422317176258</v>
      </c>
      <c r="W51" s="13">
        <f t="shared" si="1"/>
        <v>0</v>
      </c>
      <c r="X51" s="13">
        <f t="shared" si="1"/>
        <v>1153.7725868872017</v>
      </c>
      <c r="Y51" s="13">
        <f t="shared" si="1"/>
        <v>873.11424641954727</v>
      </c>
      <c r="Z51" s="13">
        <f t="shared" si="1"/>
        <v>870.3671092615682</v>
      </c>
      <c r="AA51" s="13">
        <f t="shared" si="1"/>
        <v>802.83957566060189</v>
      </c>
      <c r="AB51" s="13">
        <f t="shared" si="1"/>
        <v>829.89062024354553</v>
      </c>
      <c r="AC51" s="13">
        <f t="shared" si="1"/>
        <v>332.27849879500258</v>
      </c>
      <c r="AD51" s="13">
        <f t="shared" si="1"/>
        <v>0</v>
      </c>
      <c r="AE51" s="13">
        <f t="shared" si="1"/>
        <v>1194.5092783318451</v>
      </c>
      <c r="AF51" s="13">
        <f t="shared" si="1"/>
        <v>945.28539255713451</v>
      </c>
      <c r="AG51" s="13">
        <f>SUM(B51:AF51)</f>
        <v>21550.000000000033</v>
      </c>
    </row>
    <row r="53" spans="1:33" x14ac:dyDescent="0.25">
      <c r="B5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38658-D212-498A-A08B-2ED5D2B89A37}">
  <sheetPr>
    <tabColor rgb="FF00B050"/>
  </sheetPr>
  <dimension ref="A1:AO87"/>
  <sheetViews>
    <sheetView zoomScale="75" zoomScaleNormal="75" workbookViewId="0">
      <pane xSplit="1" ySplit="2" topLeftCell="B3" activePane="bottomRight" state="frozen"/>
      <selection activeCell="I28" sqref="I28"/>
      <selection pane="topRight" activeCell="I28" sqref="I28"/>
      <selection pane="bottomLeft" activeCell="I28" sqref="I28"/>
      <selection pane="bottomRight" activeCell="P30" sqref="P30"/>
    </sheetView>
  </sheetViews>
  <sheetFormatPr defaultColWidth="9.140625" defaultRowHeight="15" x14ac:dyDescent="0.25"/>
  <cols>
    <col min="1" max="1" width="12" style="3" bestFit="1" customWidth="1"/>
    <col min="2" max="10" width="7.7109375" style="3" bestFit="1" customWidth="1"/>
    <col min="11" max="31" width="8.85546875" style="3" bestFit="1" customWidth="1"/>
    <col min="32" max="32" width="7.7109375" style="3" bestFit="1" customWidth="1"/>
    <col min="33" max="34" width="9.140625" style="3"/>
    <col min="35" max="35" width="5.42578125" style="3" bestFit="1" customWidth="1"/>
    <col min="36" max="36" width="4.5703125" style="3" bestFit="1" customWidth="1"/>
    <col min="37" max="37" width="5.42578125" style="3" bestFit="1" customWidth="1"/>
    <col min="38" max="38" width="4.5703125" style="3" bestFit="1" customWidth="1"/>
    <col min="39" max="39" width="3.5703125" style="3" bestFit="1" customWidth="1"/>
    <col min="40" max="40" width="4" style="3" bestFit="1" customWidth="1"/>
    <col min="41" max="41" width="4.5703125" style="3" bestFit="1" customWidth="1"/>
    <col min="42" max="16384" width="9.140625" style="3"/>
  </cols>
  <sheetData>
    <row r="1" spans="1:41" x14ac:dyDescent="0.25">
      <c r="A1" s="14" t="s">
        <v>56</v>
      </c>
      <c r="B1" s="2">
        <v>46113</v>
      </c>
      <c r="C1" s="2">
        <f>B1+1</f>
        <v>46114</v>
      </c>
      <c r="D1" s="2">
        <f t="shared" ref="D1:AF1" si="0">C1+1</f>
        <v>46115</v>
      </c>
      <c r="E1" s="2">
        <f t="shared" si="0"/>
        <v>46116</v>
      </c>
      <c r="F1" s="2">
        <f t="shared" si="0"/>
        <v>46117</v>
      </c>
      <c r="G1" s="2">
        <f t="shared" si="0"/>
        <v>46118</v>
      </c>
      <c r="H1" s="2">
        <f t="shared" si="0"/>
        <v>46119</v>
      </c>
      <c r="I1" s="2">
        <f t="shared" si="0"/>
        <v>46120</v>
      </c>
      <c r="J1" s="2">
        <f t="shared" si="0"/>
        <v>46121</v>
      </c>
      <c r="K1" s="2">
        <f t="shared" si="0"/>
        <v>46122</v>
      </c>
      <c r="L1" s="2">
        <f t="shared" si="0"/>
        <v>46123</v>
      </c>
      <c r="M1" s="2">
        <f t="shared" si="0"/>
        <v>46124</v>
      </c>
      <c r="N1" s="2">
        <f t="shared" si="0"/>
        <v>46125</v>
      </c>
      <c r="O1" s="2">
        <f t="shared" si="0"/>
        <v>46126</v>
      </c>
      <c r="P1" s="2">
        <f t="shared" si="0"/>
        <v>46127</v>
      </c>
      <c r="Q1" s="2">
        <f t="shared" si="0"/>
        <v>46128</v>
      </c>
      <c r="R1" s="2">
        <f t="shared" si="0"/>
        <v>46129</v>
      </c>
      <c r="S1" s="2">
        <f t="shared" si="0"/>
        <v>46130</v>
      </c>
      <c r="T1" s="2">
        <f t="shared" si="0"/>
        <v>46131</v>
      </c>
      <c r="U1" s="2">
        <f t="shared" si="0"/>
        <v>46132</v>
      </c>
      <c r="V1" s="2">
        <f t="shared" si="0"/>
        <v>46133</v>
      </c>
      <c r="W1" s="2">
        <f t="shared" si="0"/>
        <v>46134</v>
      </c>
      <c r="X1" s="2">
        <f t="shared" si="0"/>
        <v>46135</v>
      </c>
      <c r="Y1" s="2">
        <f t="shared" si="0"/>
        <v>46136</v>
      </c>
      <c r="Z1" s="2">
        <f t="shared" si="0"/>
        <v>46137</v>
      </c>
      <c r="AA1" s="2">
        <f t="shared" si="0"/>
        <v>46138</v>
      </c>
      <c r="AB1" s="2">
        <f t="shared" si="0"/>
        <v>46139</v>
      </c>
      <c r="AC1" s="2">
        <f t="shared" si="0"/>
        <v>46140</v>
      </c>
      <c r="AD1" s="2">
        <f t="shared" si="0"/>
        <v>46141</v>
      </c>
      <c r="AE1" s="2">
        <f t="shared" si="0"/>
        <v>46142</v>
      </c>
      <c r="AF1" s="2">
        <f t="shared" si="0"/>
        <v>46143</v>
      </c>
      <c r="AI1" s="22" t="s">
        <v>61</v>
      </c>
      <c r="AJ1" s="22"/>
      <c r="AK1" s="22"/>
      <c r="AL1" s="22"/>
      <c r="AM1" s="22"/>
      <c r="AN1" s="22"/>
      <c r="AO1" s="22"/>
    </row>
    <row r="2" spans="1:41" x14ac:dyDescent="0.25">
      <c r="A2" s="15"/>
      <c r="B2" s="5" t="str">
        <f t="shared" ref="B2:AF2" si="1">TEXT(B1,"ddd")</f>
        <v>Wed</v>
      </c>
      <c r="C2" s="5" t="str">
        <f t="shared" si="1"/>
        <v>Thu</v>
      </c>
      <c r="D2" s="5" t="str">
        <f t="shared" si="1"/>
        <v>Fri</v>
      </c>
      <c r="E2" s="5" t="str">
        <f t="shared" si="1"/>
        <v>Sat</v>
      </c>
      <c r="F2" s="5" t="str">
        <f t="shared" si="1"/>
        <v>Sun</v>
      </c>
      <c r="G2" s="5" t="str">
        <f t="shared" si="1"/>
        <v>Mon</v>
      </c>
      <c r="H2" s="5" t="str">
        <f t="shared" si="1"/>
        <v>Tue</v>
      </c>
      <c r="I2" s="5" t="str">
        <f t="shared" si="1"/>
        <v>Wed</v>
      </c>
      <c r="J2" s="5" t="str">
        <f t="shared" si="1"/>
        <v>Thu</v>
      </c>
      <c r="K2" s="5" t="str">
        <f t="shared" si="1"/>
        <v>Fri</v>
      </c>
      <c r="L2" s="5" t="str">
        <f t="shared" si="1"/>
        <v>Sat</v>
      </c>
      <c r="M2" s="5" t="str">
        <f t="shared" si="1"/>
        <v>Sun</v>
      </c>
      <c r="N2" s="5" t="str">
        <f t="shared" si="1"/>
        <v>Mon</v>
      </c>
      <c r="O2" s="5" t="str">
        <f t="shared" si="1"/>
        <v>Tue</v>
      </c>
      <c r="P2" s="5" t="str">
        <f t="shared" si="1"/>
        <v>Wed</v>
      </c>
      <c r="Q2" s="5" t="str">
        <f t="shared" si="1"/>
        <v>Thu</v>
      </c>
      <c r="R2" s="5" t="str">
        <f t="shared" si="1"/>
        <v>Fri</v>
      </c>
      <c r="S2" s="5" t="str">
        <f t="shared" si="1"/>
        <v>Sat</v>
      </c>
      <c r="T2" s="5" t="str">
        <f t="shared" si="1"/>
        <v>Sun</v>
      </c>
      <c r="U2" s="5" t="str">
        <f t="shared" si="1"/>
        <v>Mon</v>
      </c>
      <c r="V2" s="5" t="str">
        <f t="shared" si="1"/>
        <v>Tue</v>
      </c>
      <c r="W2" s="5" t="str">
        <f t="shared" si="1"/>
        <v>Wed</v>
      </c>
      <c r="X2" s="5" t="str">
        <f t="shared" si="1"/>
        <v>Thu</v>
      </c>
      <c r="Y2" s="5" t="str">
        <f t="shared" si="1"/>
        <v>Fri</v>
      </c>
      <c r="Z2" s="5" t="str">
        <f t="shared" si="1"/>
        <v>Sat</v>
      </c>
      <c r="AA2" s="5" t="str">
        <f t="shared" si="1"/>
        <v>Sun</v>
      </c>
      <c r="AB2" s="5" t="str">
        <f t="shared" si="1"/>
        <v>Mon</v>
      </c>
      <c r="AC2" s="5" t="str">
        <f t="shared" si="1"/>
        <v>Tue</v>
      </c>
      <c r="AD2" s="5" t="str">
        <f t="shared" si="1"/>
        <v>Wed</v>
      </c>
      <c r="AE2" s="5" t="str">
        <f t="shared" si="1"/>
        <v>Thu</v>
      </c>
      <c r="AF2" s="5" t="str">
        <f t="shared" si="1"/>
        <v>Fri</v>
      </c>
      <c r="AI2" s="6" t="s">
        <v>1</v>
      </c>
      <c r="AJ2" s="6" t="s">
        <v>2</v>
      </c>
      <c r="AK2" s="6" t="s">
        <v>3</v>
      </c>
      <c r="AL2" s="6" t="s">
        <v>4</v>
      </c>
      <c r="AM2" s="6" t="s">
        <v>5</v>
      </c>
      <c r="AN2" s="6" t="s">
        <v>6</v>
      </c>
      <c r="AO2" s="6" t="s">
        <v>7</v>
      </c>
    </row>
    <row r="3" spans="1:41" x14ac:dyDescent="0.25">
      <c r="A3" s="3" t="s">
        <v>8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/>
      <c r="AI3" s="8"/>
      <c r="AJ3" s="8"/>
      <c r="AK3" s="8"/>
      <c r="AL3" s="8"/>
      <c r="AM3" s="8"/>
      <c r="AN3" s="8"/>
      <c r="AO3" s="8"/>
    </row>
    <row r="4" spans="1:41" x14ac:dyDescent="0.25">
      <c r="A4" s="3" t="s">
        <v>9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/>
      <c r="AI4" s="8"/>
      <c r="AJ4" s="8"/>
      <c r="AK4" s="8"/>
      <c r="AL4" s="8"/>
      <c r="AM4" s="8"/>
      <c r="AN4" s="8"/>
      <c r="AO4" s="8"/>
    </row>
    <row r="5" spans="1:41" x14ac:dyDescent="0.25">
      <c r="A5" s="3" t="s">
        <v>10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/>
      <c r="AI5" s="8"/>
      <c r="AJ5" s="8"/>
      <c r="AK5" s="8"/>
      <c r="AL5" s="8"/>
      <c r="AM5" s="8"/>
      <c r="AN5" s="8"/>
      <c r="AO5" s="8"/>
    </row>
    <row r="6" spans="1:41" x14ac:dyDescent="0.25">
      <c r="A6" s="3" t="s">
        <v>11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/>
      <c r="AI6" s="8"/>
      <c r="AJ6" s="8"/>
      <c r="AK6" s="8"/>
      <c r="AL6" s="8"/>
      <c r="AM6" s="8"/>
      <c r="AN6" s="8"/>
      <c r="AO6" s="8"/>
    </row>
    <row r="7" spans="1:41" x14ac:dyDescent="0.25">
      <c r="A7" s="3" t="s">
        <v>12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/>
      <c r="AI7" s="8"/>
      <c r="AJ7" s="8"/>
      <c r="AK7" s="8"/>
      <c r="AL7" s="8"/>
      <c r="AM7" s="8"/>
      <c r="AN7" s="8"/>
      <c r="AO7" s="8"/>
    </row>
    <row r="8" spans="1:41" x14ac:dyDescent="0.25">
      <c r="A8" s="3" t="s">
        <v>13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/>
      <c r="AI8" s="8"/>
      <c r="AJ8" s="8"/>
      <c r="AK8" s="8"/>
      <c r="AL8" s="8"/>
      <c r="AM8" s="8"/>
      <c r="AN8" s="8"/>
      <c r="AO8" s="8"/>
    </row>
    <row r="9" spans="1:41" x14ac:dyDescent="0.25">
      <c r="A9" s="3" t="s">
        <v>14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/>
      <c r="AI9" s="8"/>
      <c r="AJ9" s="8"/>
      <c r="AK9" s="8"/>
      <c r="AL9" s="8"/>
      <c r="AM9" s="8"/>
      <c r="AN9" s="8"/>
      <c r="AO9" s="8"/>
    </row>
    <row r="10" spans="1:41" x14ac:dyDescent="0.25">
      <c r="A10" s="3" t="s">
        <v>15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/>
      <c r="AI10" s="8"/>
      <c r="AJ10" s="8"/>
      <c r="AK10" s="8"/>
      <c r="AL10" s="8"/>
      <c r="AM10" s="8"/>
      <c r="AN10" s="8"/>
      <c r="AO10" s="8"/>
    </row>
    <row r="11" spans="1:41" x14ac:dyDescent="0.25">
      <c r="A11" s="3" t="s">
        <v>16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/>
      <c r="AI11" s="8"/>
      <c r="AJ11" s="8"/>
      <c r="AK11" s="8"/>
      <c r="AL11" s="8"/>
      <c r="AM11" s="8"/>
      <c r="AN11" s="8"/>
      <c r="AO11" s="8"/>
    </row>
    <row r="12" spans="1:41" x14ac:dyDescent="0.25">
      <c r="A12" s="3" t="s">
        <v>17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/>
      <c r="AI12" s="8"/>
      <c r="AJ12" s="8"/>
      <c r="AK12" s="8"/>
      <c r="AL12" s="8"/>
      <c r="AM12" s="8"/>
      <c r="AN12" s="8"/>
      <c r="AO12" s="8"/>
    </row>
    <row r="13" spans="1:41" x14ac:dyDescent="0.25">
      <c r="A13" s="3" t="s">
        <v>18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/>
      <c r="AI13" s="8"/>
      <c r="AJ13" s="8"/>
      <c r="AK13" s="8"/>
      <c r="AL13" s="8"/>
      <c r="AM13" s="8"/>
      <c r="AN13" s="8"/>
      <c r="AO13" s="8"/>
    </row>
    <row r="14" spans="1:41" x14ac:dyDescent="0.25">
      <c r="A14" s="3" t="s">
        <v>19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/>
      <c r="AI14" s="8"/>
      <c r="AJ14" s="8"/>
      <c r="AK14" s="8"/>
      <c r="AL14" s="8"/>
      <c r="AM14" s="8"/>
      <c r="AN14" s="8"/>
      <c r="AO14" s="8"/>
    </row>
    <row r="15" spans="1:41" x14ac:dyDescent="0.25">
      <c r="A15" s="3" t="s">
        <v>20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/>
      <c r="AI15" s="8"/>
      <c r="AJ15" s="8"/>
      <c r="AK15" s="8"/>
      <c r="AL15" s="8"/>
      <c r="AM15" s="8"/>
      <c r="AN15" s="8"/>
      <c r="AO15" s="8"/>
    </row>
    <row r="16" spans="1:41" x14ac:dyDescent="0.25">
      <c r="A16" s="3" t="s">
        <v>21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/>
      <c r="AI16" s="8"/>
      <c r="AJ16" s="8"/>
      <c r="AK16" s="8"/>
      <c r="AL16" s="8"/>
      <c r="AM16" s="8"/>
      <c r="AN16" s="8"/>
      <c r="AO16" s="8"/>
    </row>
    <row r="17" spans="1:41" x14ac:dyDescent="0.25">
      <c r="A17" s="3" t="s">
        <v>22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/>
      <c r="AI17" s="8"/>
      <c r="AJ17" s="8"/>
      <c r="AK17" s="8"/>
      <c r="AL17" s="8"/>
      <c r="AM17" s="8"/>
      <c r="AN17" s="8"/>
      <c r="AO17" s="8"/>
    </row>
    <row r="18" spans="1:41" x14ac:dyDescent="0.25">
      <c r="A18" s="3" t="s">
        <v>23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/>
      <c r="AI18" s="8"/>
      <c r="AJ18" s="8"/>
      <c r="AK18" s="8"/>
      <c r="AL18" s="8"/>
      <c r="AM18" s="8"/>
      <c r="AN18" s="8"/>
      <c r="AO18" s="8"/>
    </row>
    <row r="19" spans="1:41" x14ac:dyDescent="0.25">
      <c r="A19" s="3" t="s">
        <v>24</v>
      </c>
      <c r="B19" s="7">
        <v>3.235142653890354</v>
      </c>
      <c r="C19" s="7">
        <v>3.4422706896577244</v>
      </c>
      <c r="D19" s="7">
        <v>3.7085781642157718</v>
      </c>
      <c r="E19" s="7">
        <v>0</v>
      </c>
      <c r="F19" s="7">
        <v>0</v>
      </c>
      <c r="G19" s="7">
        <v>5.2077906135795944</v>
      </c>
      <c r="H19" s="7">
        <v>3.2745956130841392</v>
      </c>
      <c r="I19" s="7">
        <v>2.9392454599369682</v>
      </c>
      <c r="J19" s="7">
        <v>3.1167837763090001</v>
      </c>
      <c r="K19" s="7">
        <v>3.4028177304639402</v>
      </c>
      <c r="L19" s="7">
        <v>0</v>
      </c>
      <c r="M19" s="7">
        <v>0</v>
      </c>
      <c r="N19" s="7">
        <v>4.88230370023087</v>
      </c>
      <c r="O19" s="7">
        <v>2.9786984191307533</v>
      </c>
      <c r="P19" s="7">
        <v>2.9392454599369682</v>
      </c>
      <c r="Q19" s="7">
        <v>3.1167837763090001</v>
      </c>
      <c r="R19" s="7">
        <v>3.0871940569136611</v>
      </c>
      <c r="S19" s="7">
        <v>0</v>
      </c>
      <c r="T19" s="7">
        <v>0</v>
      </c>
      <c r="U19" s="7">
        <v>4.88230370023087</v>
      </c>
      <c r="V19" s="7">
        <v>2.9786984191307533</v>
      </c>
      <c r="W19" s="7">
        <v>2.9392454599369682</v>
      </c>
      <c r="X19" s="7">
        <v>3.1167837763090001</v>
      </c>
      <c r="Y19" s="7">
        <v>3.4028177304639402</v>
      </c>
      <c r="Z19" s="7">
        <v>0</v>
      </c>
      <c r="AA19" s="7">
        <v>0</v>
      </c>
      <c r="AB19" s="7">
        <v>5.2077906135795944</v>
      </c>
      <c r="AC19" s="7">
        <v>2.9786984191307533</v>
      </c>
      <c r="AD19" s="7">
        <v>2.9392454599369682</v>
      </c>
      <c r="AE19" s="7">
        <v>2.8011601027587214</v>
      </c>
      <c r="AF19" s="7"/>
      <c r="AH19" s="7"/>
      <c r="AI19" s="9" cm="1">
        <f t="array" ref="AI19">MAX(_xlfn._xlws.FILTER($D19:$AF19, $D$2:$AF$2=AI$2))</f>
        <v>5.2077906135795944</v>
      </c>
      <c r="AJ19" s="9" cm="1">
        <f t="array" ref="AJ19">MAX(_xlfn._xlws.FILTER($B19:$AF19, $B$2:$AF$2=AJ$2))</f>
        <v>3.2745956130841392</v>
      </c>
      <c r="AK19" s="9" cm="1">
        <f t="array" ref="AK19">MAX(_xlfn._xlws.FILTER($B19:$AF19, $B$2:$AF$2=AK$2))</f>
        <v>3.235142653890354</v>
      </c>
      <c r="AL19" s="9" cm="1">
        <f t="array" ref="AL19">MAX(_xlfn._xlws.FILTER($B19:$AF19, $B$2:$AF$2=AL$2))</f>
        <v>3.4422706896577244</v>
      </c>
      <c r="AM19" s="9" cm="1">
        <f t="array" ref="AM19">MAX(_xlfn._xlws.FILTER($B19:$AF19, $B$2:$AF$2=AM$2))</f>
        <v>3.7085781642157718</v>
      </c>
      <c r="AN19" s="9" cm="1">
        <f t="array" ref="AN19">MAX(_xlfn._xlws.FILTER($B19:$AF19, $B$2:$AF$2=AN$2))</f>
        <v>0</v>
      </c>
      <c r="AO19" s="9" cm="1">
        <f t="array" ref="AO19">MAX(_xlfn._xlws.FILTER($B19:$AF19, $B$2:$AF$2=AO$2))</f>
        <v>0</v>
      </c>
    </row>
    <row r="20" spans="1:41" x14ac:dyDescent="0.25">
      <c r="A20" s="3" t="s">
        <v>25</v>
      </c>
      <c r="B20" s="7">
        <v>6.4604220679822628</v>
      </c>
      <c r="C20" s="7">
        <v>6.3420631904009079</v>
      </c>
      <c r="D20" s="7">
        <v>6.3519264301993541</v>
      </c>
      <c r="E20" s="7">
        <v>0</v>
      </c>
      <c r="F20" s="7">
        <v>0</v>
      </c>
      <c r="G20" s="7">
        <v>9.2517189309425394</v>
      </c>
      <c r="H20" s="7">
        <v>5.8489012004785979</v>
      </c>
      <c r="I20" s="7">
        <v>6.1250719148350914</v>
      </c>
      <c r="J20" s="7">
        <v>5.9869865576568451</v>
      </c>
      <c r="K20" s="7">
        <v>6.0067130372537365</v>
      </c>
      <c r="L20" s="7">
        <v>0</v>
      </c>
      <c r="M20" s="7">
        <v>0</v>
      </c>
      <c r="N20" s="7">
        <v>8.5218391858575195</v>
      </c>
      <c r="O20" s="7">
        <v>5.5234142871298726</v>
      </c>
      <c r="P20" s="7">
        <v>6.1250719148350914</v>
      </c>
      <c r="Q20" s="7">
        <v>5.9869865576568451</v>
      </c>
      <c r="R20" s="7">
        <v>5.6516364045096745</v>
      </c>
      <c r="S20" s="7">
        <v>0</v>
      </c>
      <c r="T20" s="7">
        <v>0</v>
      </c>
      <c r="U20" s="7">
        <v>8.8867790584000286</v>
      </c>
      <c r="V20" s="7">
        <v>5.5234142871298726</v>
      </c>
      <c r="W20" s="7">
        <v>6.1250719148350914</v>
      </c>
      <c r="X20" s="7">
        <v>5.9869865576568451</v>
      </c>
      <c r="Y20" s="7">
        <v>6.0067130372537365</v>
      </c>
      <c r="Z20" s="7">
        <v>0</v>
      </c>
      <c r="AA20" s="7">
        <v>0</v>
      </c>
      <c r="AB20" s="7">
        <v>8.8867790584000286</v>
      </c>
      <c r="AC20" s="7">
        <v>5.5234142871298726</v>
      </c>
      <c r="AD20" s="7">
        <v>5.4445083687423033</v>
      </c>
      <c r="AE20" s="7">
        <v>5.2866965319671646</v>
      </c>
      <c r="AF20" s="7"/>
      <c r="AH20" s="7"/>
      <c r="AI20" s="9" cm="1">
        <f t="array" ref="AI20">MAX(_xlfn._xlws.FILTER($D20:$AF20, $D$2:$AF$2=AI$2))</f>
        <v>9.2517189309425394</v>
      </c>
      <c r="AJ20" s="9" cm="1">
        <f t="array" ref="AJ20">MAX(_xlfn._xlws.FILTER($B20:$AF20, $B$2:$AF$2=AJ$2))</f>
        <v>5.8489012004785979</v>
      </c>
      <c r="AK20" s="9" cm="1">
        <f t="array" ref="AK20">MAX(_xlfn._xlws.FILTER($B20:$AF20, $B$2:$AF$2=AK$2))</f>
        <v>6.4604220679822628</v>
      </c>
      <c r="AL20" s="9" cm="1">
        <f t="array" ref="AL20">MAX(_xlfn._xlws.FILTER($B20:$AF20, $B$2:$AF$2=AL$2))</f>
        <v>6.3420631904009079</v>
      </c>
      <c r="AM20" s="9" cm="1">
        <f t="array" ref="AM20">MAX(_xlfn._xlws.FILTER($B20:$AF20, $B$2:$AF$2=AM$2))</f>
        <v>6.3519264301993541</v>
      </c>
      <c r="AN20" s="9" cm="1">
        <f t="array" ref="AN20">MAX(_xlfn._xlws.FILTER($B20:$AF20, $B$2:$AF$2=AN$2))</f>
        <v>0</v>
      </c>
      <c r="AO20" s="9" cm="1">
        <f t="array" ref="AO20">MAX(_xlfn._xlws.FILTER($B20:$AF20, $B$2:$AF$2=AO$2))</f>
        <v>0</v>
      </c>
    </row>
    <row r="21" spans="1:41" x14ac:dyDescent="0.25">
      <c r="A21" s="3" t="s">
        <v>26</v>
      </c>
      <c r="B21" s="7">
        <v>11.875340717329227</v>
      </c>
      <c r="C21" s="7">
        <v>11.470947885592935</v>
      </c>
      <c r="D21" s="7">
        <v>11.579443523375842</v>
      </c>
      <c r="E21" s="7">
        <v>3.1660999753012309</v>
      </c>
      <c r="F21" s="7">
        <v>0</v>
      </c>
      <c r="G21" s="7">
        <v>16.698464978769419</v>
      </c>
      <c r="H21" s="7">
        <v>10.800247579298592</v>
      </c>
      <c r="I21" s="7">
        <v>10.7805210997017</v>
      </c>
      <c r="J21" s="7">
        <v>10.741068140507915</v>
      </c>
      <c r="K21" s="7">
        <v>10.474760665949866</v>
      </c>
      <c r="L21" s="7">
        <v>3.1660999753012309</v>
      </c>
      <c r="M21" s="7">
        <v>0</v>
      </c>
      <c r="N21" s="7">
        <v>15.544465922351215</v>
      </c>
      <c r="O21" s="7">
        <v>10.455034186352973</v>
      </c>
      <c r="P21" s="7">
        <v>10.7805210997017</v>
      </c>
      <c r="Q21" s="7">
        <v>10.376128267965404</v>
      </c>
      <c r="R21" s="7">
        <v>10.474760665949866</v>
      </c>
      <c r="S21" s="7">
        <v>2.8406130619525061</v>
      </c>
      <c r="T21" s="7">
        <v>0</v>
      </c>
      <c r="U21" s="7">
        <v>15.929132274490614</v>
      </c>
      <c r="V21" s="7">
        <v>10.109820793407357</v>
      </c>
      <c r="W21" s="7">
        <v>10.7805210997017</v>
      </c>
      <c r="X21" s="7">
        <v>10.376128267965404</v>
      </c>
      <c r="Y21" s="7">
        <v>10.474760665949866</v>
      </c>
      <c r="Z21" s="7">
        <v>2.8406130619525061</v>
      </c>
      <c r="AA21" s="7">
        <v>0</v>
      </c>
      <c r="AB21" s="7">
        <v>16.313798626630017</v>
      </c>
      <c r="AC21" s="7">
        <v>10.109820793407357</v>
      </c>
      <c r="AD21" s="7">
        <v>10.05064135461668</v>
      </c>
      <c r="AE21" s="7">
        <v>9.2714454105394299</v>
      </c>
      <c r="AF21" s="7"/>
      <c r="AH21" s="7"/>
      <c r="AI21" s="9" cm="1">
        <f t="array" ref="AI21">MAX(_xlfn._xlws.FILTER($D21:$AF21, $D$2:$AF$2=AI$2))</f>
        <v>16.698464978769419</v>
      </c>
      <c r="AJ21" s="9" cm="1">
        <f t="array" ref="AJ21">MAX(_xlfn._xlws.FILTER($B21:$AF21, $B$2:$AF$2=AJ$2))</f>
        <v>10.800247579298592</v>
      </c>
      <c r="AK21" s="9" cm="1">
        <f t="array" ref="AK21">MAX(_xlfn._xlws.FILTER($B21:$AF21, $B$2:$AF$2=AK$2))</f>
        <v>11.875340717329227</v>
      </c>
      <c r="AL21" s="9" cm="1">
        <f t="array" ref="AL21">MAX(_xlfn._xlws.FILTER($B21:$AF21, $B$2:$AF$2=AL$2))</f>
        <v>11.470947885592935</v>
      </c>
      <c r="AM21" s="9" cm="1">
        <f t="array" ref="AM21">MAX(_xlfn._xlws.FILTER($B21:$AF21, $B$2:$AF$2=AM$2))</f>
        <v>11.579443523375842</v>
      </c>
      <c r="AN21" s="9" cm="1">
        <f t="array" ref="AN21">MAX(_xlfn._xlws.FILTER($B21:$AF21, $B$2:$AF$2=AN$2))</f>
        <v>3.1660999753012309</v>
      </c>
      <c r="AO21" s="9" cm="1">
        <f t="array" ref="AO21">MAX(_xlfn._xlws.FILTER($B21:$AF21, $B$2:$AF$2=AO$2))</f>
        <v>0</v>
      </c>
    </row>
    <row r="22" spans="1:41" x14ac:dyDescent="0.25">
      <c r="A22" s="3" t="s">
        <v>27</v>
      </c>
      <c r="B22" s="7">
        <v>18.799335055838458</v>
      </c>
      <c r="C22" s="7">
        <v>17.06340485131193</v>
      </c>
      <c r="D22" s="7">
        <v>17.42834472385444</v>
      </c>
      <c r="E22" s="7">
        <v>4.9020301798277623</v>
      </c>
      <c r="F22" s="7">
        <v>0</v>
      </c>
      <c r="G22" s="7">
        <v>25.417568960595862</v>
      </c>
      <c r="H22" s="7">
        <v>16.737917937963203</v>
      </c>
      <c r="I22" s="7">
        <v>16.787234136955437</v>
      </c>
      <c r="J22" s="7">
        <v>15.89954255509528</v>
      </c>
      <c r="K22" s="7">
        <v>15.909405794893722</v>
      </c>
      <c r="L22" s="7">
        <v>4.5469535470836995</v>
      </c>
      <c r="M22" s="7">
        <v>0</v>
      </c>
      <c r="N22" s="7">
        <v>24.204390465386979</v>
      </c>
      <c r="O22" s="7">
        <v>16.363114825622247</v>
      </c>
      <c r="P22" s="7">
        <v>16.787234136955437</v>
      </c>
      <c r="Q22" s="7">
        <v>15.89954255509528</v>
      </c>
      <c r="R22" s="7">
        <v>15.524739442754322</v>
      </c>
      <c r="S22" s="7">
        <v>4.5469535470836995</v>
      </c>
      <c r="T22" s="7">
        <v>0</v>
      </c>
      <c r="U22" s="7">
        <v>24.204390465386979</v>
      </c>
      <c r="V22" s="7">
        <v>15.988311713281293</v>
      </c>
      <c r="W22" s="7">
        <v>16.787234136955437</v>
      </c>
      <c r="X22" s="7">
        <v>15.89954255509528</v>
      </c>
      <c r="Y22" s="7">
        <v>15.909405794893722</v>
      </c>
      <c r="Z22" s="7">
        <v>4.5469535470836995</v>
      </c>
      <c r="AA22" s="7">
        <v>0</v>
      </c>
      <c r="AB22" s="7">
        <v>24.608783297123274</v>
      </c>
      <c r="AC22" s="7">
        <v>15.988311713281293</v>
      </c>
      <c r="AD22" s="7">
        <v>15.574055641746551</v>
      </c>
      <c r="AE22" s="7">
        <v>13.936757835204483</v>
      </c>
      <c r="AF22" s="7"/>
      <c r="AH22" s="7"/>
      <c r="AI22" s="9" cm="1">
        <f t="array" ref="AI22">MAX(_xlfn._xlws.FILTER($D22:$AF22, $D$2:$AF$2=AI$2))</f>
        <v>25.417568960595862</v>
      </c>
      <c r="AJ22" s="9" cm="1">
        <f t="array" ref="AJ22">MAX(_xlfn._xlws.FILTER($B22:$AF22, $B$2:$AF$2=AJ$2))</f>
        <v>16.737917937963203</v>
      </c>
      <c r="AK22" s="9" cm="1">
        <f t="array" ref="AK22">MAX(_xlfn._xlws.FILTER($B22:$AF22, $B$2:$AF$2=AK$2))</f>
        <v>18.799335055838458</v>
      </c>
      <c r="AL22" s="9" cm="1">
        <f t="array" ref="AL22">MAX(_xlfn._xlws.FILTER($B22:$AF22, $B$2:$AF$2=AL$2))</f>
        <v>17.06340485131193</v>
      </c>
      <c r="AM22" s="9" cm="1">
        <f t="array" ref="AM22">MAX(_xlfn._xlws.FILTER($B22:$AF22, $B$2:$AF$2=AM$2))</f>
        <v>17.42834472385444</v>
      </c>
      <c r="AN22" s="9" cm="1">
        <f t="array" ref="AN22">MAX(_xlfn._xlws.FILTER($B22:$AF22, $B$2:$AF$2=AN$2))</f>
        <v>4.9020301798277623</v>
      </c>
      <c r="AO22" s="9" cm="1">
        <f t="array" ref="AO22">MAX(_xlfn._xlws.FILTER($B22:$AF22, $B$2:$AF$2=AO$2))</f>
        <v>0</v>
      </c>
    </row>
    <row r="23" spans="1:41" x14ac:dyDescent="0.25">
      <c r="A23" s="3" t="s">
        <v>28</v>
      </c>
      <c r="B23" s="7">
        <v>24.628509776720165</v>
      </c>
      <c r="C23" s="7">
        <v>22.557229419046465</v>
      </c>
      <c r="D23" s="7">
        <v>22.91230605179053</v>
      </c>
      <c r="E23" s="7">
        <v>7.5552416856097908</v>
      </c>
      <c r="F23" s="7">
        <v>0</v>
      </c>
      <c r="G23" s="7">
        <v>33.16021220237613</v>
      </c>
      <c r="H23" s="7">
        <v>22.330374903682202</v>
      </c>
      <c r="I23" s="7">
        <v>22.576955898643359</v>
      </c>
      <c r="J23" s="7">
        <v>20.910068372705947</v>
      </c>
      <c r="K23" s="7">
        <v>20.900205132907505</v>
      </c>
      <c r="L23" s="7">
        <v>7.1804385732688356</v>
      </c>
      <c r="M23" s="7">
        <v>0</v>
      </c>
      <c r="N23" s="7">
        <v>31.463734957043382</v>
      </c>
      <c r="O23" s="7">
        <v>21.551178959604954</v>
      </c>
      <c r="P23" s="7">
        <v>22.162699827108614</v>
      </c>
      <c r="Q23" s="7">
        <v>20.505675540969651</v>
      </c>
      <c r="R23" s="7">
        <v>20.091419469434918</v>
      </c>
      <c r="S23" s="7">
        <v>7.1804385732688356</v>
      </c>
      <c r="T23" s="7">
        <v>0</v>
      </c>
      <c r="U23" s="7">
        <v>31.463734957043382</v>
      </c>
      <c r="V23" s="7">
        <v>21.156649367667104</v>
      </c>
      <c r="W23" s="7">
        <v>22.162699827108614</v>
      </c>
      <c r="X23" s="7">
        <v>20.910068372705947</v>
      </c>
      <c r="Y23" s="7">
        <v>20.49581230117121</v>
      </c>
      <c r="Z23" s="7">
        <v>7.1804385732688356</v>
      </c>
      <c r="AA23" s="7">
        <v>0</v>
      </c>
      <c r="AB23" s="7">
        <v>32.311973579709758</v>
      </c>
      <c r="AC23" s="7">
        <v>21.551178959604954</v>
      </c>
      <c r="AD23" s="7">
        <v>20.929794852302841</v>
      </c>
      <c r="AE23" s="7">
        <v>18.030002351559659</v>
      </c>
      <c r="AF23" s="7"/>
      <c r="AH23" s="7"/>
      <c r="AI23" s="9" cm="1">
        <f t="array" ref="AI23">MAX(_xlfn._xlws.FILTER($D23:$AF23, $D$2:$AF$2=AI$2))</f>
        <v>33.16021220237613</v>
      </c>
      <c r="AJ23" s="9" cm="1">
        <f t="array" ref="AJ23">MAX(_xlfn._xlws.FILTER($B23:$AF23, $B$2:$AF$2=AJ$2))</f>
        <v>22.330374903682202</v>
      </c>
      <c r="AK23" s="9" cm="1">
        <f t="array" ref="AK23">MAX(_xlfn._xlws.FILTER($B23:$AF23, $B$2:$AF$2=AK$2))</f>
        <v>24.628509776720165</v>
      </c>
      <c r="AL23" s="9" cm="1">
        <f t="array" ref="AL23">MAX(_xlfn._xlws.FILTER($B23:$AF23, $B$2:$AF$2=AL$2))</f>
        <v>22.557229419046465</v>
      </c>
      <c r="AM23" s="9" cm="1">
        <f t="array" ref="AM23">MAX(_xlfn._xlws.FILTER($B23:$AF23, $B$2:$AF$2=AM$2))</f>
        <v>22.91230605179053</v>
      </c>
      <c r="AN23" s="9" cm="1">
        <f t="array" ref="AN23">MAX(_xlfn._xlws.FILTER($B23:$AF23, $B$2:$AF$2=AN$2))</f>
        <v>7.5552416856097908</v>
      </c>
      <c r="AO23" s="9" cm="1">
        <f t="array" ref="AO23">MAX(_xlfn._xlws.FILTER($B23:$AF23, $B$2:$AF$2=AO$2))</f>
        <v>0</v>
      </c>
    </row>
    <row r="24" spans="1:41" x14ac:dyDescent="0.25">
      <c r="A24" s="3" t="s">
        <v>29</v>
      </c>
      <c r="B24" s="7">
        <v>30.694402252764583</v>
      </c>
      <c r="C24" s="7">
        <v>27.607208195850919</v>
      </c>
      <c r="D24" s="7">
        <v>28.702027813478448</v>
      </c>
      <c r="E24" s="7">
        <v>10.563529824135882</v>
      </c>
      <c r="F24" s="7">
        <v>0</v>
      </c>
      <c r="G24" s="7">
        <v>41.090257000326872</v>
      </c>
      <c r="H24" s="7">
        <v>28.780933731866018</v>
      </c>
      <c r="I24" s="7">
        <v>27.794609752021397</v>
      </c>
      <c r="J24" s="7">
        <v>25.545791077975661</v>
      </c>
      <c r="K24" s="7">
        <v>25.831825032130606</v>
      </c>
      <c r="L24" s="7">
        <v>10.159136992399588</v>
      </c>
      <c r="M24" s="7">
        <v>0</v>
      </c>
      <c r="N24" s="7">
        <v>38.930207484467161</v>
      </c>
      <c r="O24" s="7">
        <v>27.972148068393427</v>
      </c>
      <c r="P24" s="7">
        <v>27.38035368048666</v>
      </c>
      <c r="Q24" s="7">
        <v>25.545791077975661</v>
      </c>
      <c r="R24" s="7">
        <v>25.013176128859566</v>
      </c>
      <c r="S24" s="7">
        <v>10.159136992399588</v>
      </c>
      <c r="T24" s="7">
        <v>0</v>
      </c>
      <c r="U24" s="7">
        <v>38.930207484467161</v>
      </c>
      <c r="V24" s="7">
        <v>27.567755236657135</v>
      </c>
      <c r="W24" s="7">
        <v>27.794609752021397</v>
      </c>
      <c r="X24" s="7">
        <v>25.545791077975661</v>
      </c>
      <c r="Y24" s="7">
        <v>25.831825032130606</v>
      </c>
      <c r="Z24" s="7">
        <v>9.7547441606632947</v>
      </c>
      <c r="AA24" s="7">
        <v>0</v>
      </c>
      <c r="AB24" s="7">
        <v>39.798172586730431</v>
      </c>
      <c r="AC24" s="7">
        <v>27.567755236657135</v>
      </c>
      <c r="AD24" s="7">
        <v>25.723329394347694</v>
      </c>
      <c r="AE24" s="7">
        <v>22.655861817030924</v>
      </c>
      <c r="AF24" s="7"/>
      <c r="AH24" s="7"/>
      <c r="AI24" s="9" cm="1">
        <f t="array" ref="AI24">MAX(_xlfn._xlws.FILTER($D24:$AF24, $D$2:$AF$2=AI$2))</f>
        <v>41.090257000326872</v>
      </c>
      <c r="AJ24" s="9" cm="1">
        <f t="array" ref="AJ24">MAX(_xlfn._xlws.FILTER($B24:$AF24, $B$2:$AF$2=AJ$2))</f>
        <v>28.780933731866018</v>
      </c>
      <c r="AK24" s="9" cm="1">
        <f t="array" ref="AK24">MAX(_xlfn._xlws.FILTER($B24:$AF24, $B$2:$AF$2=AK$2))</f>
        <v>30.694402252764583</v>
      </c>
      <c r="AL24" s="9" cm="1">
        <f t="array" ref="AL24">MAX(_xlfn._xlws.FILTER($B24:$AF24, $B$2:$AF$2=AL$2))</f>
        <v>27.607208195850919</v>
      </c>
      <c r="AM24" s="9" cm="1">
        <f t="array" ref="AM24">MAX(_xlfn._xlws.FILTER($B24:$AF24, $B$2:$AF$2=AM$2))</f>
        <v>28.702027813478448</v>
      </c>
      <c r="AN24" s="9" cm="1">
        <f t="array" ref="AN24">MAX(_xlfn._xlws.FILTER($B24:$AF24, $B$2:$AF$2=AN$2))</f>
        <v>10.563529824135882</v>
      </c>
      <c r="AO24" s="9" cm="1">
        <f t="array" ref="AO24">MAX(_xlfn._xlws.FILTER($B24:$AF24, $B$2:$AF$2=AO$2))</f>
        <v>0</v>
      </c>
    </row>
    <row r="25" spans="1:41" x14ac:dyDescent="0.25">
      <c r="A25" s="3" t="s">
        <v>30</v>
      </c>
      <c r="B25" s="7">
        <v>41.0310775615362</v>
      </c>
      <c r="C25" s="7">
        <v>36.257269499088238</v>
      </c>
      <c r="D25" s="7">
        <v>37.026602203367041</v>
      </c>
      <c r="E25" s="7">
        <v>12.713716100197155</v>
      </c>
      <c r="F25" s="7">
        <v>0</v>
      </c>
      <c r="G25" s="7">
        <v>54.099870294477419</v>
      </c>
      <c r="H25" s="7">
        <v>37.647986310669154</v>
      </c>
      <c r="I25" s="7">
        <v>37.628259831072263</v>
      </c>
      <c r="J25" s="7">
        <v>33.791459549476684</v>
      </c>
      <c r="K25" s="7">
        <v>33.337750518748159</v>
      </c>
      <c r="L25" s="7">
        <v>12.289596788863969</v>
      </c>
      <c r="M25" s="7">
        <v>0</v>
      </c>
      <c r="N25" s="7">
        <v>51.042265956959099</v>
      </c>
      <c r="O25" s="7">
        <v>36.454534295057165</v>
      </c>
      <c r="P25" s="7">
        <v>36.780021208405884</v>
      </c>
      <c r="Q25" s="7">
        <v>33.377203477941947</v>
      </c>
      <c r="R25" s="7">
        <v>32.519101615477126</v>
      </c>
      <c r="S25" s="7">
        <v>11.86547747753078</v>
      </c>
      <c r="T25" s="7">
        <v>0</v>
      </c>
      <c r="U25" s="7">
        <v>51.476248508090727</v>
      </c>
      <c r="V25" s="7">
        <v>35.655611871383016</v>
      </c>
      <c r="W25" s="7">
        <v>37.20414051973907</v>
      </c>
      <c r="X25" s="7">
        <v>33.791459549476684</v>
      </c>
      <c r="Y25" s="7">
        <v>33.337750518748159</v>
      </c>
      <c r="Z25" s="7">
        <v>11.86547747753078</v>
      </c>
      <c r="AA25" s="7">
        <v>0</v>
      </c>
      <c r="AB25" s="7">
        <v>52.354076850152438</v>
      </c>
      <c r="AC25" s="7">
        <v>35.655611871383016</v>
      </c>
      <c r="AD25" s="7">
        <v>34.649561411941512</v>
      </c>
      <c r="AE25" s="7">
        <v>29.688351793323072</v>
      </c>
      <c r="AF25" s="7"/>
      <c r="AH25" s="7"/>
      <c r="AI25" s="9" cm="1">
        <f t="array" ref="AI25">MAX(_xlfn._xlws.FILTER($D25:$AF25, $D$2:$AF$2=AI$2))</f>
        <v>54.099870294477419</v>
      </c>
      <c r="AJ25" s="9" cm="1">
        <f t="array" ref="AJ25">MAX(_xlfn._xlws.FILTER($B25:$AF25, $B$2:$AF$2=AJ$2))</f>
        <v>37.647986310669154</v>
      </c>
      <c r="AK25" s="9" cm="1">
        <f t="array" ref="AK25">MAX(_xlfn._xlws.FILTER($B25:$AF25, $B$2:$AF$2=AK$2))</f>
        <v>41.0310775615362</v>
      </c>
      <c r="AL25" s="9" cm="1">
        <f t="array" ref="AL25">MAX(_xlfn._xlws.FILTER($B25:$AF25, $B$2:$AF$2=AL$2))</f>
        <v>36.257269499088238</v>
      </c>
      <c r="AM25" s="9" cm="1">
        <f t="array" ref="AM25">MAX(_xlfn._xlws.FILTER($B25:$AF25, $B$2:$AF$2=AM$2))</f>
        <v>37.026602203367041</v>
      </c>
      <c r="AN25" s="9" cm="1">
        <f t="array" ref="AN25">MAX(_xlfn._xlws.FILTER($B25:$AF25, $B$2:$AF$2=AN$2))</f>
        <v>12.713716100197155</v>
      </c>
      <c r="AO25" s="9" cm="1">
        <f t="array" ref="AO25">MAX(_xlfn._xlws.FILTER($B25:$AF25, $B$2:$AF$2=AO$2))</f>
        <v>0</v>
      </c>
    </row>
    <row r="26" spans="1:41" x14ac:dyDescent="0.25">
      <c r="A26" s="3" t="s">
        <v>31</v>
      </c>
      <c r="B26" s="7">
        <v>50.726642283408822</v>
      </c>
      <c r="C26" s="7">
        <v>44.877741082930221</v>
      </c>
      <c r="D26" s="7">
        <v>45.686526746402812</v>
      </c>
      <c r="E26" s="7">
        <v>14.489099263917469</v>
      </c>
      <c r="F26" s="7">
        <v>0</v>
      </c>
      <c r="G26" s="7">
        <v>66.951671751852814</v>
      </c>
      <c r="H26" s="7">
        <v>46.426269731286276</v>
      </c>
      <c r="I26" s="7">
        <v>46.248731414914246</v>
      </c>
      <c r="J26" s="7">
        <v>41.810273505613452</v>
      </c>
      <c r="K26" s="7">
        <v>40.873265724761055</v>
      </c>
      <c r="L26" s="7">
        <v>14.055116712785837</v>
      </c>
      <c r="M26" s="7">
        <v>0</v>
      </c>
      <c r="N26" s="7">
        <v>62.72034187831941</v>
      </c>
      <c r="O26" s="7">
        <v>44.749518965550415</v>
      </c>
      <c r="P26" s="7">
        <v>45.804885623984163</v>
      </c>
      <c r="Q26" s="7">
        <v>41.366427714683375</v>
      </c>
      <c r="R26" s="7">
        <v>39.995437382699343</v>
      </c>
      <c r="S26" s="7">
        <v>14.055116712785837</v>
      </c>
      <c r="T26" s="7">
        <v>0</v>
      </c>
      <c r="U26" s="7">
        <v>63.193777388644811</v>
      </c>
      <c r="V26" s="7">
        <v>44.335262894015685</v>
      </c>
      <c r="W26" s="7">
        <v>45.804885623984163</v>
      </c>
      <c r="X26" s="7">
        <v>41.810273505613452</v>
      </c>
      <c r="Y26" s="7">
        <v>40.873265724761055</v>
      </c>
      <c r="Z26" s="7">
        <v>13.621134161654206</v>
      </c>
      <c r="AA26" s="7">
        <v>0</v>
      </c>
      <c r="AB26" s="7">
        <v>64.604220679822618</v>
      </c>
      <c r="AC26" s="7">
        <v>44.335262894015685</v>
      </c>
      <c r="AD26" s="7">
        <v>42.668375368078273</v>
      </c>
      <c r="AE26" s="7">
        <v>36.543303453243176</v>
      </c>
      <c r="AF26" s="7"/>
      <c r="AH26" s="7"/>
      <c r="AI26" s="9" cm="1">
        <f t="array" ref="AI26">MAX(_xlfn._xlws.FILTER($D26:$AF26, $D$2:$AF$2=AI$2))</f>
        <v>66.951671751852814</v>
      </c>
      <c r="AJ26" s="9" cm="1">
        <f t="array" ref="AJ26">MAX(_xlfn._xlws.FILTER($B26:$AF26, $B$2:$AF$2=AJ$2))</f>
        <v>46.426269731286276</v>
      </c>
      <c r="AK26" s="9" cm="1">
        <f t="array" ref="AK26">MAX(_xlfn._xlws.FILTER($B26:$AF26, $B$2:$AF$2=AK$2))</f>
        <v>50.726642283408822</v>
      </c>
      <c r="AL26" s="9" cm="1">
        <f t="array" ref="AL26">MAX(_xlfn._xlws.FILTER($B26:$AF26, $B$2:$AF$2=AL$2))</f>
        <v>44.877741082930221</v>
      </c>
      <c r="AM26" s="9" cm="1">
        <f t="array" ref="AM26">MAX(_xlfn._xlws.FILTER($B26:$AF26, $B$2:$AF$2=AM$2))</f>
        <v>45.686526746402812</v>
      </c>
      <c r="AN26" s="9" cm="1">
        <f t="array" ref="AN26">MAX(_xlfn._xlws.FILTER($B26:$AF26, $B$2:$AF$2=AN$2))</f>
        <v>14.489099263917469</v>
      </c>
      <c r="AO26" s="9" cm="1">
        <f t="array" ref="AO26">MAX(_xlfn._xlws.FILTER($B26:$AF26, $B$2:$AF$2=AO$2))</f>
        <v>0</v>
      </c>
    </row>
    <row r="27" spans="1:41" x14ac:dyDescent="0.25">
      <c r="A27" s="3" t="s">
        <v>32</v>
      </c>
      <c r="B27" s="7">
        <v>55.35250174888008</v>
      </c>
      <c r="C27" s="7">
        <v>48.724404604324235</v>
      </c>
      <c r="D27" s="7">
        <v>51.387479349904716</v>
      </c>
      <c r="E27" s="7">
        <v>17.714378678009378</v>
      </c>
      <c r="F27" s="7">
        <v>0</v>
      </c>
      <c r="G27" s="7">
        <v>74.753494432423764</v>
      </c>
      <c r="H27" s="7">
        <v>51.249393992726468</v>
      </c>
      <c r="I27" s="7">
        <v>49.878403660742443</v>
      </c>
      <c r="J27" s="7">
        <v>45.13418531768982</v>
      </c>
      <c r="K27" s="7">
        <v>46.406543251689378</v>
      </c>
      <c r="L27" s="7">
        <v>16.836550335947667</v>
      </c>
      <c r="M27" s="7">
        <v>0</v>
      </c>
      <c r="N27" s="7">
        <v>70.255857084332305</v>
      </c>
      <c r="O27" s="7">
        <v>49.493737308603045</v>
      </c>
      <c r="P27" s="7">
        <v>49.424694630013924</v>
      </c>
      <c r="Q27" s="7">
        <v>45.13418531768982</v>
      </c>
      <c r="R27" s="7">
        <v>45.045416159503802</v>
      </c>
      <c r="S27" s="7">
        <v>16.836550335947667</v>
      </c>
      <c r="T27" s="7">
        <v>0</v>
      </c>
      <c r="U27" s="7">
        <v>70.749019074254619</v>
      </c>
      <c r="V27" s="7">
        <v>48.615908966541333</v>
      </c>
      <c r="W27" s="7">
        <v>49.878403660742443</v>
      </c>
      <c r="X27" s="7">
        <v>45.13418531768982</v>
      </c>
      <c r="Y27" s="7">
        <v>46.406543251689378</v>
      </c>
      <c r="Z27" s="7">
        <v>16.836550335947667</v>
      </c>
      <c r="AA27" s="7">
        <v>0</v>
      </c>
      <c r="AB27" s="7">
        <v>72.248231523618429</v>
      </c>
      <c r="AC27" s="7">
        <v>49.049891517672961</v>
      </c>
      <c r="AD27" s="7">
        <v>46.229004935317342</v>
      </c>
      <c r="AE27" s="7">
        <v>39.729129908141303</v>
      </c>
      <c r="AF27" s="7"/>
      <c r="AH27" s="7"/>
      <c r="AI27" s="9" cm="1">
        <f t="array" ref="AI27">MAX(_xlfn._xlws.FILTER($D27:$AF27, $D$2:$AF$2=AI$2))</f>
        <v>74.753494432423764</v>
      </c>
      <c r="AJ27" s="9" cm="1">
        <f t="array" ref="AJ27">MAX(_xlfn._xlws.FILTER($B27:$AF27, $B$2:$AF$2=AJ$2))</f>
        <v>51.249393992726468</v>
      </c>
      <c r="AK27" s="9" cm="1">
        <f t="array" ref="AK27">MAX(_xlfn._xlws.FILTER($B27:$AF27, $B$2:$AF$2=AK$2))</f>
        <v>55.35250174888008</v>
      </c>
      <c r="AL27" s="9" cm="1">
        <f t="array" ref="AL27">MAX(_xlfn._xlws.FILTER($B27:$AF27, $B$2:$AF$2=AL$2))</f>
        <v>48.724404604324235</v>
      </c>
      <c r="AM27" s="9" cm="1">
        <f t="array" ref="AM27">MAX(_xlfn._xlws.FILTER($B27:$AF27, $B$2:$AF$2=AM$2))</f>
        <v>51.387479349904716</v>
      </c>
      <c r="AN27" s="9" cm="1">
        <f t="array" ref="AN27">MAX(_xlfn._xlws.FILTER($B27:$AF27, $B$2:$AF$2=AN$2))</f>
        <v>17.714378678009378</v>
      </c>
      <c r="AO27" s="9" cm="1">
        <f t="array" ref="AO27">MAX(_xlfn._xlws.FILTER($B27:$AF27, $B$2:$AF$2=AO$2))</f>
        <v>0</v>
      </c>
    </row>
    <row r="28" spans="1:41" x14ac:dyDescent="0.25">
      <c r="A28" s="3" t="s">
        <v>33</v>
      </c>
      <c r="B28" s="7">
        <v>59.741643459188651</v>
      </c>
      <c r="C28" s="7">
        <v>52.827512360477861</v>
      </c>
      <c r="D28" s="7">
        <v>55.490587106058335</v>
      </c>
      <c r="E28" s="7">
        <v>22.014751230131925</v>
      </c>
      <c r="F28" s="7">
        <v>0</v>
      </c>
      <c r="G28" s="7">
        <v>77.692739892360734</v>
      </c>
      <c r="H28" s="7">
        <v>54.671938202787295</v>
      </c>
      <c r="I28" s="7">
        <v>53.981511416896062</v>
      </c>
      <c r="J28" s="7">
        <v>49.533190267796826</v>
      </c>
      <c r="K28" s="7">
        <v>49.868540420944001</v>
      </c>
      <c r="L28" s="7">
        <v>21.08760668907798</v>
      </c>
      <c r="M28" s="7">
        <v>0</v>
      </c>
      <c r="N28" s="7">
        <v>73.175376064672363</v>
      </c>
      <c r="O28" s="7">
        <v>52.837375600276303</v>
      </c>
      <c r="P28" s="7">
        <v>53.498212666772204</v>
      </c>
      <c r="Q28" s="7">
        <v>49.069617997269852</v>
      </c>
      <c r="R28" s="7">
        <v>48.458097129766195</v>
      </c>
      <c r="S28" s="7">
        <v>20.624034418551009</v>
      </c>
      <c r="T28" s="7">
        <v>0</v>
      </c>
      <c r="U28" s="7">
        <v>73.678401294393126</v>
      </c>
      <c r="V28" s="7">
        <v>51.929957538819252</v>
      </c>
      <c r="W28" s="7">
        <v>53.498212666772204</v>
      </c>
      <c r="X28" s="7">
        <v>49.069617997269852</v>
      </c>
      <c r="Y28" s="7">
        <v>49.868540420944001</v>
      </c>
      <c r="Z28" s="7">
        <v>20.624034418551009</v>
      </c>
      <c r="AA28" s="7">
        <v>0</v>
      </c>
      <c r="AB28" s="7">
        <v>75.187476983555399</v>
      </c>
      <c r="AC28" s="7">
        <v>52.383666569547771</v>
      </c>
      <c r="AD28" s="7">
        <v>50.134847895502041</v>
      </c>
      <c r="AE28" s="7">
        <v>43.417981592760185</v>
      </c>
      <c r="AF28" s="7"/>
      <c r="AH28" s="7"/>
      <c r="AI28" s="9" cm="1">
        <f t="array" ref="AI28">MAX(_xlfn._xlws.FILTER($D28:$AF28, $D$2:$AF$2=AI$2))</f>
        <v>77.692739892360734</v>
      </c>
      <c r="AJ28" s="9" cm="1">
        <f t="array" ref="AJ28">MAX(_xlfn._xlws.FILTER($B28:$AF28, $B$2:$AF$2=AJ$2))</f>
        <v>54.671938202787295</v>
      </c>
      <c r="AK28" s="9" cm="1">
        <f t="array" ref="AK28">MAX(_xlfn._xlws.FILTER($B28:$AF28, $B$2:$AF$2=AK$2))</f>
        <v>59.741643459188651</v>
      </c>
      <c r="AL28" s="9" cm="1">
        <f t="array" ref="AL28">MAX(_xlfn._xlws.FILTER($B28:$AF28, $B$2:$AF$2=AL$2))</f>
        <v>52.827512360477861</v>
      </c>
      <c r="AM28" s="9" cm="1">
        <f t="array" ref="AM28">MAX(_xlfn._xlws.FILTER($B28:$AF28, $B$2:$AF$2=AM$2))</f>
        <v>55.490587106058335</v>
      </c>
      <c r="AN28" s="9" cm="1">
        <f t="array" ref="AN28">MAX(_xlfn._xlws.FILTER($B28:$AF28, $B$2:$AF$2=AN$2))</f>
        <v>22.014751230131925</v>
      </c>
      <c r="AO28" s="9" cm="1">
        <f t="array" ref="AO28">MAX(_xlfn._xlws.FILTER($B28:$AF28, $B$2:$AF$2=AO$2))</f>
        <v>0</v>
      </c>
    </row>
    <row r="29" spans="1:41" x14ac:dyDescent="0.25">
      <c r="A29" s="3" t="s">
        <v>34</v>
      </c>
      <c r="B29" s="7">
        <v>62.878153715094534</v>
      </c>
      <c r="C29" s="7">
        <v>56.693902361468766</v>
      </c>
      <c r="D29" s="7">
        <v>59.307660908057017</v>
      </c>
      <c r="E29" s="7">
        <v>24.766595133898413</v>
      </c>
      <c r="F29" s="7">
        <v>0</v>
      </c>
      <c r="G29" s="7">
        <v>79.981011525600266</v>
      </c>
      <c r="H29" s="7">
        <v>59.287934428460119</v>
      </c>
      <c r="I29" s="7">
        <v>56.861577438042353</v>
      </c>
      <c r="J29" s="7">
        <v>52.304760651160215</v>
      </c>
      <c r="K29" s="7">
        <v>53.439033227981518</v>
      </c>
      <c r="L29" s="7">
        <v>23.287109164131483</v>
      </c>
      <c r="M29" s="7">
        <v>0</v>
      </c>
      <c r="N29" s="7">
        <v>75.414331498919665</v>
      </c>
      <c r="O29" s="7">
        <v>56.891167157437692</v>
      </c>
      <c r="P29" s="7">
        <v>56.358552208321605</v>
      </c>
      <c r="Q29" s="7">
        <v>52.304760651160215</v>
      </c>
      <c r="R29" s="7">
        <v>51.979273737811489</v>
      </c>
      <c r="S29" s="7">
        <v>23.287109164131483</v>
      </c>
      <c r="T29" s="7">
        <v>0</v>
      </c>
      <c r="U29" s="7">
        <v>75.927219968438862</v>
      </c>
      <c r="V29" s="7">
        <v>56.407868407313821</v>
      </c>
      <c r="W29" s="7">
        <v>56.861577438042353</v>
      </c>
      <c r="X29" s="7">
        <v>52.304760651160215</v>
      </c>
      <c r="Y29" s="7">
        <v>52.955734477857661</v>
      </c>
      <c r="Z29" s="7">
        <v>22.803810414007621</v>
      </c>
      <c r="AA29" s="7">
        <v>0</v>
      </c>
      <c r="AB29" s="7">
        <v>77.446158897399584</v>
      </c>
      <c r="AC29" s="7">
        <v>56.407868407313821</v>
      </c>
      <c r="AD29" s="7">
        <v>52.847238840074745</v>
      </c>
      <c r="AE29" s="7">
        <v>45.962697460759308</v>
      </c>
      <c r="AF29" s="7"/>
      <c r="AH29" s="7"/>
      <c r="AI29" s="9" cm="1">
        <f t="array" ref="AI29">MAX(_xlfn._xlws.FILTER($D29:$AF29, $D$2:$AF$2=AI$2))</f>
        <v>79.981011525600266</v>
      </c>
      <c r="AJ29" s="9" cm="1">
        <f t="array" ref="AJ29">MAX(_xlfn._xlws.FILTER($B29:$AF29, $B$2:$AF$2=AJ$2))</f>
        <v>59.287934428460119</v>
      </c>
      <c r="AK29" s="9" cm="1">
        <f t="array" ref="AK29">MAX(_xlfn._xlws.FILTER($B29:$AF29, $B$2:$AF$2=AK$2))</f>
        <v>62.878153715094534</v>
      </c>
      <c r="AL29" s="9" cm="1">
        <f t="array" ref="AL29">MAX(_xlfn._xlws.FILTER($B29:$AF29, $B$2:$AF$2=AL$2))</f>
        <v>56.693902361468766</v>
      </c>
      <c r="AM29" s="9" cm="1">
        <f t="array" ref="AM29">MAX(_xlfn._xlws.FILTER($B29:$AF29, $B$2:$AF$2=AM$2))</f>
        <v>59.307660908057017</v>
      </c>
      <c r="AN29" s="9" cm="1">
        <f t="array" ref="AN29">MAX(_xlfn._xlws.FILTER($B29:$AF29, $B$2:$AF$2=AN$2))</f>
        <v>24.766595133898413</v>
      </c>
      <c r="AO29" s="9" cm="1">
        <f t="array" ref="AO29">MAX(_xlfn._xlws.FILTER($B29:$AF29, $B$2:$AF$2=AO$2))</f>
        <v>0</v>
      </c>
    </row>
    <row r="30" spans="1:41" x14ac:dyDescent="0.25">
      <c r="A30" s="3" t="s">
        <v>35</v>
      </c>
      <c r="B30" s="7">
        <v>64.90998111357446</v>
      </c>
      <c r="C30" s="7">
        <v>59.593694862211954</v>
      </c>
      <c r="D30" s="7">
        <v>61.595932541296534</v>
      </c>
      <c r="E30" s="7">
        <v>24.697552455309289</v>
      </c>
      <c r="F30" s="7">
        <v>0</v>
      </c>
      <c r="G30" s="7">
        <v>81.884616806700365</v>
      </c>
      <c r="H30" s="7">
        <v>62.187726929203301</v>
      </c>
      <c r="I30" s="7">
        <v>58.88354159672383</v>
      </c>
      <c r="J30" s="7">
        <v>55.174963432508058</v>
      </c>
      <c r="K30" s="7">
        <v>55.648398942833474</v>
      </c>
      <c r="L30" s="7">
        <v>23.198340005945468</v>
      </c>
      <c r="M30" s="7">
        <v>0</v>
      </c>
      <c r="N30" s="7">
        <v>76.745868871709902</v>
      </c>
      <c r="O30" s="7">
        <v>60.21507896951406</v>
      </c>
      <c r="P30" s="7">
        <v>58.380516367003068</v>
      </c>
      <c r="Q30" s="7">
        <v>54.681801442585737</v>
      </c>
      <c r="R30" s="7">
        <v>53.665887743345785</v>
      </c>
      <c r="S30" s="7">
        <v>23.198340005945468</v>
      </c>
      <c r="T30" s="7">
        <v>0</v>
      </c>
      <c r="U30" s="7">
        <v>77.781509050546745</v>
      </c>
      <c r="V30" s="7">
        <v>59.238618229467889</v>
      </c>
      <c r="W30" s="7">
        <v>58.380516367003068</v>
      </c>
      <c r="X30" s="7">
        <v>55.174963432508058</v>
      </c>
      <c r="Y30" s="7">
        <v>55.15523695291116</v>
      </c>
      <c r="Z30" s="7">
        <v>22.695314776224713</v>
      </c>
      <c r="AA30" s="7">
        <v>0</v>
      </c>
      <c r="AB30" s="7">
        <v>79.320174459104365</v>
      </c>
      <c r="AC30" s="7">
        <v>59.238618229467889</v>
      </c>
      <c r="AD30" s="7">
        <v>54.36617776903546</v>
      </c>
      <c r="AE30" s="7">
        <v>48.290422053192607</v>
      </c>
      <c r="AF30" s="7"/>
      <c r="AH30" s="7"/>
      <c r="AI30" s="9" cm="1">
        <f t="array" ref="AI30">MAX(_xlfn._xlws.FILTER($D30:$AF30, $D$2:$AF$2=AI$2))</f>
        <v>81.884616806700365</v>
      </c>
      <c r="AJ30" s="9" cm="1">
        <f t="array" ref="AJ30">MAX(_xlfn._xlws.FILTER($B30:$AF30, $B$2:$AF$2=AJ$2))</f>
        <v>62.187726929203301</v>
      </c>
      <c r="AK30" s="9" cm="1">
        <f t="array" ref="AK30">MAX(_xlfn._xlws.FILTER($B30:$AF30, $B$2:$AF$2=AK$2))</f>
        <v>64.90998111357446</v>
      </c>
      <c r="AL30" s="9" cm="1">
        <f t="array" ref="AL30">MAX(_xlfn._xlws.FILTER($B30:$AF30, $B$2:$AF$2=AL$2))</f>
        <v>59.593694862211954</v>
      </c>
      <c r="AM30" s="9" cm="1">
        <f t="array" ref="AM30">MAX(_xlfn._xlws.FILTER($B30:$AF30, $B$2:$AF$2=AM$2))</f>
        <v>61.595932541296534</v>
      </c>
      <c r="AN30" s="9" cm="1">
        <f t="array" ref="AN30">MAX(_xlfn._xlws.FILTER($B30:$AF30, $B$2:$AF$2=AN$2))</f>
        <v>24.697552455309289</v>
      </c>
      <c r="AO30" s="9" cm="1">
        <f t="array" ref="AO30">MAX(_xlfn._xlws.FILTER($B30:$AF30, $B$2:$AF$2=AO$2))</f>
        <v>0</v>
      </c>
    </row>
    <row r="31" spans="1:41" x14ac:dyDescent="0.25">
      <c r="A31" s="3" t="s">
        <v>36</v>
      </c>
      <c r="B31" s="7">
        <v>64.426682363450581</v>
      </c>
      <c r="C31" s="7">
        <v>60.096720091932703</v>
      </c>
      <c r="D31" s="7">
        <v>61.960872413839041</v>
      </c>
      <c r="E31" s="7">
        <v>24.164937506193194</v>
      </c>
      <c r="F31" s="7">
        <v>0</v>
      </c>
      <c r="G31" s="7">
        <v>80.493899995119449</v>
      </c>
      <c r="H31" s="7">
        <v>62.976786113079001</v>
      </c>
      <c r="I31" s="7">
        <v>58.449559045592189</v>
      </c>
      <c r="J31" s="7">
        <v>55.747031340817934</v>
      </c>
      <c r="K31" s="7">
        <v>55.638535703035018</v>
      </c>
      <c r="L31" s="7">
        <v>22.66572505682937</v>
      </c>
      <c r="M31" s="7">
        <v>0</v>
      </c>
      <c r="N31" s="7">
        <v>75.887767009245067</v>
      </c>
      <c r="O31" s="7">
        <v>60.520839403265896</v>
      </c>
      <c r="P31" s="7">
        <v>57.956397055669875</v>
      </c>
      <c r="Q31" s="7">
        <v>55.263732590694069</v>
      </c>
      <c r="R31" s="7">
        <v>54.178776212864989</v>
      </c>
      <c r="S31" s="7">
        <v>22.66572505682937</v>
      </c>
      <c r="T31" s="7">
        <v>0</v>
      </c>
      <c r="U31" s="7">
        <v>75.887767009245067</v>
      </c>
      <c r="V31" s="7">
        <v>60.027677413343589</v>
      </c>
      <c r="W31" s="7">
        <v>58.449559045592189</v>
      </c>
      <c r="X31" s="7">
        <v>55.747031340817934</v>
      </c>
      <c r="Y31" s="7">
        <v>55.145373713112711</v>
      </c>
      <c r="Z31" s="7">
        <v>22.162699827108614</v>
      </c>
      <c r="AA31" s="7">
        <v>0</v>
      </c>
      <c r="AB31" s="7">
        <v>77.939320887321884</v>
      </c>
      <c r="AC31" s="7">
        <v>60.027677413343589</v>
      </c>
      <c r="AD31" s="7">
        <v>53.961784937299178</v>
      </c>
      <c r="AE31" s="7">
        <v>48.970985599285392</v>
      </c>
      <c r="AF31" s="7"/>
      <c r="AH31" s="7"/>
      <c r="AI31" s="9" cm="1">
        <f t="array" ref="AI31">MAX(_xlfn._xlws.FILTER($D31:$AF31, $D$2:$AF$2=AI$2))</f>
        <v>80.493899995119449</v>
      </c>
      <c r="AJ31" s="9" cm="1">
        <f t="array" ref="AJ31">MAX(_xlfn._xlws.FILTER($B31:$AF31, $B$2:$AF$2=AJ$2))</f>
        <v>62.976786113079001</v>
      </c>
      <c r="AK31" s="9" cm="1">
        <f t="array" ref="AK31">MAX(_xlfn._xlws.FILTER($B31:$AF31, $B$2:$AF$2=AK$2))</f>
        <v>64.426682363450581</v>
      </c>
      <c r="AL31" s="9" cm="1">
        <f t="array" ref="AL31">MAX(_xlfn._xlws.FILTER($B31:$AF31, $B$2:$AF$2=AL$2))</f>
        <v>60.096720091932703</v>
      </c>
      <c r="AM31" s="9" cm="1">
        <f t="array" ref="AM31">MAX(_xlfn._xlws.FILTER($B31:$AF31, $B$2:$AF$2=AM$2))</f>
        <v>61.960872413839041</v>
      </c>
      <c r="AN31" s="9" cm="1">
        <f t="array" ref="AN31">MAX(_xlfn._xlws.FILTER($B31:$AF31, $B$2:$AF$2=AN$2))</f>
        <v>24.164937506193194</v>
      </c>
      <c r="AO31" s="9" cm="1">
        <f t="array" ref="AO31">MAX(_xlfn._xlws.FILTER($B31:$AF31, $B$2:$AF$2=AO$2))</f>
        <v>0</v>
      </c>
    </row>
    <row r="32" spans="1:41" x14ac:dyDescent="0.25">
      <c r="A32" s="3" t="s">
        <v>37</v>
      </c>
      <c r="B32" s="7">
        <v>66.783996675279226</v>
      </c>
      <c r="C32" s="7">
        <v>59.869865576568451</v>
      </c>
      <c r="D32" s="7">
        <v>62.079231291420392</v>
      </c>
      <c r="E32" s="7">
        <v>23.444921000906621</v>
      </c>
      <c r="F32" s="7">
        <v>0</v>
      </c>
      <c r="G32" s="7">
        <v>81.568993133150087</v>
      </c>
      <c r="H32" s="7">
        <v>62.572393281342698</v>
      </c>
      <c r="I32" s="7">
        <v>60.777283638025501</v>
      </c>
      <c r="J32" s="7">
        <v>55.569493024445904</v>
      </c>
      <c r="K32" s="7">
        <v>55.747031340817934</v>
      </c>
      <c r="L32" s="7">
        <v>21.985161510736585</v>
      </c>
      <c r="M32" s="7">
        <v>0</v>
      </c>
      <c r="N32" s="7">
        <v>76.430245198159611</v>
      </c>
      <c r="O32" s="7">
        <v>60.136173051126491</v>
      </c>
      <c r="P32" s="7">
        <v>59.771233178583984</v>
      </c>
      <c r="Q32" s="7">
        <v>55.096057514120488</v>
      </c>
      <c r="R32" s="7">
        <v>54.28727185064789</v>
      </c>
      <c r="S32" s="7">
        <v>21.985161510736585</v>
      </c>
      <c r="T32" s="7">
        <v>0</v>
      </c>
      <c r="U32" s="7">
        <v>77.456022137198033</v>
      </c>
      <c r="V32" s="7">
        <v>59.643011061204184</v>
      </c>
      <c r="W32" s="7">
        <v>60.274258408304739</v>
      </c>
      <c r="X32" s="7">
        <v>55.569493024445904</v>
      </c>
      <c r="Y32" s="7">
        <v>55.747031340817934</v>
      </c>
      <c r="Z32" s="7">
        <v>21.985161510736585</v>
      </c>
      <c r="AA32" s="7">
        <v>0</v>
      </c>
      <c r="AB32" s="7">
        <v>79.004550785554073</v>
      </c>
      <c r="AC32" s="7">
        <v>59.643011061204184</v>
      </c>
      <c r="AD32" s="7">
        <v>56.26978305013558</v>
      </c>
      <c r="AE32" s="7">
        <v>48.882216441099381</v>
      </c>
      <c r="AF32" s="7"/>
      <c r="AH32" s="7"/>
      <c r="AI32" s="9" cm="1">
        <f t="array" ref="AI32">MAX(_xlfn._xlws.FILTER($D32:$AF32, $D$2:$AF$2=AI$2))</f>
        <v>81.568993133150087</v>
      </c>
      <c r="AJ32" s="9" cm="1">
        <f t="array" ref="AJ32">MAX(_xlfn._xlws.FILTER($B32:$AF32, $B$2:$AF$2=AJ$2))</f>
        <v>62.572393281342698</v>
      </c>
      <c r="AK32" s="9" cm="1">
        <f t="array" ref="AK32">MAX(_xlfn._xlws.FILTER($B32:$AF32, $B$2:$AF$2=AK$2))</f>
        <v>66.783996675279226</v>
      </c>
      <c r="AL32" s="9" cm="1">
        <f t="array" ref="AL32">MAX(_xlfn._xlws.FILTER($B32:$AF32, $B$2:$AF$2=AL$2))</f>
        <v>59.869865576568451</v>
      </c>
      <c r="AM32" s="9" cm="1">
        <f t="array" ref="AM32">MAX(_xlfn._xlws.FILTER($B32:$AF32, $B$2:$AF$2=AM$2))</f>
        <v>62.079231291420392</v>
      </c>
      <c r="AN32" s="9" cm="1">
        <f t="array" ref="AN32">MAX(_xlfn._xlws.FILTER($B32:$AF32, $B$2:$AF$2=AN$2))</f>
        <v>23.444921000906621</v>
      </c>
      <c r="AO32" s="9" cm="1">
        <f t="array" ref="AO32">MAX(_xlfn._xlws.FILTER($B32:$AF32, $B$2:$AF$2=AO$2))</f>
        <v>0</v>
      </c>
    </row>
    <row r="33" spans="1:41" x14ac:dyDescent="0.25">
      <c r="A33" s="3" t="s">
        <v>38</v>
      </c>
      <c r="B33" s="7">
        <v>67.553329379558036</v>
      </c>
      <c r="C33" s="7">
        <v>59.307660908057017</v>
      </c>
      <c r="D33" s="7">
        <v>62.36526524557533</v>
      </c>
      <c r="E33" s="7">
        <v>23.050391408968775</v>
      </c>
      <c r="F33" s="7">
        <v>0</v>
      </c>
      <c r="G33" s="7">
        <v>78.738243310996026</v>
      </c>
      <c r="H33" s="7">
        <v>61.881966495451472</v>
      </c>
      <c r="I33" s="7">
        <v>61.378941265730717</v>
      </c>
      <c r="J33" s="7">
        <v>54.829750039562448</v>
      </c>
      <c r="K33" s="7">
        <v>55.894979937794631</v>
      </c>
      <c r="L33" s="7">
        <v>22.103520388317939</v>
      </c>
      <c r="M33" s="7">
        <v>0</v>
      </c>
      <c r="N33" s="7">
        <v>74.092657365927863</v>
      </c>
      <c r="O33" s="7">
        <v>59.426019785638374</v>
      </c>
      <c r="P33" s="7">
        <v>60.866052796211513</v>
      </c>
      <c r="Q33" s="7">
        <v>54.336588049640135</v>
      </c>
      <c r="R33" s="7">
        <v>54.395767488430799</v>
      </c>
      <c r="S33" s="7">
        <v>21.630084877992523</v>
      </c>
      <c r="T33" s="7">
        <v>0</v>
      </c>
      <c r="U33" s="7">
        <v>74.605545835447074</v>
      </c>
      <c r="V33" s="7">
        <v>58.942721035514509</v>
      </c>
      <c r="W33" s="7">
        <v>60.866052796211513</v>
      </c>
      <c r="X33" s="7">
        <v>54.829750039562448</v>
      </c>
      <c r="Y33" s="7">
        <v>55.894979937794631</v>
      </c>
      <c r="Z33" s="7">
        <v>21.630084877992523</v>
      </c>
      <c r="AA33" s="7">
        <v>0</v>
      </c>
      <c r="AB33" s="7">
        <v>76.154074483803115</v>
      </c>
      <c r="AC33" s="7">
        <v>58.942721035514509</v>
      </c>
      <c r="AD33" s="7">
        <v>56.74321856046101</v>
      </c>
      <c r="AE33" s="7">
        <v>48.359464731781728</v>
      </c>
      <c r="AF33" s="7"/>
      <c r="AH33" s="7"/>
      <c r="AI33" s="9" cm="1">
        <f t="array" ref="AI33">MAX(_xlfn._xlws.FILTER($D33:$AF33, $D$2:$AF$2=AI$2))</f>
        <v>78.738243310996026</v>
      </c>
      <c r="AJ33" s="9" cm="1">
        <f t="array" ref="AJ33">MAX(_xlfn._xlws.FILTER($B33:$AF33, $B$2:$AF$2=AJ$2))</f>
        <v>61.881966495451472</v>
      </c>
      <c r="AK33" s="9" cm="1">
        <f t="array" ref="AK33">MAX(_xlfn._xlws.FILTER($B33:$AF33, $B$2:$AF$2=AK$2))</f>
        <v>67.553329379558036</v>
      </c>
      <c r="AL33" s="9" cm="1">
        <f t="array" ref="AL33">MAX(_xlfn._xlws.FILTER($B33:$AF33, $B$2:$AF$2=AL$2))</f>
        <v>59.307660908057017</v>
      </c>
      <c r="AM33" s="9" cm="1">
        <f t="array" ref="AM33">MAX(_xlfn._xlws.FILTER($B33:$AF33, $B$2:$AF$2=AM$2))</f>
        <v>62.36526524557533</v>
      </c>
      <c r="AN33" s="9" cm="1">
        <f t="array" ref="AN33">MAX(_xlfn._xlws.FILTER($B33:$AF33, $B$2:$AF$2=AN$2))</f>
        <v>23.050391408968775</v>
      </c>
      <c r="AO33" s="9" cm="1">
        <f t="array" ref="AO33">MAX(_xlfn._xlws.FILTER($B33:$AF33, $B$2:$AF$2=AO$2))</f>
        <v>0</v>
      </c>
    </row>
    <row r="34" spans="1:41" x14ac:dyDescent="0.25">
      <c r="A34" s="3" t="s">
        <v>39</v>
      </c>
      <c r="B34" s="7">
        <v>66.142886088380237</v>
      </c>
      <c r="C34" s="7">
        <v>58.814498918134703</v>
      </c>
      <c r="D34" s="7">
        <v>60.846326316614615</v>
      </c>
      <c r="E34" s="7">
        <v>22.922169291588972</v>
      </c>
      <c r="F34" s="7">
        <v>0</v>
      </c>
      <c r="G34" s="7">
        <v>76.085031805214001</v>
      </c>
      <c r="H34" s="7">
        <v>61.339488306536921</v>
      </c>
      <c r="I34" s="7">
        <v>59.909318535762232</v>
      </c>
      <c r="J34" s="7">
        <v>54.800160320167095</v>
      </c>
      <c r="K34" s="7">
        <v>54.780433840570204</v>
      </c>
      <c r="L34" s="7">
        <v>21.955571791341249</v>
      </c>
      <c r="M34" s="7">
        <v>0</v>
      </c>
      <c r="N34" s="7">
        <v>71.40985614075052</v>
      </c>
      <c r="O34" s="7">
        <v>59.376703586646144</v>
      </c>
      <c r="P34" s="7">
        <v>59.386566826444586</v>
      </c>
      <c r="Q34" s="7">
        <v>54.297135090446332</v>
      </c>
      <c r="R34" s="7">
        <v>53.261494911609496</v>
      </c>
      <c r="S34" s="7">
        <v>21.472273041217381</v>
      </c>
      <c r="T34" s="7">
        <v>0</v>
      </c>
      <c r="U34" s="7">
        <v>71.932607850068166</v>
      </c>
      <c r="V34" s="7">
        <v>58.400242846599966</v>
      </c>
      <c r="W34" s="7">
        <v>59.909318535762232</v>
      </c>
      <c r="X34" s="7">
        <v>54.800160320167095</v>
      </c>
      <c r="Y34" s="7">
        <v>54.780433840570204</v>
      </c>
      <c r="Z34" s="7">
        <v>21.472273041217381</v>
      </c>
      <c r="AA34" s="7">
        <v>0</v>
      </c>
      <c r="AB34" s="7">
        <v>73.490999738222655</v>
      </c>
      <c r="AC34" s="7">
        <v>58.400242846599966</v>
      </c>
      <c r="AD34" s="7">
        <v>55.747031340817934</v>
      </c>
      <c r="AE34" s="7">
        <v>47.767670343874954</v>
      </c>
      <c r="AF34" s="7"/>
      <c r="AH34" s="7"/>
      <c r="AI34" s="9" cm="1">
        <f t="array" ref="AI34">MAX(_xlfn._xlws.FILTER($D34:$AF34, $D$2:$AF$2=AI$2))</f>
        <v>76.085031805214001</v>
      </c>
      <c r="AJ34" s="9" cm="1">
        <f t="array" ref="AJ34">MAX(_xlfn._xlws.FILTER($B34:$AF34, $B$2:$AF$2=AJ$2))</f>
        <v>61.339488306536921</v>
      </c>
      <c r="AK34" s="9" cm="1">
        <f t="array" ref="AK34">MAX(_xlfn._xlws.FILTER($B34:$AF34, $B$2:$AF$2=AK$2))</f>
        <v>66.142886088380237</v>
      </c>
      <c r="AL34" s="9" cm="1">
        <f t="array" ref="AL34">MAX(_xlfn._xlws.FILTER($B34:$AF34, $B$2:$AF$2=AL$2))</f>
        <v>58.814498918134703</v>
      </c>
      <c r="AM34" s="9" cm="1">
        <f t="array" ref="AM34">MAX(_xlfn._xlws.FILTER($B34:$AF34, $B$2:$AF$2=AM$2))</f>
        <v>60.846326316614615</v>
      </c>
      <c r="AN34" s="9" cm="1">
        <f t="array" ref="AN34">MAX(_xlfn._xlws.FILTER($B34:$AF34, $B$2:$AF$2=AN$2))</f>
        <v>22.922169291588972</v>
      </c>
      <c r="AO34" s="9" cm="1">
        <f t="array" ref="AO34">MAX(_xlfn._xlws.FILTER($B34:$AF34, $B$2:$AF$2=AO$2))</f>
        <v>0</v>
      </c>
    </row>
    <row r="35" spans="1:41" x14ac:dyDescent="0.25">
      <c r="A35" s="3" t="s">
        <v>40</v>
      </c>
      <c r="B35" s="7">
        <v>63.647486419373344</v>
      </c>
      <c r="C35" s="7">
        <v>56.910893637034583</v>
      </c>
      <c r="D35" s="7">
        <v>60.353164326692308</v>
      </c>
      <c r="E35" s="7">
        <v>22.369827862875987</v>
      </c>
      <c r="F35" s="7">
        <v>0</v>
      </c>
      <c r="G35" s="7">
        <v>75.868040529648184</v>
      </c>
      <c r="H35" s="7">
        <v>60.353164326692308</v>
      </c>
      <c r="I35" s="7">
        <v>57.394192387158455</v>
      </c>
      <c r="J35" s="7">
        <v>52.926144758462314</v>
      </c>
      <c r="K35" s="7">
        <v>54.11959677407431</v>
      </c>
      <c r="L35" s="7">
        <v>21.866802633155231</v>
      </c>
      <c r="M35" s="7">
        <v>0</v>
      </c>
      <c r="N35" s="7">
        <v>71.143548666192444</v>
      </c>
      <c r="O35" s="7">
        <v>57.907080856677659</v>
      </c>
      <c r="P35" s="7">
        <v>56.871440677840795</v>
      </c>
      <c r="Q35" s="7">
        <v>52.432982768540008</v>
      </c>
      <c r="R35" s="7">
        <v>53.074093355439011</v>
      </c>
      <c r="S35" s="7">
        <v>21.353914163636023</v>
      </c>
      <c r="T35" s="7">
        <v>0</v>
      </c>
      <c r="U35" s="7">
        <v>71.666300375510104</v>
      </c>
      <c r="V35" s="7">
        <v>57.423782106553787</v>
      </c>
      <c r="W35" s="7">
        <v>57.394192387158455</v>
      </c>
      <c r="X35" s="7">
        <v>52.926144758462314</v>
      </c>
      <c r="Y35" s="7">
        <v>54.11959677407431</v>
      </c>
      <c r="Z35" s="7">
        <v>21.353914163636023</v>
      </c>
      <c r="AA35" s="7">
        <v>0</v>
      </c>
      <c r="AB35" s="7">
        <v>73.244418743261505</v>
      </c>
      <c r="AC35" s="7">
        <v>57.423782106553787</v>
      </c>
      <c r="AD35" s="7">
        <v>53.23190519221415</v>
      </c>
      <c r="AE35" s="7">
        <v>46.445996210883166</v>
      </c>
      <c r="AF35" s="7"/>
      <c r="AH35" s="7"/>
      <c r="AI35" s="9" cm="1">
        <f t="array" ref="AI35">MAX(_xlfn._xlws.FILTER($D35:$AF35, $D$2:$AF$2=AI$2))</f>
        <v>75.868040529648184</v>
      </c>
      <c r="AJ35" s="9" cm="1">
        <f t="array" ref="AJ35">MAX(_xlfn._xlws.FILTER($B35:$AF35, $B$2:$AF$2=AJ$2))</f>
        <v>60.353164326692308</v>
      </c>
      <c r="AK35" s="9" cm="1">
        <f t="array" ref="AK35">MAX(_xlfn._xlws.FILTER($B35:$AF35, $B$2:$AF$2=AK$2))</f>
        <v>63.647486419373344</v>
      </c>
      <c r="AL35" s="9" cm="1">
        <f t="array" ref="AL35">MAX(_xlfn._xlws.FILTER($B35:$AF35, $B$2:$AF$2=AL$2))</f>
        <v>56.910893637034583</v>
      </c>
      <c r="AM35" s="9" cm="1">
        <f t="array" ref="AM35">MAX(_xlfn._xlws.FILTER($B35:$AF35, $B$2:$AF$2=AM$2))</f>
        <v>60.353164326692308</v>
      </c>
      <c r="AN35" s="9" cm="1">
        <f t="array" ref="AN35">MAX(_xlfn._xlws.FILTER($B35:$AF35, $B$2:$AF$2=AN$2))</f>
        <v>22.369827862875987</v>
      </c>
      <c r="AO35" s="9" cm="1">
        <f t="array" ref="AO35">MAX(_xlfn._xlws.FILTER($B35:$AF35, $B$2:$AF$2=AO$2))</f>
        <v>0</v>
      </c>
    </row>
    <row r="36" spans="1:41" x14ac:dyDescent="0.25">
      <c r="A36" s="3" t="s">
        <v>41</v>
      </c>
      <c r="B36" s="7">
        <v>61.546616342304304</v>
      </c>
      <c r="C36" s="7">
        <v>56.851714198243911</v>
      </c>
      <c r="D36" s="7">
        <v>58.686276800754904</v>
      </c>
      <c r="E36" s="7">
        <v>22.12324686791483</v>
      </c>
      <c r="F36" s="7">
        <v>0</v>
      </c>
      <c r="G36" s="7">
        <v>73.145786345277031</v>
      </c>
      <c r="H36" s="7">
        <v>59.504925704025929</v>
      </c>
      <c r="I36" s="7">
        <v>56.003475575577539</v>
      </c>
      <c r="J36" s="7">
        <v>52.797922641082522</v>
      </c>
      <c r="K36" s="7">
        <v>52.403393049144682</v>
      </c>
      <c r="L36" s="7">
        <v>21.097469928876425</v>
      </c>
      <c r="M36" s="7">
        <v>0</v>
      </c>
      <c r="N36" s="7">
        <v>68.973635910534298</v>
      </c>
      <c r="O36" s="7">
        <v>57.05884223401128</v>
      </c>
      <c r="P36" s="7">
        <v>54.997425116136021</v>
      </c>
      <c r="Q36" s="7">
        <v>52.29489741136176</v>
      </c>
      <c r="R36" s="7">
        <v>51.357889630509376</v>
      </c>
      <c r="S36" s="7">
        <v>21.097469928876425</v>
      </c>
      <c r="T36" s="7">
        <v>0</v>
      </c>
      <c r="U36" s="7">
        <v>69.49638761985193</v>
      </c>
      <c r="V36" s="7">
        <v>56.565680244088973</v>
      </c>
      <c r="W36" s="7">
        <v>55.500450345856784</v>
      </c>
      <c r="X36" s="7">
        <v>52.797922641082522</v>
      </c>
      <c r="Y36" s="7">
        <v>52.403393049144682</v>
      </c>
      <c r="Z36" s="7">
        <v>20.584581459357224</v>
      </c>
      <c r="AA36" s="7">
        <v>0</v>
      </c>
      <c r="AB36" s="7">
        <v>71.054779508006447</v>
      </c>
      <c r="AC36" s="7">
        <v>56.565680244088973</v>
      </c>
      <c r="AD36" s="7">
        <v>51.476248508090727</v>
      </c>
      <c r="AE36" s="7">
        <v>46.209278455720458</v>
      </c>
      <c r="AF36" s="7"/>
      <c r="AH36" s="7"/>
      <c r="AI36" s="9" cm="1">
        <f t="array" ref="AI36">MAX(_xlfn._xlws.FILTER($D36:$AF36, $D$2:$AF$2=AI$2))</f>
        <v>73.145786345277031</v>
      </c>
      <c r="AJ36" s="9" cm="1">
        <f t="array" ref="AJ36">MAX(_xlfn._xlws.FILTER($B36:$AF36, $B$2:$AF$2=AJ$2))</f>
        <v>59.504925704025929</v>
      </c>
      <c r="AK36" s="9" cm="1">
        <f t="array" ref="AK36">MAX(_xlfn._xlws.FILTER($B36:$AF36, $B$2:$AF$2=AK$2))</f>
        <v>61.546616342304304</v>
      </c>
      <c r="AL36" s="9" cm="1">
        <f t="array" ref="AL36">MAX(_xlfn._xlws.FILTER($B36:$AF36, $B$2:$AF$2=AL$2))</f>
        <v>56.851714198243911</v>
      </c>
      <c r="AM36" s="9" cm="1">
        <f t="array" ref="AM36">MAX(_xlfn._xlws.FILTER($B36:$AF36, $B$2:$AF$2=AM$2))</f>
        <v>58.686276800754904</v>
      </c>
      <c r="AN36" s="9" cm="1">
        <f t="array" ref="AN36">MAX(_xlfn._xlws.FILTER($B36:$AF36, $B$2:$AF$2=AN$2))</f>
        <v>22.12324686791483</v>
      </c>
      <c r="AO36" s="9" cm="1">
        <f t="array" ref="AO36">MAX(_xlfn._xlws.FILTER($B36:$AF36, $B$2:$AF$2=AO$2))</f>
        <v>0</v>
      </c>
    </row>
    <row r="37" spans="1:41" x14ac:dyDescent="0.25">
      <c r="A37" s="3" t="s">
        <v>42</v>
      </c>
      <c r="B37" s="7">
        <v>59.840275857173111</v>
      </c>
      <c r="C37" s="7">
        <v>54.277408610849449</v>
      </c>
      <c r="D37" s="7">
        <v>57.552004223933594</v>
      </c>
      <c r="E37" s="7">
        <v>20.554991739961885</v>
      </c>
      <c r="F37" s="7">
        <v>0</v>
      </c>
      <c r="G37" s="7">
        <v>69.762695094409992</v>
      </c>
      <c r="H37" s="7">
        <v>58.380516367003068</v>
      </c>
      <c r="I37" s="7">
        <v>54.36617776903546</v>
      </c>
      <c r="J37" s="7">
        <v>50.766095242602596</v>
      </c>
      <c r="K37" s="7">
        <v>51.910231059222369</v>
      </c>
      <c r="L37" s="7">
        <v>20.051966510241126</v>
      </c>
      <c r="M37" s="7">
        <v>0</v>
      </c>
      <c r="N37" s="7">
        <v>65.610271139264128</v>
      </c>
      <c r="O37" s="7">
        <v>56.407868407313821</v>
      </c>
      <c r="P37" s="7">
        <v>53.873015779113153</v>
      </c>
      <c r="Q37" s="7">
        <v>50.263070012881848</v>
      </c>
      <c r="R37" s="7">
        <v>50.371565650664756</v>
      </c>
      <c r="S37" s="7">
        <v>19.539078040721925</v>
      </c>
      <c r="T37" s="7">
        <v>0</v>
      </c>
      <c r="U37" s="7">
        <v>66.123159608783354</v>
      </c>
      <c r="V37" s="7">
        <v>55.421544427469208</v>
      </c>
      <c r="W37" s="7">
        <v>53.873015779113153</v>
      </c>
      <c r="X37" s="7">
        <v>50.766095242602596</v>
      </c>
      <c r="Y37" s="7">
        <v>51.910231059222369</v>
      </c>
      <c r="Z37" s="7">
        <v>19.539078040721925</v>
      </c>
      <c r="AA37" s="7">
        <v>0</v>
      </c>
      <c r="AB37" s="7">
        <v>67.681551496937843</v>
      </c>
      <c r="AC37" s="7">
        <v>55.421544427469208</v>
      </c>
      <c r="AD37" s="7">
        <v>50.381428890463198</v>
      </c>
      <c r="AE37" s="7">
        <v>44.236630496031218</v>
      </c>
      <c r="AF37" s="7"/>
      <c r="AH37" s="7"/>
      <c r="AI37" s="9" cm="1">
        <f t="array" ref="AI37">MAX(_xlfn._xlws.FILTER($D37:$AF37, $D$2:$AF$2=AI$2))</f>
        <v>69.762695094409992</v>
      </c>
      <c r="AJ37" s="9" cm="1">
        <f t="array" ref="AJ37">MAX(_xlfn._xlws.FILTER($B37:$AF37, $B$2:$AF$2=AJ$2))</f>
        <v>58.380516367003068</v>
      </c>
      <c r="AK37" s="9" cm="1">
        <f t="array" ref="AK37">MAX(_xlfn._xlws.FILTER($B37:$AF37, $B$2:$AF$2=AK$2))</f>
        <v>59.840275857173111</v>
      </c>
      <c r="AL37" s="9" cm="1">
        <f t="array" ref="AL37">MAX(_xlfn._xlws.FILTER($B37:$AF37, $B$2:$AF$2=AL$2))</f>
        <v>54.277408610849449</v>
      </c>
      <c r="AM37" s="9" cm="1">
        <f t="array" ref="AM37">MAX(_xlfn._xlws.FILTER($B37:$AF37, $B$2:$AF$2=AM$2))</f>
        <v>57.552004223933594</v>
      </c>
      <c r="AN37" s="9" cm="1">
        <f t="array" ref="AN37">MAX(_xlfn._xlws.FILTER($B37:$AF37, $B$2:$AF$2=AN$2))</f>
        <v>20.554991739961885</v>
      </c>
      <c r="AO37" s="9" cm="1">
        <f t="array" ref="AO37">MAX(_xlfn._xlws.FILTER($B37:$AF37, $B$2:$AF$2=AO$2))</f>
        <v>0</v>
      </c>
    </row>
    <row r="38" spans="1:41" x14ac:dyDescent="0.25">
      <c r="A38" s="3" t="s">
        <v>43</v>
      </c>
      <c r="B38" s="7">
        <v>57.571730703530477</v>
      </c>
      <c r="C38" s="7">
        <v>51.742555982648781</v>
      </c>
      <c r="D38" s="7">
        <v>55.145373713112711</v>
      </c>
      <c r="E38" s="7">
        <v>19.479898601931247</v>
      </c>
      <c r="F38" s="7">
        <v>0</v>
      </c>
      <c r="G38" s="7">
        <v>66.330287644550708</v>
      </c>
      <c r="H38" s="7">
        <v>56.516364045096729</v>
      </c>
      <c r="I38" s="7">
        <v>52.492162207330693</v>
      </c>
      <c r="J38" s="7">
        <v>48.201652895006582</v>
      </c>
      <c r="K38" s="7">
        <v>49.483874068804603</v>
      </c>
      <c r="L38" s="7">
        <v>18.976873372210491</v>
      </c>
      <c r="M38" s="7">
        <v>0</v>
      </c>
      <c r="N38" s="7">
        <v>62.197590169001749</v>
      </c>
      <c r="O38" s="7">
        <v>54.533852845609054</v>
      </c>
      <c r="P38" s="7">
        <v>51.979273737811489</v>
      </c>
      <c r="Q38" s="7">
        <v>47.688764425487385</v>
      </c>
      <c r="R38" s="7">
        <v>48.448233889967746</v>
      </c>
      <c r="S38" s="7">
        <v>18.463984902691287</v>
      </c>
      <c r="T38" s="7">
        <v>0</v>
      </c>
      <c r="U38" s="7">
        <v>62.710478638520954</v>
      </c>
      <c r="V38" s="7">
        <v>53.547528865764434</v>
      </c>
      <c r="W38" s="7">
        <v>51.979273737811489</v>
      </c>
      <c r="X38" s="7">
        <v>48.201652895006582</v>
      </c>
      <c r="Y38" s="7">
        <v>49.483874068804603</v>
      </c>
      <c r="Z38" s="7">
        <v>18.463984902691287</v>
      </c>
      <c r="AA38" s="7">
        <v>0</v>
      </c>
      <c r="AB38" s="7">
        <v>63.746118817357804</v>
      </c>
      <c r="AC38" s="7">
        <v>54.040690855686741</v>
      </c>
      <c r="AD38" s="7">
        <v>48.418644170572406</v>
      </c>
      <c r="AE38" s="7">
        <v>42.106170699566832</v>
      </c>
      <c r="AF38" s="7"/>
      <c r="AH38" s="7"/>
      <c r="AI38" s="9" cm="1">
        <f t="array" ref="AI38">MAX(_xlfn._xlws.FILTER($D38:$AF38, $D$2:$AF$2=AI$2))</f>
        <v>66.330287644550708</v>
      </c>
      <c r="AJ38" s="9" cm="1">
        <f t="array" ref="AJ38">MAX(_xlfn._xlws.FILTER($B38:$AF38, $B$2:$AF$2=AJ$2))</f>
        <v>56.516364045096729</v>
      </c>
      <c r="AK38" s="9" cm="1">
        <f t="array" ref="AK38">MAX(_xlfn._xlws.FILTER($B38:$AF38, $B$2:$AF$2=AK$2))</f>
        <v>57.571730703530477</v>
      </c>
      <c r="AL38" s="9" cm="1">
        <f t="array" ref="AL38">MAX(_xlfn._xlws.FILTER($B38:$AF38, $B$2:$AF$2=AL$2))</f>
        <v>51.742555982648781</v>
      </c>
      <c r="AM38" s="9" cm="1">
        <f t="array" ref="AM38">MAX(_xlfn._xlws.FILTER($B38:$AF38, $B$2:$AF$2=AM$2))</f>
        <v>55.145373713112711</v>
      </c>
      <c r="AN38" s="9" cm="1">
        <f t="array" ref="AN38">MAX(_xlfn._xlws.FILTER($B38:$AF38, $B$2:$AF$2=AN$2))</f>
        <v>19.479898601931247</v>
      </c>
      <c r="AO38" s="9" cm="1">
        <f t="array" ref="AO38">MAX(_xlfn._xlws.FILTER($B38:$AF38, $B$2:$AF$2=AO$2))</f>
        <v>0</v>
      </c>
    </row>
    <row r="39" spans="1:41" x14ac:dyDescent="0.25">
      <c r="A39" s="3" t="s">
        <v>44</v>
      </c>
      <c r="B39" s="7">
        <v>54.001237896492952</v>
      </c>
      <c r="C39" s="7">
        <v>49.069617997269852</v>
      </c>
      <c r="D39" s="7">
        <v>50.93377031917619</v>
      </c>
      <c r="E39" s="7">
        <v>17.60588304022647</v>
      </c>
      <c r="F39" s="7">
        <v>0</v>
      </c>
      <c r="G39" s="7">
        <v>61.694564939280987</v>
      </c>
      <c r="H39" s="7">
        <v>52.817649120679405</v>
      </c>
      <c r="I39" s="7">
        <v>48.852626721704041</v>
      </c>
      <c r="J39" s="7">
        <v>45.97256070055775</v>
      </c>
      <c r="K39" s="7">
        <v>46.150099016929779</v>
      </c>
      <c r="L39" s="7">
        <v>16.609695820583404</v>
      </c>
      <c r="M39" s="7">
        <v>0</v>
      </c>
      <c r="N39" s="7">
        <v>58.035302974057458</v>
      </c>
      <c r="O39" s="7">
        <v>51.308573431517146</v>
      </c>
      <c r="P39" s="7">
        <v>48.33973825218483</v>
      </c>
      <c r="Q39" s="7">
        <v>45.459672231038553</v>
      </c>
      <c r="R39" s="7">
        <v>44.552254169581495</v>
      </c>
      <c r="S39" s="7">
        <v>16.609695820583404</v>
      </c>
      <c r="T39" s="7">
        <v>0</v>
      </c>
      <c r="U39" s="7">
        <v>58.558054683375104</v>
      </c>
      <c r="V39" s="7">
        <v>50.302522972075636</v>
      </c>
      <c r="W39" s="7">
        <v>48.33973825218483</v>
      </c>
      <c r="X39" s="7">
        <v>45.459672231038553</v>
      </c>
      <c r="Y39" s="7">
        <v>45.617484067813685</v>
      </c>
      <c r="Z39" s="7">
        <v>16.609695820583404</v>
      </c>
      <c r="AA39" s="7">
        <v>0</v>
      </c>
      <c r="AB39" s="7">
        <v>59.603558102010396</v>
      </c>
      <c r="AC39" s="7">
        <v>50.302522972075636</v>
      </c>
      <c r="AD39" s="7">
        <v>45.252544195271177</v>
      </c>
      <c r="AE39" s="7">
        <v>40.281471336854288</v>
      </c>
      <c r="AF39" s="7"/>
      <c r="AH39" s="7"/>
      <c r="AI39" s="9" cm="1">
        <f t="array" ref="AI39">MAX(_xlfn._xlws.FILTER($D39:$AF39, $D$2:$AF$2=AI$2))</f>
        <v>61.694564939280987</v>
      </c>
      <c r="AJ39" s="9" cm="1">
        <f t="array" ref="AJ39">MAX(_xlfn._xlws.FILTER($B39:$AF39, $B$2:$AF$2=AJ$2))</f>
        <v>52.817649120679405</v>
      </c>
      <c r="AK39" s="9" cm="1">
        <f t="array" ref="AK39">MAX(_xlfn._xlws.FILTER($B39:$AF39, $B$2:$AF$2=AK$2))</f>
        <v>54.001237896492952</v>
      </c>
      <c r="AL39" s="9" cm="1">
        <f t="array" ref="AL39">MAX(_xlfn._xlws.FILTER($B39:$AF39, $B$2:$AF$2=AL$2))</f>
        <v>49.069617997269852</v>
      </c>
      <c r="AM39" s="9" cm="1">
        <f t="array" ref="AM39">MAX(_xlfn._xlws.FILTER($B39:$AF39, $B$2:$AF$2=AM$2))</f>
        <v>50.93377031917619</v>
      </c>
      <c r="AN39" s="9" cm="1">
        <f t="array" ref="AN39">MAX(_xlfn._xlws.FILTER($B39:$AF39, $B$2:$AF$2=AN$2))</f>
        <v>17.60588304022647</v>
      </c>
      <c r="AO39" s="9" cm="1">
        <f t="array" ref="AO39">MAX(_xlfn._xlws.FILTER($B39:$AF39, $B$2:$AF$2=AO$2))</f>
        <v>0</v>
      </c>
    </row>
    <row r="40" spans="1:41" x14ac:dyDescent="0.25">
      <c r="A40" s="3" t="s">
        <v>45</v>
      </c>
      <c r="B40" s="7">
        <v>48.842763481905592</v>
      </c>
      <c r="C40" s="7">
        <v>43.171400597799028</v>
      </c>
      <c r="D40" s="7">
        <v>45.311723634061849</v>
      </c>
      <c r="E40" s="7">
        <v>15.140073090614919</v>
      </c>
      <c r="F40" s="7">
        <v>0</v>
      </c>
      <c r="G40" s="7">
        <v>54.977698636539131</v>
      </c>
      <c r="H40" s="7">
        <v>48.24110585420037</v>
      </c>
      <c r="I40" s="7">
        <v>44.680476286961287</v>
      </c>
      <c r="J40" s="7">
        <v>40.557642051210784</v>
      </c>
      <c r="K40" s="7">
        <v>41.040940801334649</v>
      </c>
      <c r="L40" s="7">
        <v>14.637047860894162</v>
      </c>
      <c r="M40" s="7">
        <v>0</v>
      </c>
      <c r="N40" s="7">
        <v>51.348026390710928</v>
      </c>
      <c r="O40" s="7">
        <v>46.702440445642772</v>
      </c>
      <c r="P40" s="7">
        <v>44.16758781744209</v>
      </c>
      <c r="Q40" s="7">
        <v>40.04475358169158</v>
      </c>
      <c r="R40" s="7">
        <v>39.965847663304018</v>
      </c>
      <c r="S40" s="7">
        <v>14.134022631173409</v>
      </c>
      <c r="T40" s="7">
        <v>0</v>
      </c>
      <c r="U40" s="7">
        <v>51.860914860230125</v>
      </c>
      <c r="V40" s="7">
        <v>45.676663506604363</v>
      </c>
      <c r="W40" s="7">
        <v>44.16758781744209</v>
      </c>
      <c r="X40" s="7">
        <v>40.04475358169158</v>
      </c>
      <c r="Y40" s="7">
        <v>40.508325852218547</v>
      </c>
      <c r="Z40" s="7">
        <v>14.134022631173409</v>
      </c>
      <c r="AA40" s="7">
        <v>0</v>
      </c>
      <c r="AB40" s="7">
        <v>52.906418278865431</v>
      </c>
      <c r="AC40" s="7">
        <v>45.676663506604363</v>
      </c>
      <c r="AD40" s="7">
        <v>41.040940801334649</v>
      </c>
      <c r="AE40" s="7">
        <v>35.339988197832739</v>
      </c>
      <c r="AF40" s="7"/>
      <c r="AH40" s="7"/>
      <c r="AI40" s="9" cm="1">
        <f t="array" ref="AI40">MAX(_xlfn._xlws.FILTER($D40:$AF40, $D$2:$AF$2=AI$2))</f>
        <v>54.977698636539131</v>
      </c>
      <c r="AJ40" s="9" cm="1">
        <f t="array" ref="AJ40">MAX(_xlfn._xlws.FILTER($B40:$AF40, $B$2:$AF$2=AJ$2))</f>
        <v>48.24110585420037</v>
      </c>
      <c r="AK40" s="9" cm="1">
        <f t="array" ref="AK40">MAX(_xlfn._xlws.FILTER($B40:$AF40, $B$2:$AF$2=AK$2))</f>
        <v>48.842763481905592</v>
      </c>
      <c r="AL40" s="9" cm="1">
        <f t="array" ref="AL40">MAX(_xlfn._xlws.FILTER($B40:$AF40, $B$2:$AF$2=AL$2))</f>
        <v>43.171400597799028</v>
      </c>
      <c r="AM40" s="9" cm="1">
        <f t="array" ref="AM40">MAX(_xlfn._xlws.FILTER($B40:$AF40, $B$2:$AF$2=AM$2))</f>
        <v>45.311723634061849</v>
      </c>
      <c r="AN40" s="9" cm="1">
        <f t="array" ref="AN40">MAX(_xlfn._xlws.FILTER($B40:$AF40, $B$2:$AF$2=AN$2))</f>
        <v>15.140073090614919</v>
      </c>
      <c r="AO40" s="9" cm="1">
        <f t="array" ref="AO40">MAX(_xlfn._xlws.FILTER($B40:$AF40, $B$2:$AF$2=AO$2))</f>
        <v>0</v>
      </c>
    </row>
    <row r="41" spans="1:41" x14ac:dyDescent="0.25">
      <c r="A41" s="3" t="s">
        <v>46</v>
      </c>
      <c r="B41" s="7">
        <v>44.256356975628108</v>
      </c>
      <c r="C41" s="7">
        <v>38.407455775149508</v>
      </c>
      <c r="D41" s="7">
        <v>40.449146413427876</v>
      </c>
      <c r="E41" s="7">
        <v>13.206878090119465</v>
      </c>
      <c r="F41" s="7">
        <v>0</v>
      </c>
      <c r="G41" s="7">
        <v>49.345788711626355</v>
      </c>
      <c r="H41" s="7">
        <v>43.842100904093371</v>
      </c>
      <c r="I41" s="7">
        <v>40.084206540885368</v>
      </c>
      <c r="J41" s="7">
        <v>35.803560468359713</v>
      </c>
      <c r="K41" s="7">
        <v>36.227679779692899</v>
      </c>
      <c r="L41" s="7">
        <v>12.693989620600261</v>
      </c>
      <c r="M41" s="7">
        <v>0</v>
      </c>
      <c r="N41" s="7">
        <v>46.159962256728221</v>
      </c>
      <c r="O41" s="7">
        <v>42.293572255737317</v>
      </c>
      <c r="P41" s="7">
        <v>39.561454831567715</v>
      </c>
      <c r="Q41" s="7">
        <v>35.280808759042067</v>
      </c>
      <c r="R41" s="7">
        <v>35.172313121259151</v>
      </c>
      <c r="S41" s="7">
        <v>12.181101151081059</v>
      </c>
      <c r="T41" s="7">
        <v>0</v>
      </c>
      <c r="U41" s="7">
        <v>46.692577205844323</v>
      </c>
      <c r="V41" s="7">
        <v>41.770820546419671</v>
      </c>
      <c r="W41" s="7">
        <v>40.084206540885368</v>
      </c>
      <c r="X41" s="7">
        <v>35.803560468359713</v>
      </c>
      <c r="Y41" s="7">
        <v>36.227679779692899</v>
      </c>
      <c r="Z41" s="7">
        <v>12.181101151081059</v>
      </c>
      <c r="AA41" s="7">
        <v>0</v>
      </c>
      <c r="AB41" s="7">
        <v>47.757807104076512</v>
      </c>
      <c r="AC41" s="7">
        <v>41.770820546419671</v>
      </c>
      <c r="AD41" s="7">
        <v>36.947696284979479</v>
      </c>
      <c r="AE41" s="7">
        <v>31.108658324299324</v>
      </c>
      <c r="AF41" s="7"/>
      <c r="AH41" s="7"/>
      <c r="AI41" s="9" cm="1">
        <f t="array" ref="AI41">MAX(_xlfn._xlws.FILTER($D41:$AF41, $D$2:$AF$2=AI$2))</f>
        <v>49.345788711626355</v>
      </c>
      <c r="AJ41" s="9" cm="1">
        <f t="array" ref="AJ41">MAX(_xlfn._xlws.FILTER($B41:$AF41, $B$2:$AF$2=AJ$2))</f>
        <v>43.842100904093371</v>
      </c>
      <c r="AK41" s="9" cm="1">
        <f t="array" ref="AK41">MAX(_xlfn._xlws.FILTER($B41:$AF41, $B$2:$AF$2=AK$2))</f>
        <v>44.256356975628108</v>
      </c>
      <c r="AL41" s="9" cm="1">
        <f t="array" ref="AL41">MAX(_xlfn._xlws.FILTER($B41:$AF41, $B$2:$AF$2=AL$2))</f>
        <v>38.407455775149508</v>
      </c>
      <c r="AM41" s="9" cm="1">
        <f t="array" ref="AM41">MAX(_xlfn._xlws.FILTER($B41:$AF41, $B$2:$AF$2=AM$2))</f>
        <v>40.449146413427876</v>
      </c>
      <c r="AN41" s="9" cm="1">
        <f t="array" ref="AN41">MAX(_xlfn._xlws.FILTER($B41:$AF41, $B$2:$AF$2=AN$2))</f>
        <v>13.206878090119465</v>
      </c>
      <c r="AO41" s="9" cm="1">
        <f t="array" ref="AO41">MAX(_xlfn._xlws.FILTER($B41:$AF41, $B$2:$AF$2=AO$2))</f>
        <v>0</v>
      </c>
    </row>
    <row r="42" spans="1:41" x14ac:dyDescent="0.25">
      <c r="A42" s="3" t="s">
        <v>47</v>
      </c>
      <c r="B42" s="7">
        <v>40.459009653226325</v>
      </c>
      <c r="C42" s="7">
        <v>33.663237432096892</v>
      </c>
      <c r="D42" s="7">
        <v>34.353664217988118</v>
      </c>
      <c r="E42" s="7">
        <v>10.602982783329667</v>
      </c>
      <c r="F42" s="7">
        <v>0</v>
      </c>
      <c r="G42" s="7">
        <v>43.516613990744638</v>
      </c>
      <c r="H42" s="7">
        <v>39.709403428544405</v>
      </c>
      <c r="I42" s="7">
        <v>36.770157968607442</v>
      </c>
      <c r="J42" s="7">
        <v>31.05934212530709</v>
      </c>
      <c r="K42" s="7">
        <v>31.157974523291553</v>
      </c>
      <c r="L42" s="7">
        <v>10.109820793407357</v>
      </c>
      <c r="M42" s="7">
        <v>0</v>
      </c>
      <c r="N42" s="7">
        <v>40.823949525768832</v>
      </c>
      <c r="O42" s="7">
        <v>38.170738019986807</v>
      </c>
      <c r="P42" s="7">
        <v>36.247406259289789</v>
      </c>
      <c r="Q42" s="7">
        <v>31.05934212530709</v>
      </c>
      <c r="R42" s="7">
        <v>30.092744625059364</v>
      </c>
      <c r="S42" s="7">
        <v>10.109820793407357</v>
      </c>
      <c r="T42" s="7">
        <v>0</v>
      </c>
      <c r="U42" s="7">
        <v>40.823949525768832</v>
      </c>
      <c r="V42" s="7">
        <v>37.667712790266044</v>
      </c>
      <c r="W42" s="7">
        <v>36.247406259289789</v>
      </c>
      <c r="X42" s="7">
        <v>31.05934212530709</v>
      </c>
      <c r="Y42" s="7">
        <v>31.157974523291553</v>
      </c>
      <c r="Z42" s="7">
        <v>10.109820793407357</v>
      </c>
      <c r="AA42" s="7">
        <v>0</v>
      </c>
      <c r="AB42" s="7">
        <v>41.899042663799463</v>
      </c>
      <c r="AC42" s="7">
        <v>37.667712790266044</v>
      </c>
      <c r="AD42" s="7">
        <v>34.126809702623859</v>
      </c>
      <c r="AE42" s="7">
        <v>27.400080160083547</v>
      </c>
      <c r="AF42" s="7"/>
      <c r="AH42" s="7"/>
      <c r="AI42" s="9" cm="1">
        <f t="array" ref="AI42">MAX(_xlfn._xlws.FILTER($D42:$AF42, $D$2:$AF$2=AI$2))</f>
        <v>43.516613990744638</v>
      </c>
      <c r="AJ42" s="9" cm="1">
        <f t="array" ref="AJ42">MAX(_xlfn._xlws.FILTER($B42:$AF42, $B$2:$AF$2=AJ$2))</f>
        <v>39.709403428544405</v>
      </c>
      <c r="AK42" s="9" cm="1">
        <f t="array" ref="AK42">MAX(_xlfn._xlws.FILTER($B42:$AF42, $B$2:$AF$2=AK$2))</f>
        <v>40.459009653226325</v>
      </c>
      <c r="AL42" s="9" cm="1">
        <f t="array" ref="AL42">MAX(_xlfn._xlws.FILTER($B42:$AF42, $B$2:$AF$2=AL$2))</f>
        <v>33.663237432096892</v>
      </c>
      <c r="AM42" s="9" cm="1">
        <f t="array" ref="AM42">MAX(_xlfn._xlws.FILTER($B42:$AF42, $B$2:$AF$2=AM$2))</f>
        <v>34.353664217988118</v>
      </c>
      <c r="AN42" s="9" cm="1">
        <f t="array" ref="AN42">MAX(_xlfn._xlws.FILTER($B42:$AF42, $B$2:$AF$2=AN$2))</f>
        <v>10.602982783329667</v>
      </c>
      <c r="AO42" s="9" cm="1">
        <f t="array" ref="AO42">MAX(_xlfn._xlws.FILTER($B42:$AF42, $B$2:$AF$2=AO$2))</f>
        <v>0</v>
      </c>
    </row>
    <row r="43" spans="1:41" x14ac:dyDescent="0.25">
      <c r="A43" s="3" t="s">
        <v>48</v>
      </c>
      <c r="B43" s="7">
        <v>34.748193809925965</v>
      </c>
      <c r="C43" s="7">
        <v>28.741480772672233</v>
      </c>
      <c r="D43" s="7">
        <v>27.72556707343227</v>
      </c>
      <c r="E43" s="7">
        <v>9.0544541349736143</v>
      </c>
      <c r="F43" s="7">
        <v>0</v>
      </c>
      <c r="G43" s="7">
        <v>35.981098784731742</v>
      </c>
      <c r="H43" s="7">
        <v>33.505425595321746</v>
      </c>
      <c r="I43" s="7">
        <v>31.966760186764141</v>
      </c>
      <c r="J43" s="7">
        <v>26.591294496610963</v>
      </c>
      <c r="K43" s="7">
        <v>24.963859929867336</v>
      </c>
      <c r="L43" s="7">
        <v>8.5711553848497495</v>
      </c>
      <c r="M43" s="7">
        <v>0</v>
      </c>
      <c r="N43" s="7">
        <v>33.781596309678243</v>
      </c>
      <c r="O43" s="7">
        <v>32.459922176686447</v>
      </c>
      <c r="P43" s="7">
        <v>31.414418758051156</v>
      </c>
      <c r="Q43" s="7">
        <v>26.591294496610963</v>
      </c>
      <c r="R43" s="7">
        <v>24.411518501154351</v>
      </c>
      <c r="S43" s="7">
        <v>8.5711553848497495</v>
      </c>
      <c r="T43" s="7">
        <v>0</v>
      </c>
      <c r="U43" s="7">
        <v>34.333937738391228</v>
      </c>
      <c r="V43" s="7">
        <v>31.94703370716725</v>
      </c>
      <c r="W43" s="7">
        <v>31.414418758051156</v>
      </c>
      <c r="X43" s="7">
        <v>26.591294496610963</v>
      </c>
      <c r="Y43" s="7">
        <v>24.963859929867336</v>
      </c>
      <c r="Z43" s="7">
        <v>8.5711553848497495</v>
      </c>
      <c r="AA43" s="7">
        <v>0</v>
      </c>
      <c r="AB43" s="7">
        <v>34.886279167104213</v>
      </c>
      <c r="AC43" s="7">
        <v>31.94703370716725</v>
      </c>
      <c r="AD43" s="7">
        <v>29.175463323803868</v>
      </c>
      <c r="AE43" s="7">
        <v>23.346288602922161</v>
      </c>
      <c r="AF43" s="7"/>
      <c r="AH43" s="7"/>
      <c r="AI43" s="9" cm="1">
        <f t="array" ref="AI43">MAX(_xlfn._xlws.FILTER($D43:$AF43, $D$2:$AF$2=AI$2))</f>
        <v>35.981098784731742</v>
      </c>
      <c r="AJ43" s="9" cm="1">
        <f t="array" ref="AJ43">MAX(_xlfn._xlws.FILTER($B43:$AF43, $B$2:$AF$2=AJ$2))</f>
        <v>33.505425595321746</v>
      </c>
      <c r="AK43" s="9" cm="1">
        <f t="array" ref="AK43">MAX(_xlfn._xlws.FILTER($B43:$AF43, $B$2:$AF$2=AK$2))</f>
        <v>34.748193809925965</v>
      </c>
      <c r="AL43" s="9" cm="1">
        <f t="array" ref="AL43">MAX(_xlfn._xlws.FILTER($B43:$AF43, $B$2:$AF$2=AL$2))</f>
        <v>28.741480772672233</v>
      </c>
      <c r="AM43" s="9" cm="1">
        <f t="array" ref="AM43">MAX(_xlfn._xlws.FILTER($B43:$AF43, $B$2:$AF$2=AM$2))</f>
        <v>27.72556707343227</v>
      </c>
      <c r="AN43" s="9" cm="1">
        <f t="array" ref="AN43">MAX(_xlfn._xlws.FILTER($B43:$AF43, $B$2:$AF$2=AN$2))</f>
        <v>9.0544541349736143</v>
      </c>
      <c r="AO43" s="9" cm="1">
        <f t="array" ref="AO43">MAX(_xlfn._xlws.FILTER($B43:$AF43, $B$2:$AF$2=AO$2))</f>
        <v>0</v>
      </c>
    </row>
    <row r="44" spans="1:41" x14ac:dyDescent="0.25">
      <c r="A44" s="3" t="s">
        <v>49</v>
      </c>
      <c r="B44" s="7">
        <v>27.163362404920843</v>
      </c>
      <c r="C44" s="7">
        <v>23.474510720301961</v>
      </c>
      <c r="D44" s="7">
        <v>21.097469928876425</v>
      </c>
      <c r="E44" s="7">
        <v>8.9163687777953662</v>
      </c>
      <c r="F44" s="7">
        <v>0</v>
      </c>
      <c r="G44" s="7">
        <v>28.889429369648926</v>
      </c>
      <c r="H44" s="7">
        <v>26.157311945479329</v>
      </c>
      <c r="I44" s="7">
        <v>24.342475822565227</v>
      </c>
      <c r="J44" s="7">
        <v>21.797759954566107</v>
      </c>
      <c r="K44" s="7">
        <v>18.878240974226031</v>
      </c>
      <c r="L44" s="7">
        <v>8.4133435480746108</v>
      </c>
      <c r="M44" s="7">
        <v>0</v>
      </c>
      <c r="N44" s="7">
        <v>27.202815364114628</v>
      </c>
      <c r="O44" s="7">
        <v>25.614833756564785</v>
      </c>
      <c r="P44" s="7">
        <v>24.342475822565227</v>
      </c>
      <c r="Q44" s="7">
        <v>21.797759954566107</v>
      </c>
      <c r="R44" s="7">
        <v>18.325899545513042</v>
      </c>
      <c r="S44" s="7">
        <v>8.4133435480746108</v>
      </c>
      <c r="T44" s="7">
        <v>0</v>
      </c>
      <c r="U44" s="7">
        <v>27.202815364114628</v>
      </c>
      <c r="V44" s="7">
        <v>25.072355567650249</v>
      </c>
      <c r="W44" s="7">
        <v>24.342475822565227</v>
      </c>
      <c r="X44" s="7">
        <v>21.797759954566107</v>
      </c>
      <c r="Y44" s="7">
        <v>18.878240974226031</v>
      </c>
      <c r="Z44" s="7">
        <v>8.4133435480746108</v>
      </c>
      <c r="AA44" s="7">
        <v>0</v>
      </c>
      <c r="AB44" s="7">
        <v>27.765020032626055</v>
      </c>
      <c r="AC44" s="7">
        <v>25.072355567650249</v>
      </c>
      <c r="AD44" s="7">
        <v>22.655861817030924</v>
      </c>
      <c r="AE44" s="7">
        <v>19.006463091605831</v>
      </c>
      <c r="AF44" s="7"/>
      <c r="AH44" s="7"/>
      <c r="AI44" s="9" cm="1">
        <f t="array" ref="AI44">MAX(_xlfn._xlws.FILTER($D44:$AF44, $D$2:$AF$2=AI$2))</f>
        <v>28.889429369648926</v>
      </c>
      <c r="AJ44" s="9" cm="1">
        <f t="array" ref="AJ44">MAX(_xlfn._xlws.FILTER($B44:$AF44, $B$2:$AF$2=AJ$2))</f>
        <v>26.157311945479329</v>
      </c>
      <c r="AK44" s="9" cm="1">
        <f t="array" ref="AK44">MAX(_xlfn._xlws.FILTER($B44:$AF44, $B$2:$AF$2=AK$2))</f>
        <v>27.163362404920843</v>
      </c>
      <c r="AL44" s="9" cm="1">
        <f t="array" ref="AL44">MAX(_xlfn._xlws.FILTER($B44:$AF44, $B$2:$AF$2=AL$2))</f>
        <v>23.474510720301961</v>
      </c>
      <c r="AM44" s="9" cm="1">
        <f t="array" ref="AM44">MAX(_xlfn._xlws.FILTER($B44:$AF44, $B$2:$AF$2=AM$2))</f>
        <v>21.097469928876425</v>
      </c>
      <c r="AN44" s="9" cm="1">
        <f t="array" ref="AN44">MAX(_xlfn._xlws.FILTER($B44:$AF44, $B$2:$AF$2=AN$2))</f>
        <v>8.9163687777953662</v>
      </c>
      <c r="AO44" s="9" cm="1">
        <f t="array" ref="AO44">MAX(_xlfn._xlws.FILTER($B44:$AF44, $B$2:$AF$2=AO$2))</f>
        <v>0</v>
      </c>
    </row>
    <row r="45" spans="1:41" x14ac:dyDescent="0.25">
      <c r="A45" s="3" t="s">
        <v>50</v>
      </c>
      <c r="B45" s="7">
        <v>18.306173065916148</v>
      </c>
      <c r="C45" s="7">
        <v>17.260669647280853</v>
      </c>
      <c r="D45" s="7">
        <v>14.725817019080178</v>
      </c>
      <c r="E45" s="7">
        <v>0</v>
      </c>
      <c r="F45" s="7">
        <v>0</v>
      </c>
      <c r="G45" s="7">
        <v>20.61417117875256</v>
      </c>
      <c r="H45" s="7">
        <v>18.483711382288181</v>
      </c>
      <c r="I45" s="7">
        <v>17.191626968691729</v>
      </c>
      <c r="J45" s="7">
        <v>16.146123550056434</v>
      </c>
      <c r="K45" s="7">
        <v>13.078655972739664</v>
      </c>
      <c r="L45" s="7">
        <v>0</v>
      </c>
      <c r="M45" s="7">
        <v>0</v>
      </c>
      <c r="N45" s="7">
        <v>19.499625081528141</v>
      </c>
      <c r="O45" s="7">
        <v>17.941233193373641</v>
      </c>
      <c r="P45" s="7">
        <v>16.629422300180295</v>
      </c>
      <c r="Q45" s="7">
        <v>16.146123550056434</v>
      </c>
      <c r="R45" s="7">
        <v>12.526314544026675</v>
      </c>
      <c r="S45" s="7">
        <v>0</v>
      </c>
      <c r="T45" s="7">
        <v>0</v>
      </c>
      <c r="U45" s="7">
        <v>19.499625081528141</v>
      </c>
      <c r="V45" s="7">
        <v>17.398755004459101</v>
      </c>
      <c r="W45" s="7">
        <v>16.629422300180295</v>
      </c>
      <c r="X45" s="7">
        <v>16.146123550056434</v>
      </c>
      <c r="Y45" s="7">
        <v>13.078655972739664</v>
      </c>
      <c r="Z45" s="7">
        <v>0</v>
      </c>
      <c r="AA45" s="7">
        <v>0</v>
      </c>
      <c r="AB45" s="7">
        <v>20.051966510241126</v>
      </c>
      <c r="AC45" s="7">
        <v>17.398755004459101</v>
      </c>
      <c r="AD45" s="7">
        <v>15.514876202955877</v>
      </c>
      <c r="AE45" s="7">
        <v>13.897304876010699</v>
      </c>
      <c r="AF45" s="7"/>
      <c r="AH45" s="7"/>
      <c r="AI45" s="9" cm="1">
        <f t="array" ref="AI45">MAX(_xlfn._xlws.FILTER($D45:$AF45, $D$2:$AF$2=AI$2))</f>
        <v>20.61417117875256</v>
      </c>
      <c r="AJ45" s="9" cm="1">
        <f t="array" ref="AJ45">MAX(_xlfn._xlws.FILTER($B45:$AF45, $B$2:$AF$2=AJ$2))</f>
        <v>18.483711382288181</v>
      </c>
      <c r="AK45" s="9" cm="1">
        <f t="array" ref="AK45">MAX(_xlfn._xlws.FILTER($B45:$AF45, $B$2:$AF$2=AK$2))</f>
        <v>18.306173065916148</v>
      </c>
      <c r="AL45" s="9" cm="1">
        <f t="array" ref="AL45">MAX(_xlfn._xlws.FILTER($B45:$AF45, $B$2:$AF$2=AL$2))</f>
        <v>17.260669647280853</v>
      </c>
      <c r="AM45" s="9" cm="1">
        <f t="array" ref="AM45">MAX(_xlfn._xlws.FILTER($B45:$AF45, $B$2:$AF$2=AM$2))</f>
        <v>14.725817019080178</v>
      </c>
      <c r="AN45" s="9" cm="1">
        <f t="array" ref="AN45">MAX(_xlfn._xlws.FILTER($B45:$AF45, $B$2:$AF$2=AN$2))</f>
        <v>0</v>
      </c>
      <c r="AO45" s="9" cm="1">
        <f t="array" ref="AO45">MAX(_xlfn._xlws.FILTER($B45:$AF45, $B$2:$AF$2=AO$2))</f>
        <v>0</v>
      </c>
    </row>
    <row r="46" spans="1:41" x14ac:dyDescent="0.25">
      <c r="A46" s="3" t="s">
        <v>51</v>
      </c>
      <c r="B46" s="7">
        <v>11.924656916321458</v>
      </c>
      <c r="C46" s="7">
        <v>11.451221405996041</v>
      </c>
      <c r="D46" s="7">
        <v>9.0248644155782749</v>
      </c>
      <c r="E46" s="7">
        <v>0</v>
      </c>
      <c r="F46" s="7">
        <v>0</v>
      </c>
      <c r="G46" s="7">
        <v>12.920844135964526</v>
      </c>
      <c r="H46" s="7">
        <v>12.27973354906552</v>
      </c>
      <c r="I46" s="7">
        <v>10.869290257887714</v>
      </c>
      <c r="J46" s="7">
        <v>10.889016737484607</v>
      </c>
      <c r="K46" s="7">
        <v>8.5021127062606254</v>
      </c>
      <c r="L46" s="7">
        <v>0</v>
      </c>
      <c r="M46" s="7">
        <v>0</v>
      </c>
      <c r="N46" s="7">
        <v>12.368502707251537</v>
      </c>
      <c r="O46" s="7">
        <v>12.27973354906552</v>
      </c>
      <c r="P46" s="7">
        <v>10.869290257887714</v>
      </c>
      <c r="Q46" s="7">
        <v>10.889016737484607</v>
      </c>
      <c r="R46" s="7">
        <v>7.989224236741423</v>
      </c>
      <c r="S46" s="7">
        <v>0</v>
      </c>
      <c r="T46" s="7">
        <v>0</v>
      </c>
      <c r="U46" s="7">
        <v>12.368502707251537</v>
      </c>
      <c r="V46" s="7">
        <v>11.73725536015098</v>
      </c>
      <c r="W46" s="7">
        <v>10.869290257887714</v>
      </c>
      <c r="X46" s="7">
        <v>10.889016737484607</v>
      </c>
      <c r="Y46" s="7">
        <v>8.5021127062606254</v>
      </c>
      <c r="Z46" s="7">
        <v>0</v>
      </c>
      <c r="AA46" s="7">
        <v>0</v>
      </c>
      <c r="AB46" s="7">
        <v>12.920844135964526</v>
      </c>
      <c r="AC46" s="7">
        <v>11.73725536015098</v>
      </c>
      <c r="AD46" s="7">
        <v>10.346538548570066</v>
      </c>
      <c r="AE46" s="7">
        <v>9.7744706402601853</v>
      </c>
      <c r="AF46" s="7"/>
      <c r="AH46" s="7"/>
      <c r="AI46" s="9" cm="1">
        <f t="array" ref="AI46">MAX(_xlfn._xlws.FILTER($D46:$AF46, $D$2:$AF$2=AI$2))</f>
        <v>12.920844135964526</v>
      </c>
      <c r="AJ46" s="9" cm="1">
        <f t="array" ref="AJ46">MAX(_xlfn._xlws.FILTER($B46:$AF46, $B$2:$AF$2=AJ$2))</f>
        <v>12.27973354906552</v>
      </c>
      <c r="AK46" s="9" cm="1">
        <f t="array" ref="AK46">MAX(_xlfn._xlws.FILTER($B46:$AF46, $B$2:$AF$2=AK$2))</f>
        <v>11.924656916321458</v>
      </c>
      <c r="AL46" s="9" cm="1">
        <f t="array" ref="AL46">MAX(_xlfn._xlws.FILTER($B46:$AF46, $B$2:$AF$2=AL$2))</f>
        <v>11.451221405996041</v>
      </c>
      <c r="AM46" s="9" cm="1">
        <f t="array" ref="AM46">MAX(_xlfn._xlws.FILTER($B46:$AF46, $B$2:$AF$2=AM$2))</f>
        <v>9.0248644155782749</v>
      </c>
      <c r="AN46" s="9" cm="1">
        <f t="array" ref="AN46">MAX(_xlfn._xlws.FILTER($B46:$AF46, $B$2:$AF$2=AN$2))</f>
        <v>0</v>
      </c>
      <c r="AO46" s="9" cm="1">
        <f t="array" ref="AO46">MAX(_xlfn._xlws.FILTER($B46:$AF46, $B$2:$AF$2=AO$2))</f>
        <v>0</v>
      </c>
    </row>
    <row r="47" spans="1:41" x14ac:dyDescent="0.25">
      <c r="A47" s="3" t="s">
        <v>52</v>
      </c>
      <c r="B47" s="7">
        <v>8.4626597470668408</v>
      </c>
      <c r="C47" s="7">
        <v>7.8215491601678373</v>
      </c>
      <c r="D47" s="7">
        <v>6.6478236241527409</v>
      </c>
      <c r="E47" s="7">
        <v>0</v>
      </c>
      <c r="F47" s="7">
        <v>0</v>
      </c>
      <c r="G47" s="7">
        <v>9.3898042881207839</v>
      </c>
      <c r="H47" s="7">
        <v>9.034727655376722</v>
      </c>
      <c r="I47" s="7">
        <v>7.9497712775476401</v>
      </c>
      <c r="J47" s="7">
        <v>7.318523930447081</v>
      </c>
      <c r="K47" s="7">
        <v>6.1546616342304299</v>
      </c>
      <c r="L47" s="7">
        <v>0</v>
      </c>
      <c r="M47" s="7">
        <v>0</v>
      </c>
      <c r="N47" s="7">
        <v>8.8571893390046892</v>
      </c>
      <c r="O47" s="7">
        <v>8.5218391858575195</v>
      </c>
      <c r="P47" s="7">
        <v>7.9497712775476401</v>
      </c>
      <c r="Q47" s="7">
        <v>7.318523930447081</v>
      </c>
      <c r="R47" s="7">
        <v>5.6614996443081207</v>
      </c>
      <c r="S47" s="7">
        <v>0</v>
      </c>
      <c r="T47" s="7">
        <v>0</v>
      </c>
      <c r="U47" s="7">
        <v>8.8571893390046892</v>
      </c>
      <c r="V47" s="7">
        <v>8.5218391858575195</v>
      </c>
      <c r="W47" s="7">
        <v>7.9497712775476401</v>
      </c>
      <c r="X47" s="7">
        <v>7.318523930447081</v>
      </c>
      <c r="Y47" s="7">
        <v>6.1546616342304299</v>
      </c>
      <c r="Z47" s="7">
        <v>0</v>
      </c>
      <c r="AA47" s="7">
        <v>0</v>
      </c>
      <c r="AB47" s="7">
        <v>8.8571893390046892</v>
      </c>
      <c r="AC47" s="7">
        <v>8.5218391858575195</v>
      </c>
      <c r="AD47" s="7">
        <v>7.4368828080284359</v>
      </c>
      <c r="AE47" s="7">
        <v>6.3026102312071224</v>
      </c>
      <c r="AF47" s="7"/>
      <c r="AH47" s="7"/>
      <c r="AI47" s="9" cm="1">
        <f t="array" ref="AI47">MAX(_xlfn._xlws.FILTER($D47:$AF47, $D$2:$AF$2=AI$2))</f>
        <v>9.3898042881207839</v>
      </c>
      <c r="AJ47" s="9" cm="1">
        <f t="array" ref="AJ47">MAX(_xlfn._xlws.FILTER($B47:$AF47, $B$2:$AF$2=AJ$2))</f>
        <v>9.034727655376722</v>
      </c>
      <c r="AK47" s="9" cm="1">
        <f t="array" ref="AK47">MAX(_xlfn._xlws.FILTER($B47:$AF47, $B$2:$AF$2=AK$2))</f>
        <v>8.4626597470668408</v>
      </c>
      <c r="AL47" s="9" cm="1">
        <f t="array" ref="AL47">MAX(_xlfn._xlws.FILTER($B47:$AF47, $B$2:$AF$2=AL$2))</f>
        <v>7.8215491601678373</v>
      </c>
      <c r="AM47" s="9" cm="1">
        <f t="array" ref="AM47">MAX(_xlfn._xlws.FILTER($B47:$AF47, $B$2:$AF$2=AM$2))</f>
        <v>6.6478236241527409</v>
      </c>
      <c r="AN47" s="9" cm="1">
        <f t="array" ref="AN47">MAX(_xlfn._xlws.FILTER($B47:$AF47, $B$2:$AF$2=AN$2))</f>
        <v>0</v>
      </c>
      <c r="AO47" s="9" cm="1">
        <f t="array" ref="AO47">MAX(_xlfn._xlws.FILTER($B47:$AF47, $B$2:$AF$2=AO$2))</f>
        <v>0</v>
      </c>
    </row>
    <row r="48" spans="1:41" x14ac:dyDescent="0.25">
      <c r="A48" s="3" t="s">
        <v>53</v>
      </c>
      <c r="B48" s="7">
        <v>7.0916694150828192</v>
      </c>
      <c r="C48" s="7">
        <v>6.3716529097962464</v>
      </c>
      <c r="D48" s="7">
        <v>5.4543716085407503</v>
      </c>
      <c r="E48" s="7">
        <v>0</v>
      </c>
      <c r="F48" s="7">
        <v>0</v>
      </c>
      <c r="G48" s="7">
        <v>7.0818061752843731</v>
      </c>
      <c r="H48" s="7">
        <v>7.4467460478268821</v>
      </c>
      <c r="I48" s="7">
        <v>6.5590544659667245</v>
      </c>
      <c r="J48" s="7">
        <v>5.8982173994708296</v>
      </c>
      <c r="K48" s="7">
        <v>4.9710728584168855</v>
      </c>
      <c r="L48" s="7">
        <v>0</v>
      </c>
      <c r="M48" s="7">
        <v>0</v>
      </c>
      <c r="N48" s="7">
        <v>6.5590544659667245</v>
      </c>
      <c r="O48" s="7">
        <v>7.4467460478268821</v>
      </c>
      <c r="P48" s="7">
        <v>6.5590544659667245</v>
      </c>
      <c r="Q48" s="7">
        <v>5.8982173994708296</v>
      </c>
      <c r="R48" s="7">
        <v>4.9710728584168855</v>
      </c>
      <c r="S48" s="7">
        <v>0</v>
      </c>
      <c r="T48" s="7">
        <v>0</v>
      </c>
      <c r="U48" s="7">
        <v>6.5590544659667245</v>
      </c>
      <c r="V48" s="7">
        <v>7.4467460478268821</v>
      </c>
      <c r="W48" s="7">
        <v>6.5590544659667245</v>
      </c>
      <c r="X48" s="7">
        <v>5.8982173994708296</v>
      </c>
      <c r="Y48" s="7">
        <v>4.9710728584168855</v>
      </c>
      <c r="Z48" s="7">
        <v>0</v>
      </c>
      <c r="AA48" s="7">
        <v>0</v>
      </c>
      <c r="AB48" s="7">
        <v>7.0818061752843731</v>
      </c>
      <c r="AC48" s="7">
        <v>7.4467460478268821</v>
      </c>
      <c r="AD48" s="7">
        <v>6.0264395168506297</v>
      </c>
      <c r="AE48" s="7">
        <v>4.9513463788199932</v>
      </c>
      <c r="AF48" s="7"/>
      <c r="AH48" s="7"/>
      <c r="AI48" s="9" cm="1">
        <f t="array" ref="AI48">MAX(_xlfn._xlws.FILTER($D48:$AF48, $D$2:$AF$2=AI$2))</f>
        <v>7.0818061752843731</v>
      </c>
      <c r="AJ48" s="9" cm="1">
        <f t="array" ref="AJ48">MAX(_xlfn._xlws.FILTER($B48:$AF48, $B$2:$AF$2=AJ$2))</f>
        <v>7.4467460478268821</v>
      </c>
      <c r="AK48" s="9" cm="1">
        <f t="array" ref="AK48">MAX(_xlfn._xlws.FILTER($B48:$AF48, $B$2:$AF$2=AK$2))</f>
        <v>7.0916694150828192</v>
      </c>
      <c r="AL48" s="9" cm="1">
        <f t="array" ref="AL48">MAX(_xlfn._xlws.FILTER($B48:$AF48, $B$2:$AF$2=AL$2))</f>
        <v>6.3716529097962464</v>
      </c>
      <c r="AM48" s="9" cm="1">
        <f t="array" ref="AM48">MAX(_xlfn._xlws.FILTER($B48:$AF48, $B$2:$AF$2=AM$2))</f>
        <v>5.4543716085407503</v>
      </c>
      <c r="AN48" s="9" cm="1">
        <f t="array" ref="AN48">MAX(_xlfn._xlws.FILTER($B48:$AF48, $B$2:$AF$2=AN$2))</f>
        <v>0</v>
      </c>
      <c r="AO48" s="9" cm="1">
        <f t="array" ref="AO48">MAX(_xlfn._xlws.FILTER($B48:$AF48, $B$2:$AF$2=AO$2))</f>
        <v>0</v>
      </c>
    </row>
    <row r="49" spans="1:41" x14ac:dyDescent="0.25">
      <c r="A49" s="3" t="s">
        <v>54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I49" s="9" cm="1">
        <f t="array" ref="AI49">MAX(_xlfn._xlws.FILTER($D49:$AF49, $D$2:$AF$2=AI$2))</f>
        <v>0</v>
      </c>
      <c r="AJ49" s="9" cm="1">
        <f t="array" ref="AJ49">MAX(_xlfn._xlws.FILTER($B49:$AF49, $B$2:$AF$2=AJ$2))</f>
        <v>0</v>
      </c>
      <c r="AK49" s="9" cm="1">
        <f t="array" ref="AK49">MAX(_xlfn._xlws.FILTER($B49:$AF49, $B$2:$AF$2=AK$2))</f>
        <v>0</v>
      </c>
      <c r="AL49" s="9" cm="1">
        <f t="array" ref="AL49">MAX(_xlfn._xlws.FILTER($B49:$AF49, $B$2:$AF$2=AL$2))</f>
        <v>0</v>
      </c>
      <c r="AM49" s="9" cm="1">
        <f t="array" ref="AM49">MAX(_xlfn._xlws.FILTER($B49:$AF49, $B$2:$AF$2=AM$2))</f>
        <v>0</v>
      </c>
      <c r="AN49" s="9" cm="1">
        <f t="array" ref="AN49">MAX(_xlfn._xlws.FILTER($B49:$AF49, $B$2:$AF$2=AN$2))</f>
        <v>0</v>
      </c>
      <c r="AO49" s="9" cm="1">
        <f t="array" ref="AO49">MAX(_xlfn._xlws.FILTER($B49:$AF49, $B$2:$AF$2=AO$2))</f>
        <v>0</v>
      </c>
    </row>
    <row r="50" spans="1:41" x14ac:dyDescent="0.25">
      <c r="A50" s="3" t="s">
        <v>55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I50" s="9" cm="1">
        <f t="array" ref="AI50">MAX(_xlfn._xlws.FILTER($D50:$AF50, $D$2:$AF$2=AI$2))</f>
        <v>0</v>
      </c>
      <c r="AJ50" s="9" cm="1">
        <f t="array" ref="AJ50">MAX(_xlfn._xlws.FILTER($B50:$AF50, $B$2:$AF$2=AJ$2))</f>
        <v>0</v>
      </c>
      <c r="AK50" s="9" cm="1">
        <f t="array" ref="AK50">MAX(_xlfn._xlws.FILTER($B50:$AF50, $B$2:$AF$2=AK$2))</f>
        <v>0</v>
      </c>
      <c r="AL50" s="9" cm="1">
        <f t="array" ref="AL50">MAX(_xlfn._xlws.FILTER($B50:$AF50, $B$2:$AF$2=AL$2))</f>
        <v>0</v>
      </c>
      <c r="AM50" s="9" cm="1">
        <f t="array" ref="AM50">MAX(_xlfn._xlws.FILTER($B50:$AF50, $B$2:$AF$2=AM$2))</f>
        <v>0</v>
      </c>
      <c r="AN50" s="9" cm="1">
        <f t="array" ref="AN50">MAX(_xlfn._xlws.FILTER($B50:$AF50, $B$2:$AF$2=AN$2))</f>
        <v>0</v>
      </c>
      <c r="AO50" s="9" cm="1">
        <f t="array" ref="AO50">MAX(_xlfn._xlws.FILTER($B50:$AF50, $B$2:$AF$2=AO$2))</f>
        <v>0</v>
      </c>
    </row>
    <row r="51" spans="1:41" s="12" customFormat="1" x14ac:dyDescent="0.25">
      <c r="A51" s="10"/>
      <c r="B51" s="11">
        <f>MAX(B3:B50)</f>
        <v>67.553329379558036</v>
      </c>
      <c r="C51" s="11">
        <f t="shared" ref="C51:AF51" si="2">MAX(C3:C50)</f>
        <v>60.096720091932703</v>
      </c>
      <c r="D51" s="11">
        <f t="shared" si="2"/>
        <v>62.36526524557533</v>
      </c>
      <c r="E51" s="11">
        <f t="shared" si="2"/>
        <v>24.766595133898413</v>
      </c>
      <c r="F51" s="11">
        <f t="shared" si="2"/>
        <v>0</v>
      </c>
      <c r="G51" s="11">
        <f t="shared" si="2"/>
        <v>81.884616806700365</v>
      </c>
      <c r="H51" s="11">
        <f t="shared" si="2"/>
        <v>62.976786113079001</v>
      </c>
      <c r="I51" s="11">
        <f t="shared" si="2"/>
        <v>61.378941265730717</v>
      </c>
      <c r="J51" s="11">
        <f t="shared" si="2"/>
        <v>55.747031340817934</v>
      </c>
      <c r="K51" s="11">
        <f t="shared" si="2"/>
        <v>55.894979937794631</v>
      </c>
      <c r="L51" s="11">
        <f t="shared" si="2"/>
        <v>23.287109164131483</v>
      </c>
      <c r="M51" s="11">
        <f t="shared" si="2"/>
        <v>0</v>
      </c>
      <c r="N51" s="11">
        <f t="shared" si="2"/>
        <v>76.745868871709902</v>
      </c>
      <c r="O51" s="11">
        <f t="shared" si="2"/>
        <v>60.520839403265896</v>
      </c>
      <c r="P51" s="11">
        <f t="shared" si="2"/>
        <v>60.866052796211513</v>
      </c>
      <c r="Q51" s="11">
        <f t="shared" si="2"/>
        <v>55.263732590694069</v>
      </c>
      <c r="R51" s="11">
        <f t="shared" si="2"/>
        <v>54.395767488430799</v>
      </c>
      <c r="S51" s="11">
        <f t="shared" si="2"/>
        <v>23.287109164131483</v>
      </c>
      <c r="T51" s="11">
        <f t="shared" si="2"/>
        <v>0</v>
      </c>
      <c r="U51" s="11">
        <f t="shared" si="2"/>
        <v>77.781509050546745</v>
      </c>
      <c r="V51" s="11">
        <f t="shared" si="2"/>
        <v>60.027677413343589</v>
      </c>
      <c r="W51" s="11">
        <f t="shared" si="2"/>
        <v>60.866052796211513</v>
      </c>
      <c r="X51" s="11">
        <f t="shared" si="2"/>
        <v>55.747031340817934</v>
      </c>
      <c r="Y51" s="11">
        <f t="shared" si="2"/>
        <v>55.894979937794631</v>
      </c>
      <c r="Z51" s="11">
        <f t="shared" si="2"/>
        <v>22.803810414007621</v>
      </c>
      <c r="AA51" s="11">
        <f t="shared" si="2"/>
        <v>0</v>
      </c>
      <c r="AB51" s="11">
        <f t="shared" si="2"/>
        <v>79.320174459104365</v>
      </c>
      <c r="AC51" s="11">
        <f t="shared" si="2"/>
        <v>60.027677413343589</v>
      </c>
      <c r="AD51" s="11">
        <f t="shared" si="2"/>
        <v>56.74321856046101</v>
      </c>
      <c r="AE51" s="11">
        <f t="shared" si="2"/>
        <v>48.970985599285392</v>
      </c>
      <c r="AF51" s="11">
        <f t="shared" si="2"/>
        <v>0</v>
      </c>
    </row>
    <row r="55" spans="1:41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7" spans="1:41" x14ac:dyDescent="0.25">
      <c r="C57" s="7"/>
    </row>
    <row r="58" spans="1:41" x14ac:dyDescent="0.25">
      <c r="C58" s="7"/>
    </row>
    <row r="59" spans="1:41" x14ac:dyDescent="0.25">
      <c r="C59" s="7"/>
    </row>
    <row r="60" spans="1:41" x14ac:dyDescent="0.25">
      <c r="C60" s="7"/>
    </row>
    <row r="61" spans="1:41" x14ac:dyDescent="0.25">
      <c r="C61" s="7"/>
    </row>
    <row r="62" spans="1:41" x14ac:dyDescent="0.25">
      <c r="C62" s="7"/>
    </row>
    <row r="63" spans="1:41" x14ac:dyDescent="0.25">
      <c r="C63" s="7"/>
    </row>
    <row r="64" spans="1:41" x14ac:dyDescent="0.25">
      <c r="C64" s="7"/>
    </row>
    <row r="65" spans="3:3" x14ac:dyDescent="0.25">
      <c r="C65" s="7"/>
    </row>
    <row r="66" spans="3:3" x14ac:dyDescent="0.25">
      <c r="C66" s="7"/>
    </row>
    <row r="67" spans="3:3" x14ac:dyDescent="0.25">
      <c r="C67" s="7"/>
    </row>
    <row r="68" spans="3:3" x14ac:dyDescent="0.25">
      <c r="C68" s="7"/>
    </row>
    <row r="69" spans="3:3" x14ac:dyDescent="0.25">
      <c r="C69" s="7"/>
    </row>
    <row r="70" spans="3:3" x14ac:dyDescent="0.25">
      <c r="C70" s="7"/>
    </row>
    <row r="71" spans="3:3" x14ac:dyDescent="0.25">
      <c r="C71" s="7"/>
    </row>
    <row r="72" spans="3:3" x14ac:dyDescent="0.25">
      <c r="C72" s="7"/>
    </row>
    <row r="73" spans="3:3" x14ac:dyDescent="0.25">
      <c r="C73" s="7"/>
    </row>
    <row r="74" spans="3:3" x14ac:dyDescent="0.25">
      <c r="C74" s="7"/>
    </row>
    <row r="75" spans="3:3" x14ac:dyDescent="0.25">
      <c r="C75" s="7"/>
    </row>
    <row r="76" spans="3:3" x14ac:dyDescent="0.25">
      <c r="C76" s="7"/>
    </row>
    <row r="77" spans="3:3" x14ac:dyDescent="0.25">
      <c r="C77" s="7"/>
    </row>
    <row r="78" spans="3:3" x14ac:dyDescent="0.25">
      <c r="C78" s="7"/>
    </row>
    <row r="79" spans="3:3" x14ac:dyDescent="0.25">
      <c r="C79" s="7"/>
    </row>
    <row r="80" spans="3:3" x14ac:dyDescent="0.25">
      <c r="C80" s="7"/>
    </row>
    <row r="81" spans="3:3" x14ac:dyDescent="0.25">
      <c r="C81" s="7"/>
    </row>
    <row r="82" spans="3:3" x14ac:dyDescent="0.25">
      <c r="C82" s="7"/>
    </row>
    <row r="83" spans="3:3" x14ac:dyDescent="0.25">
      <c r="C83" s="7"/>
    </row>
    <row r="84" spans="3:3" x14ac:dyDescent="0.25">
      <c r="C84" s="7"/>
    </row>
    <row r="85" spans="3:3" x14ac:dyDescent="0.25">
      <c r="C85" s="7"/>
    </row>
    <row r="86" spans="3:3" x14ac:dyDescent="0.25">
      <c r="C86" s="7"/>
    </row>
    <row r="87" spans="3:3" x14ac:dyDescent="0.25">
      <c r="C87" s="7"/>
    </row>
  </sheetData>
  <sortState xmlns:xlrd2="http://schemas.microsoft.com/office/spreadsheetml/2017/richdata2" ref="B57:C87">
    <sortCondition ref="B57:B87"/>
    <sortCondition descending="1" ref="C57:C87"/>
  </sortState>
  <mergeCells count="1">
    <mergeCell ref="AI1:A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4DF24-FB66-4239-BD5A-AB70DAE1710D}">
  <sheetPr>
    <tabColor rgb="FF00B050"/>
  </sheetPr>
  <dimension ref="A1:AG50"/>
  <sheetViews>
    <sheetView zoomScale="75" zoomScaleNormal="75" workbookViewId="0">
      <pane xSplit="1" ySplit="2" topLeftCell="B3" activePane="bottomRight" state="frozen"/>
      <selection activeCell="I28" sqref="I28"/>
      <selection pane="topRight" activeCell="I28" sqref="I28"/>
      <selection pane="bottomLeft" activeCell="I28" sqref="I28"/>
      <selection pane="bottomRight" activeCell="I28" sqref="I28"/>
    </sheetView>
  </sheetViews>
  <sheetFormatPr defaultColWidth="9.140625" defaultRowHeight="15" x14ac:dyDescent="0.25"/>
  <cols>
    <col min="1" max="1" width="11" style="3" bestFit="1" customWidth="1"/>
    <col min="2" max="10" width="7.7109375" style="3" bestFit="1" customWidth="1"/>
    <col min="11" max="31" width="8.85546875" style="3" bestFit="1" customWidth="1"/>
    <col min="32" max="32" width="7.7109375" style="3" bestFit="1" customWidth="1"/>
    <col min="33" max="33" width="7.5703125" style="3" bestFit="1" customWidth="1"/>
    <col min="34" max="16384" width="9.140625" style="3"/>
  </cols>
  <sheetData>
    <row r="1" spans="1:32" x14ac:dyDescent="0.25">
      <c r="A1" s="14" t="s">
        <v>0</v>
      </c>
      <c r="B1" s="2">
        <f>'V-FTE Apr'!B1</f>
        <v>46113</v>
      </c>
      <c r="C1" s="2">
        <f>'V-FTE Apr'!C1</f>
        <v>46114</v>
      </c>
      <c r="D1" s="2">
        <f>'V-FTE Apr'!D1</f>
        <v>46115</v>
      </c>
      <c r="E1" s="2">
        <f>'V-FTE Apr'!E1</f>
        <v>46116</v>
      </c>
      <c r="F1" s="2">
        <f>'V-FTE Apr'!F1</f>
        <v>46117</v>
      </c>
      <c r="G1" s="2">
        <f>'V-FTE Apr'!G1</f>
        <v>46118</v>
      </c>
      <c r="H1" s="2">
        <f>'V-FTE Apr'!H1</f>
        <v>46119</v>
      </c>
      <c r="I1" s="2">
        <f>'V-FTE Apr'!I1</f>
        <v>46120</v>
      </c>
      <c r="J1" s="2">
        <f>'V-FTE Apr'!J1</f>
        <v>46121</v>
      </c>
      <c r="K1" s="2">
        <f>'V-FTE Apr'!K1</f>
        <v>46122</v>
      </c>
      <c r="L1" s="2">
        <f>'V-FTE Apr'!L1</f>
        <v>46123</v>
      </c>
      <c r="M1" s="2">
        <f>'V-FTE Apr'!M1</f>
        <v>46124</v>
      </c>
      <c r="N1" s="2">
        <f>'V-FTE Apr'!N1</f>
        <v>46125</v>
      </c>
      <c r="O1" s="2">
        <f>'V-FTE Apr'!O1</f>
        <v>46126</v>
      </c>
      <c r="P1" s="2">
        <f>'V-FTE Apr'!P1</f>
        <v>46127</v>
      </c>
      <c r="Q1" s="2">
        <f>'V-FTE Apr'!Q1</f>
        <v>46128</v>
      </c>
      <c r="R1" s="2">
        <f>'V-FTE Apr'!R1</f>
        <v>46129</v>
      </c>
      <c r="S1" s="2">
        <f>'V-FTE Apr'!S1</f>
        <v>46130</v>
      </c>
      <c r="T1" s="2">
        <f>'V-FTE Apr'!T1</f>
        <v>46131</v>
      </c>
      <c r="U1" s="2">
        <f>'V-FTE Apr'!U1</f>
        <v>46132</v>
      </c>
      <c r="V1" s="2">
        <f>'V-FTE Apr'!V1</f>
        <v>46133</v>
      </c>
      <c r="W1" s="2">
        <f>'V-FTE Apr'!W1</f>
        <v>46134</v>
      </c>
      <c r="X1" s="2">
        <f>'V-FTE Apr'!X1</f>
        <v>46135</v>
      </c>
      <c r="Y1" s="2">
        <f>'V-FTE Apr'!Y1</f>
        <v>46136</v>
      </c>
      <c r="Z1" s="2">
        <f>'V-FTE Apr'!Z1</f>
        <v>46137</v>
      </c>
      <c r="AA1" s="2">
        <f>'V-FTE Apr'!AA1</f>
        <v>46138</v>
      </c>
      <c r="AB1" s="2">
        <f>'V-FTE Apr'!AB1</f>
        <v>46139</v>
      </c>
      <c r="AC1" s="2">
        <f>'V-FTE Apr'!AC1</f>
        <v>46140</v>
      </c>
      <c r="AD1" s="2">
        <f>'V-FTE Apr'!AD1</f>
        <v>46141</v>
      </c>
      <c r="AE1" s="2">
        <f>'V-FTE Apr'!AE1</f>
        <v>46142</v>
      </c>
      <c r="AF1" s="2">
        <f>'V-FTE Apr'!AF1</f>
        <v>46143</v>
      </c>
    </row>
    <row r="2" spans="1:32" x14ac:dyDescent="0.25">
      <c r="A2" s="15"/>
      <c r="B2" s="5" t="str">
        <f>TEXT(B1,"ddd")</f>
        <v>Wed</v>
      </c>
      <c r="C2" s="5" t="str">
        <f t="shared" ref="C2:AF2" si="0">TEXT(C1,"ddd")</f>
        <v>Thu</v>
      </c>
      <c r="D2" s="5" t="str">
        <f t="shared" si="0"/>
        <v>Fri</v>
      </c>
      <c r="E2" s="5" t="str">
        <f t="shared" si="0"/>
        <v>Sat</v>
      </c>
      <c r="F2" s="5" t="str">
        <f t="shared" si="0"/>
        <v>Sun</v>
      </c>
      <c r="G2" s="5" t="str">
        <f t="shared" si="0"/>
        <v>Mon</v>
      </c>
      <c r="H2" s="5" t="str">
        <f t="shared" si="0"/>
        <v>Tue</v>
      </c>
      <c r="I2" s="5" t="str">
        <f t="shared" si="0"/>
        <v>Wed</v>
      </c>
      <c r="J2" s="5" t="str">
        <f t="shared" si="0"/>
        <v>Thu</v>
      </c>
      <c r="K2" s="5" t="str">
        <f t="shared" si="0"/>
        <v>Fri</v>
      </c>
      <c r="L2" s="5" t="str">
        <f t="shared" si="0"/>
        <v>Sat</v>
      </c>
      <c r="M2" s="5" t="str">
        <f t="shared" si="0"/>
        <v>Sun</v>
      </c>
      <c r="N2" s="5" t="str">
        <f t="shared" si="0"/>
        <v>Mon</v>
      </c>
      <c r="O2" s="5" t="str">
        <f t="shared" si="0"/>
        <v>Tue</v>
      </c>
      <c r="P2" s="5" t="str">
        <f t="shared" si="0"/>
        <v>Wed</v>
      </c>
      <c r="Q2" s="5" t="str">
        <f t="shared" si="0"/>
        <v>Thu</v>
      </c>
      <c r="R2" s="5" t="str">
        <f t="shared" si="0"/>
        <v>Fri</v>
      </c>
      <c r="S2" s="5" t="str">
        <f t="shared" si="0"/>
        <v>Sat</v>
      </c>
      <c r="T2" s="5" t="str">
        <f t="shared" si="0"/>
        <v>Sun</v>
      </c>
      <c r="U2" s="5" t="str">
        <f t="shared" si="0"/>
        <v>Mon</v>
      </c>
      <c r="V2" s="5" t="str">
        <f t="shared" si="0"/>
        <v>Tue</v>
      </c>
      <c r="W2" s="5" t="str">
        <f t="shared" si="0"/>
        <v>Wed</v>
      </c>
      <c r="X2" s="5" t="str">
        <f t="shared" si="0"/>
        <v>Thu</v>
      </c>
      <c r="Y2" s="5" t="str">
        <f t="shared" si="0"/>
        <v>Fri</v>
      </c>
      <c r="Z2" s="5" t="str">
        <f t="shared" si="0"/>
        <v>Sat</v>
      </c>
      <c r="AA2" s="5" t="str">
        <f t="shared" si="0"/>
        <v>Sun</v>
      </c>
      <c r="AB2" s="5" t="str">
        <f t="shared" si="0"/>
        <v>Mon</v>
      </c>
      <c r="AC2" s="5" t="str">
        <f t="shared" si="0"/>
        <v>Tue</v>
      </c>
      <c r="AD2" s="5" t="str">
        <f t="shared" si="0"/>
        <v>Wed</v>
      </c>
      <c r="AE2" s="5" t="str">
        <f t="shared" si="0"/>
        <v>Thu</v>
      </c>
      <c r="AF2" s="5" t="str">
        <f t="shared" si="0"/>
        <v>Fri</v>
      </c>
    </row>
    <row r="3" spans="1:32" x14ac:dyDescent="0.25">
      <c r="A3" s="16">
        <v>2.0833333333333332E-2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</row>
    <row r="4" spans="1:32" x14ac:dyDescent="0.25">
      <c r="A4" s="16">
        <v>4.1666666666666664E-2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</row>
    <row r="5" spans="1:32" x14ac:dyDescent="0.25">
      <c r="A5" s="16">
        <v>6.25E-2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</row>
    <row r="6" spans="1:32" x14ac:dyDescent="0.25">
      <c r="A6" s="16">
        <v>8.3333333333333329E-2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</row>
    <row r="7" spans="1:32" x14ac:dyDescent="0.25">
      <c r="A7" s="16">
        <v>0.10416666666666667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</row>
    <row r="8" spans="1:32" x14ac:dyDescent="0.25">
      <c r="A8" s="16">
        <v>0.125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5">
      <c r="A9" s="16">
        <v>0.14583333333333334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</row>
    <row r="10" spans="1:32" x14ac:dyDescent="0.25">
      <c r="A10" s="16">
        <v>0.16666666666666666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</row>
    <row r="11" spans="1:32" x14ac:dyDescent="0.25">
      <c r="A11" s="16">
        <v>0.1875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</row>
    <row r="12" spans="1:32" x14ac:dyDescent="0.25">
      <c r="A12" s="16">
        <v>0.20833333333333334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</row>
    <row r="13" spans="1:32" x14ac:dyDescent="0.25">
      <c r="A13" s="16">
        <v>0.22916666666666666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5">
      <c r="A14" s="16">
        <v>0.25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5">
      <c r="A15" s="16">
        <v>0.27083333333333331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5">
      <c r="A16" s="16">
        <v>0.29166666666666669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</row>
    <row r="17" spans="1:32" x14ac:dyDescent="0.25">
      <c r="A17" s="16">
        <v>0.3125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</row>
    <row r="18" spans="1:32" x14ac:dyDescent="0.25">
      <c r="A18" s="16">
        <v>0.33333333333333331</v>
      </c>
      <c r="B18" s="3">
        <v>9</v>
      </c>
      <c r="C18" s="3">
        <v>9</v>
      </c>
      <c r="D18" s="3">
        <v>10</v>
      </c>
      <c r="E18" s="3">
        <v>0</v>
      </c>
      <c r="F18" s="3">
        <v>0</v>
      </c>
      <c r="G18" s="3">
        <v>14</v>
      </c>
      <c r="H18" s="3">
        <v>9</v>
      </c>
      <c r="I18" s="3">
        <v>8</v>
      </c>
      <c r="J18" s="3">
        <v>8</v>
      </c>
      <c r="K18" s="3">
        <v>9</v>
      </c>
      <c r="L18" s="3">
        <v>0</v>
      </c>
      <c r="M18" s="3">
        <v>0</v>
      </c>
      <c r="N18" s="3">
        <v>13</v>
      </c>
      <c r="O18" s="3">
        <v>8</v>
      </c>
      <c r="P18" s="3">
        <v>8</v>
      </c>
      <c r="Q18" s="3">
        <v>8</v>
      </c>
      <c r="R18" s="3">
        <v>8</v>
      </c>
      <c r="S18" s="3">
        <v>0</v>
      </c>
      <c r="T18" s="3">
        <v>0</v>
      </c>
      <c r="U18" s="3">
        <v>13</v>
      </c>
      <c r="V18" s="3">
        <v>8</v>
      </c>
      <c r="W18" s="3">
        <v>8</v>
      </c>
      <c r="X18" s="3">
        <v>8</v>
      </c>
      <c r="Y18" s="3">
        <v>9</v>
      </c>
      <c r="Z18" s="3">
        <v>0</v>
      </c>
      <c r="AA18" s="3">
        <v>0</v>
      </c>
      <c r="AB18" s="3">
        <v>14</v>
      </c>
      <c r="AC18" s="3">
        <v>8</v>
      </c>
      <c r="AD18" s="3">
        <v>8</v>
      </c>
      <c r="AE18" s="3">
        <v>7</v>
      </c>
    </row>
    <row r="19" spans="1:32" x14ac:dyDescent="0.25">
      <c r="A19" s="16">
        <v>0.35416666666666669</v>
      </c>
      <c r="B19" s="3">
        <v>17</v>
      </c>
      <c r="C19" s="3">
        <v>16</v>
      </c>
      <c r="D19" s="3">
        <v>16</v>
      </c>
      <c r="E19" s="3">
        <v>0</v>
      </c>
      <c r="F19" s="3">
        <v>0</v>
      </c>
      <c r="G19" s="3">
        <v>23</v>
      </c>
      <c r="H19" s="3">
        <v>16</v>
      </c>
      <c r="I19" s="3">
        <v>16</v>
      </c>
      <c r="J19" s="3">
        <v>15</v>
      </c>
      <c r="K19" s="3">
        <v>15</v>
      </c>
      <c r="L19" s="3">
        <v>0</v>
      </c>
      <c r="M19" s="3">
        <v>0</v>
      </c>
      <c r="N19" s="3">
        <v>21</v>
      </c>
      <c r="O19" s="3">
        <v>15</v>
      </c>
      <c r="P19" s="3">
        <v>16</v>
      </c>
      <c r="Q19" s="3">
        <v>15</v>
      </c>
      <c r="R19" s="3">
        <v>14</v>
      </c>
      <c r="S19" s="3">
        <v>0</v>
      </c>
      <c r="T19" s="3">
        <v>0</v>
      </c>
      <c r="U19" s="3">
        <v>22</v>
      </c>
      <c r="V19" s="3">
        <v>15</v>
      </c>
      <c r="W19" s="3">
        <v>16</v>
      </c>
      <c r="X19" s="3">
        <v>15</v>
      </c>
      <c r="Y19" s="3">
        <v>15</v>
      </c>
      <c r="Z19" s="3">
        <v>0</v>
      </c>
      <c r="AA19" s="3">
        <v>0</v>
      </c>
      <c r="AB19" s="3">
        <v>22</v>
      </c>
      <c r="AC19" s="3">
        <v>15</v>
      </c>
      <c r="AD19" s="3">
        <v>14</v>
      </c>
      <c r="AE19" s="3">
        <v>13</v>
      </c>
    </row>
    <row r="20" spans="1:32" x14ac:dyDescent="0.25">
      <c r="A20" s="16">
        <v>0.375</v>
      </c>
      <c r="B20" s="3">
        <v>30</v>
      </c>
      <c r="C20" s="3">
        <v>29</v>
      </c>
      <c r="D20" s="3">
        <v>29</v>
      </c>
      <c r="E20" s="3">
        <v>8</v>
      </c>
      <c r="F20" s="3">
        <v>0</v>
      </c>
      <c r="G20" s="3">
        <v>41</v>
      </c>
      <c r="H20" s="3">
        <v>29</v>
      </c>
      <c r="I20" s="3">
        <v>27</v>
      </c>
      <c r="J20" s="3">
        <v>27</v>
      </c>
      <c r="K20" s="3">
        <v>26</v>
      </c>
      <c r="L20" s="3">
        <v>8</v>
      </c>
      <c r="M20" s="3">
        <v>0</v>
      </c>
      <c r="N20" s="3">
        <v>38</v>
      </c>
      <c r="O20" s="3">
        <v>28</v>
      </c>
      <c r="P20" s="3">
        <v>27</v>
      </c>
      <c r="Q20" s="3">
        <v>26</v>
      </c>
      <c r="R20" s="3">
        <v>26</v>
      </c>
      <c r="S20" s="3">
        <v>7</v>
      </c>
      <c r="T20" s="3">
        <v>0</v>
      </c>
      <c r="U20" s="3">
        <v>39</v>
      </c>
      <c r="V20" s="3">
        <v>27</v>
      </c>
      <c r="W20" s="3">
        <v>27</v>
      </c>
      <c r="X20" s="3">
        <v>26</v>
      </c>
      <c r="Y20" s="3">
        <v>26</v>
      </c>
      <c r="Z20" s="3">
        <v>7</v>
      </c>
      <c r="AA20" s="3">
        <v>0</v>
      </c>
      <c r="AB20" s="3">
        <v>40</v>
      </c>
      <c r="AC20" s="3">
        <v>27</v>
      </c>
      <c r="AD20" s="3">
        <v>25</v>
      </c>
      <c r="AE20" s="3">
        <v>23</v>
      </c>
    </row>
    <row r="21" spans="1:32" x14ac:dyDescent="0.25">
      <c r="A21" s="16">
        <v>0.39583333333333331</v>
      </c>
      <c r="B21" s="3">
        <v>44</v>
      </c>
      <c r="C21" s="3">
        <v>41</v>
      </c>
      <c r="D21" s="3">
        <v>43</v>
      </c>
      <c r="E21" s="3">
        <v>12</v>
      </c>
      <c r="F21" s="3">
        <v>0</v>
      </c>
      <c r="G21" s="3">
        <v>60</v>
      </c>
      <c r="H21" s="3">
        <v>42</v>
      </c>
      <c r="I21" s="3">
        <v>39</v>
      </c>
      <c r="J21" s="3">
        <v>38</v>
      </c>
      <c r="K21" s="3">
        <v>39</v>
      </c>
      <c r="L21" s="3">
        <v>11</v>
      </c>
      <c r="M21" s="3">
        <v>0</v>
      </c>
      <c r="N21" s="3">
        <v>57</v>
      </c>
      <c r="O21" s="3">
        <v>41</v>
      </c>
      <c r="P21" s="3">
        <v>39</v>
      </c>
      <c r="Q21" s="3">
        <v>38</v>
      </c>
      <c r="R21" s="3">
        <v>38</v>
      </c>
      <c r="S21" s="3">
        <v>11</v>
      </c>
      <c r="T21" s="3">
        <v>0</v>
      </c>
      <c r="U21" s="3">
        <v>57</v>
      </c>
      <c r="V21" s="3">
        <v>40</v>
      </c>
      <c r="W21" s="3">
        <v>39</v>
      </c>
      <c r="X21" s="3">
        <v>38</v>
      </c>
      <c r="Y21" s="3">
        <v>39</v>
      </c>
      <c r="Z21" s="3">
        <v>11</v>
      </c>
      <c r="AA21" s="3">
        <v>0</v>
      </c>
      <c r="AB21" s="3">
        <v>58</v>
      </c>
      <c r="AC21" s="3">
        <v>40</v>
      </c>
      <c r="AD21" s="3">
        <v>36</v>
      </c>
      <c r="AE21" s="3">
        <v>33</v>
      </c>
    </row>
    <row r="22" spans="1:32" x14ac:dyDescent="0.25">
      <c r="A22" s="16">
        <v>0.41666666666666669</v>
      </c>
      <c r="B22" s="3">
        <v>57</v>
      </c>
      <c r="C22" s="3">
        <v>52</v>
      </c>
      <c r="D22" s="3">
        <v>54</v>
      </c>
      <c r="E22" s="3">
        <v>18</v>
      </c>
      <c r="F22" s="3">
        <v>0</v>
      </c>
      <c r="G22" s="3">
        <v>75</v>
      </c>
      <c r="H22" s="3">
        <v>54</v>
      </c>
      <c r="I22" s="3">
        <v>52</v>
      </c>
      <c r="J22" s="3">
        <v>48</v>
      </c>
      <c r="K22" s="3">
        <v>49</v>
      </c>
      <c r="L22" s="3">
        <v>17</v>
      </c>
      <c r="M22" s="3">
        <v>0</v>
      </c>
      <c r="N22" s="3">
        <v>71</v>
      </c>
      <c r="O22" s="3">
        <v>52</v>
      </c>
      <c r="P22" s="3">
        <v>51</v>
      </c>
      <c r="Q22" s="3">
        <v>47</v>
      </c>
      <c r="R22" s="3">
        <v>47</v>
      </c>
      <c r="S22" s="3">
        <v>17</v>
      </c>
      <c r="T22" s="3">
        <v>0</v>
      </c>
      <c r="U22" s="3">
        <v>71</v>
      </c>
      <c r="V22" s="3">
        <v>51</v>
      </c>
      <c r="W22" s="3">
        <v>51</v>
      </c>
      <c r="X22" s="3">
        <v>48</v>
      </c>
      <c r="Y22" s="3">
        <v>48</v>
      </c>
      <c r="Z22" s="3">
        <v>17</v>
      </c>
      <c r="AA22" s="3">
        <v>0</v>
      </c>
      <c r="AB22" s="3">
        <v>73</v>
      </c>
      <c r="AC22" s="3">
        <v>52</v>
      </c>
      <c r="AD22" s="3">
        <v>48</v>
      </c>
      <c r="AE22" s="3">
        <v>41</v>
      </c>
    </row>
    <row r="23" spans="1:32" x14ac:dyDescent="0.25">
      <c r="A23" s="16">
        <v>0.4375</v>
      </c>
      <c r="B23" s="3">
        <v>71</v>
      </c>
      <c r="C23" s="3">
        <v>64</v>
      </c>
      <c r="D23" s="3">
        <v>67</v>
      </c>
      <c r="E23" s="3">
        <v>24</v>
      </c>
      <c r="F23" s="3">
        <v>0</v>
      </c>
      <c r="G23" s="3">
        <v>92</v>
      </c>
      <c r="H23" s="3">
        <v>68</v>
      </c>
      <c r="I23" s="3">
        <v>64</v>
      </c>
      <c r="J23" s="3">
        <v>59</v>
      </c>
      <c r="K23" s="3">
        <v>60</v>
      </c>
      <c r="L23" s="3">
        <v>23</v>
      </c>
      <c r="M23" s="3">
        <v>0</v>
      </c>
      <c r="N23" s="3">
        <v>87</v>
      </c>
      <c r="O23" s="3">
        <v>66</v>
      </c>
      <c r="P23" s="3">
        <v>63</v>
      </c>
      <c r="Q23" s="3">
        <v>59</v>
      </c>
      <c r="R23" s="3">
        <v>58</v>
      </c>
      <c r="S23" s="3">
        <v>23</v>
      </c>
      <c r="T23" s="3">
        <v>0</v>
      </c>
      <c r="U23" s="3">
        <v>87</v>
      </c>
      <c r="V23" s="3">
        <v>65</v>
      </c>
      <c r="W23" s="3">
        <v>64</v>
      </c>
      <c r="X23" s="3">
        <v>59</v>
      </c>
      <c r="Y23" s="3">
        <v>60</v>
      </c>
      <c r="Z23" s="3">
        <v>22</v>
      </c>
      <c r="AA23" s="3">
        <v>0</v>
      </c>
      <c r="AB23" s="3">
        <v>89</v>
      </c>
      <c r="AC23" s="3">
        <v>65</v>
      </c>
      <c r="AD23" s="3">
        <v>59</v>
      </c>
      <c r="AE23" s="3">
        <v>52</v>
      </c>
    </row>
    <row r="24" spans="1:32" x14ac:dyDescent="0.25">
      <c r="A24" s="16">
        <v>0.45833333333333331</v>
      </c>
      <c r="B24" s="3">
        <v>93</v>
      </c>
      <c r="C24" s="3">
        <v>85</v>
      </c>
      <c r="D24" s="3">
        <v>87</v>
      </c>
      <c r="E24" s="3">
        <v>28</v>
      </c>
      <c r="F24" s="3">
        <v>0</v>
      </c>
      <c r="G24" s="3">
        <v>120</v>
      </c>
      <c r="H24" s="3">
        <v>91</v>
      </c>
      <c r="I24" s="3">
        <v>85</v>
      </c>
      <c r="J24" s="3">
        <v>79</v>
      </c>
      <c r="K24" s="3">
        <v>78</v>
      </c>
      <c r="L24" s="3">
        <v>27</v>
      </c>
      <c r="M24" s="3">
        <v>0</v>
      </c>
      <c r="N24" s="3">
        <v>113</v>
      </c>
      <c r="O24" s="3">
        <v>88</v>
      </c>
      <c r="P24" s="3">
        <v>83</v>
      </c>
      <c r="Q24" s="3">
        <v>78</v>
      </c>
      <c r="R24" s="3">
        <v>76</v>
      </c>
      <c r="S24" s="3">
        <v>26</v>
      </c>
      <c r="T24" s="3">
        <v>0</v>
      </c>
      <c r="U24" s="3">
        <v>114</v>
      </c>
      <c r="V24" s="3">
        <v>86</v>
      </c>
      <c r="W24" s="3">
        <v>84</v>
      </c>
      <c r="X24" s="3">
        <v>79</v>
      </c>
      <c r="Y24" s="3">
        <v>78</v>
      </c>
      <c r="Z24" s="3">
        <v>26</v>
      </c>
      <c r="AA24" s="3">
        <v>0</v>
      </c>
      <c r="AB24" s="3">
        <v>116</v>
      </c>
      <c r="AC24" s="3">
        <v>86</v>
      </c>
      <c r="AD24" s="3">
        <v>78</v>
      </c>
      <c r="AE24" s="3">
        <v>69</v>
      </c>
    </row>
    <row r="25" spans="1:32" x14ac:dyDescent="0.25">
      <c r="A25" s="16">
        <v>0.47916666666666669</v>
      </c>
      <c r="B25" s="3">
        <v>110</v>
      </c>
      <c r="C25" s="3">
        <v>99</v>
      </c>
      <c r="D25" s="3">
        <v>101</v>
      </c>
      <c r="E25" s="3">
        <v>31</v>
      </c>
      <c r="F25" s="3">
        <v>0</v>
      </c>
      <c r="G25" s="3">
        <v>139</v>
      </c>
      <c r="H25" s="3">
        <v>107</v>
      </c>
      <c r="I25" s="3">
        <v>100</v>
      </c>
      <c r="J25" s="3">
        <v>92</v>
      </c>
      <c r="K25" s="3">
        <v>90</v>
      </c>
      <c r="L25" s="3">
        <v>30</v>
      </c>
      <c r="M25" s="3">
        <v>0</v>
      </c>
      <c r="N25" s="3">
        <v>130</v>
      </c>
      <c r="O25" s="3">
        <v>103</v>
      </c>
      <c r="P25" s="3">
        <v>99</v>
      </c>
      <c r="Q25" s="3">
        <v>91</v>
      </c>
      <c r="R25" s="3">
        <v>88</v>
      </c>
      <c r="S25" s="3">
        <v>30</v>
      </c>
      <c r="T25" s="3">
        <v>0</v>
      </c>
      <c r="U25" s="3">
        <v>131</v>
      </c>
      <c r="V25" s="3">
        <v>102</v>
      </c>
      <c r="W25" s="3">
        <v>99</v>
      </c>
      <c r="X25" s="3">
        <v>92</v>
      </c>
      <c r="Y25" s="3">
        <v>90</v>
      </c>
      <c r="Z25" s="3">
        <v>29</v>
      </c>
      <c r="AA25" s="3">
        <v>0</v>
      </c>
      <c r="AB25" s="3">
        <v>134</v>
      </c>
      <c r="AC25" s="3">
        <v>102</v>
      </c>
      <c r="AD25" s="3">
        <v>92</v>
      </c>
      <c r="AE25" s="3">
        <v>80</v>
      </c>
    </row>
    <row r="26" spans="1:32" x14ac:dyDescent="0.25">
      <c r="A26" s="16">
        <v>0.5</v>
      </c>
      <c r="B26" s="3">
        <v>118</v>
      </c>
      <c r="C26" s="3">
        <v>105</v>
      </c>
      <c r="D26" s="3">
        <v>110</v>
      </c>
      <c r="E26" s="3">
        <v>38</v>
      </c>
      <c r="F26" s="3">
        <v>0</v>
      </c>
      <c r="G26" s="3">
        <v>146</v>
      </c>
      <c r="H26" s="3">
        <v>113</v>
      </c>
      <c r="I26" s="3">
        <v>106</v>
      </c>
      <c r="J26" s="3">
        <v>97</v>
      </c>
      <c r="K26" s="3">
        <v>99</v>
      </c>
      <c r="L26" s="3">
        <v>36</v>
      </c>
      <c r="M26" s="3">
        <v>0</v>
      </c>
      <c r="N26" s="3">
        <v>137</v>
      </c>
      <c r="O26" s="3">
        <v>109</v>
      </c>
      <c r="P26" s="3">
        <v>105</v>
      </c>
      <c r="Q26" s="3">
        <v>97</v>
      </c>
      <c r="R26" s="3">
        <v>96</v>
      </c>
      <c r="S26" s="3">
        <v>36</v>
      </c>
      <c r="T26" s="3">
        <v>0</v>
      </c>
      <c r="U26" s="3">
        <v>138</v>
      </c>
      <c r="V26" s="3">
        <v>107</v>
      </c>
      <c r="W26" s="3">
        <v>106</v>
      </c>
      <c r="X26" s="3">
        <v>97</v>
      </c>
      <c r="Y26" s="3">
        <v>99</v>
      </c>
      <c r="Z26" s="3">
        <v>36</v>
      </c>
      <c r="AA26" s="3">
        <v>0</v>
      </c>
      <c r="AB26" s="3">
        <v>141</v>
      </c>
      <c r="AC26" s="3">
        <v>108</v>
      </c>
      <c r="AD26" s="3">
        <v>98</v>
      </c>
      <c r="AE26" s="3">
        <v>85</v>
      </c>
    </row>
    <row r="27" spans="1:32" x14ac:dyDescent="0.25">
      <c r="A27" s="16">
        <v>0.52083333333333337</v>
      </c>
      <c r="B27" s="3">
        <v>121</v>
      </c>
      <c r="C27" s="3">
        <v>109</v>
      </c>
      <c r="D27" s="3">
        <v>115</v>
      </c>
      <c r="E27" s="3">
        <v>45</v>
      </c>
      <c r="F27" s="3">
        <v>0</v>
      </c>
      <c r="G27" s="3">
        <v>151</v>
      </c>
      <c r="H27" s="3">
        <v>116</v>
      </c>
      <c r="I27" s="3">
        <v>109</v>
      </c>
      <c r="J27" s="3">
        <v>102</v>
      </c>
      <c r="K27" s="3">
        <v>103</v>
      </c>
      <c r="L27" s="3">
        <v>43</v>
      </c>
      <c r="M27" s="3">
        <v>0</v>
      </c>
      <c r="N27" s="3">
        <v>142</v>
      </c>
      <c r="O27" s="3">
        <v>112</v>
      </c>
      <c r="P27" s="3">
        <v>108</v>
      </c>
      <c r="Q27" s="3">
        <v>101</v>
      </c>
      <c r="R27" s="3">
        <v>100</v>
      </c>
      <c r="S27" s="3">
        <v>42</v>
      </c>
      <c r="T27" s="3">
        <v>0</v>
      </c>
      <c r="U27" s="3">
        <v>143</v>
      </c>
      <c r="V27" s="3">
        <v>110</v>
      </c>
      <c r="W27" s="3">
        <v>108</v>
      </c>
      <c r="X27" s="3">
        <v>101</v>
      </c>
      <c r="Y27" s="3">
        <v>103</v>
      </c>
      <c r="Z27" s="3">
        <v>42</v>
      </c>
      <c r="AA27" s="3">
        <v>0</v>
      </c>
      <c r="AB27" s="3">
        <v>146</v>
      </c>
      <c r="AC27" s="3">
        <v>111</v>
      </c>
      <c r="AD27" s="3">
        <v>101</v>
      </c>
      <c r="AE27" s="3">
        <v>89</v>
      </c>
    </row>
    <row r="28" spans="1:32" x14ac:dyDescent="0.25">
      <c r="A28" s="16">
        <v>0.54166666666666663</v>
      </c>
      <c r="B28" s="3">
        <v>122</v>
      </c>
      <c r="C28" s="3">
        <v>113</v>
      </c>
      <c r="D28" s="3">
        <v>118</v>
      </c>
      <c r="E28" s="3">
        <v>48</v>
      </c>
      <c r="F28" s="3">
        <v>0</v>
      </c>
      <c r="G28" s="3">
        <v>154</v>
      </c>
      <c r="H28" s="3">
        <v>120</v>
      </c>
      <c r="I28" s="3">
        <v>110</v>
      </c>
      <c r="J28" s="3">
        <v>104</v>
      </c>
      <c r="K28" s="3">
        <v>106</v>
      </c>
      <c r="L28" s="3">
        <v>45</v>
      </c>
      <c r="M28" s="3">
        <v>0</v>
      </c>
      <c r="N28" s="3">
        <v>145</v>
      </c>
      <c r="O28" s="3">
        <v>115</v>
      </c>
      <c r="P28" s="3">
        <v>109</v>
      </c>
      <c r="Q28" s="3">
        <v>104</v>
      </c>
      <c r="R28" s="3">
        <v>103</v>
      </c>
      <c r="S28" s="3">
        <v>45</v>
      </c>
      <c r="T28" s="3">
        <v>0</v>
      </c>
      <c r="U28" s="3">
        <v>146</v>
      </c>
      <c r="V28" s="3">
        <v>114</v>
      </c>
      <c r="W28" s="3">
        <v>110</v>
      </c>
      <c r="X28" s="3">
        <v>104</v>
      </c>
      <c r="Y28" s="3">
        <v>105</v>
      </c>
      <c r="Z28" s="3">
        <v>44</v>
      </c>
      <c r="AA28" s="3">
        <v>0</v>
      </c>
      <c r="AB28" s="3">
        <v>149</v>
      </c>
      <c r="AC28" s="3">
        <v>114</v>
      </c>
      <c r="AD28" s="3">
        <v>102</v>
      </c>
      <c r="AE28" s="3">
        <v>91</v>
      </c>
    </row>
    <row r="29" spans="1:32" x14ac:dyDescent="0.25">
      <c r="A29" s="16">
        <v>0.5625</v>
      </c>
      <c r="B29" s="3">
        <v>126</v>
      </c>
      <c r="C29" s="3">
        <v>118</v>
      </c>
      <c r="D29" s="3">
        <v>121</v>
      </c>
      <c r="E29" s="3">
        <v>47</v>
      </c>
      <c r="F29" s="3">
        <v>0</v>
      </c>
      <c r="G29" s="3">
        <v>156</v>
      </c>
      <c r="H29" s="3">
        <v>123</v>
      </c>
      <c r="I29" s="3">
        <v>114</v>
      </c>
      <c r="J29" s="3">
        <v>109</v>
      </c>
      <c r="K29" s="3">
        <v>109</v>
      </c>
      <c r="L29" s="3">
        <v>44</v>
      </c>
      <c r="M29" s="3">
        <v>0</v>
      </c>
      <c r="N29" s="3">
        <v>146</v>
      </c>
      <c r="O29" s="3">
        <v>119</v>
      </c>
      <c r="P29" s="3">
        <v>113</v>
      </c>
      <c r="Q29" s="3">
        <v>108</v>
      </c>
      <c r="R29" s="3">
        <v>105</v>
      </c>
      <c r="S29" s="3">
        <v>44</v>
      </c>
      <c r="T29" s="3">
        <v>0</v>
      </c>
      <c r="U29" s="3">
        <v>148</v>
      </c>
      <c r="V29" s="3">
        <v>117</v>
      </c>
      <c r="W29" s="3">
        <v>113</v>
      </c>
      <c r="X29" s="3">
        <v>109</v>
      </c>
      <c r="Y29" s="3">
        <v>108</v>
      </c>
      <c r="Z29" s="3">
        <v>43</v>
      </c>
      <c r="AA29" s="3">
        <v>0</v>
      </c>
      <c r="AB29" s="3">
        <v>151</v>
      </c>
      <c r="AC29" s="3">
        <v>117</v>
      </c>
      <c r="AD29" s="3">
        <v>105</v>
      </c>
      <c r="AE29" s="3">
        <v>95</v>
      </c>
    </row>
    <row r="30" spans="1:32" x14ac:dyDescent="0.25">
      <c r="A30" s="16">
        <v>0.58333333333333337</v>
      </c>
      <c r="B30" s="3">
        <v>126</v>
      </c>
      <c r="C30" s="3">
        <v>121</v>
      </c>
      <c r="D30" s="3">
        <v>124</v>
      </c>
      <c r="E30" s="3">
        <v>46</v>
      </c>
      <c r="F30" s="3">
        <v>0</v>
      </c>
      <c r="G30" s="3">
        <v>154</v>
      </c>
      <c r="H30" s="3">
        <v>125</v>
      </c>
      <c r="I30" s="3">
        <v>114</v>
      </c>
      <c r="J30" s="3">
        <v>112</v>
      </c>
      <c r="K30" s="3">
        <v>111</v>
      </c>
      <c r="L30" s="3">
        <v>43</v>
      </c>
      <c r="M30" s="3">
        <v>0</v>
      </c>
      <c r="N30" s="3">
        <v>145</v>
      </c>
      <c r="O30" s="3">
        <v>120</v>
      </c>
      <c r="P30" s="3">
        <v>113</v>
      </c>
      <c r="Q30" s="3">
        <v>111</v>
      </c>
      <c r="R30" s="3">
        <v>108</v>
      </c>
      <c r="S30" s="3">
        <v>43</v>
      </c>
      <c r="T30" s="3">
        <v>0</v>
      </c>
      <c r="U30" s="3">
        <v>145</v>
      </c>
      <c r="V30" s="3">
        <v>119</v>
      </c>
      <c r="W30" s="3">
        <v>114</v>
      </c>
      <c r="X30" s="3">
        <v>112</v>
      </c>
      <c r="Y30" s="3">
        <v>110</v>
      </c>
      <c r="Z30" s="3">
        <v>42</v>
      </c>
      <c r="AA30" s="3">
        <v>0</v>
      </c>
      <c r="AB30" s="3">
        <v>149</v>
      </c>
      <c r="AC30" s="3">
        <v>119</v>
      </c>
      <c r="AD30" s="3">
        <v>105</v>
      </c>
      <c r="AE30" s="3">
        <v>98</v>
      </c>
    </row>
    <row r="31" spans="1:32" x14ac:dyDescent="0.25">
      <c r="A31" s="16">
        <v>0.60416666666666663</v>
      </c>
      <c r="B31" s="3">
        <v>130</v>
      </c>
      <c r="C31" s="3">
        <v>122</v>
      </c>
      <c r="D31" s="3">
        <v>124</v>
      </c>
      <c r="E31" s="3">
        <v>46</v>
      </c>
      <c r="F31" s="3">
        <v>0</v>
      </c>
      <c r="G31" s="3">
        <v>155</v>
      </c>
      <c r="H31" s="3">
        <v>125</v>
      </c>
      <c r="I31" s="3">
        <v>118</v>
      </c>
      <c r="J31" s="3">
        <v>113</v>
      </c>
      <c r="K31" s="3">
        <v>111</v>
      </c>
      <c r="L31" s="3">
        <v>43</v>
      </c>
      <c r="M31" s="3">
        <v>0</v>
      </c>
      <c r="N31" s="3">
        <v>145</v>
      </c>
      <c r="O31" s="3">
        <v>120</v>
      </c>
      <c r="P31" s="3">
        <v>116</v>
      </c>
      <c r="Q31" s="3">
        <v>112</v>
      </c>
      <c r="R31" s="3">
        <v>108</v>
      </c>
      <c r="S31" s="3">
        <v>43</v>
      </c>
      <c r="T31" s="3">
        <v>0</v>
      </c>
      <c r="U31" s="3">
        <v>147</v>
      </c>
      <c r="V31" s="3">
        <v>119</v>
      </c>
      <c r="W31" s="3">
        <v>117</v>
      </c>
      <c r="X31" s="3">
        <v>113</v>
      </c>
      <c r="Y31" s="3">
        <v>111</v>
      </c>
      <c r="Z31" s="3">
        <v>43</v>
      </c>
      <c r="AA31" s="3">
        <v>0</v>
      </c>
      <c r="AB31" s="3">
        <v>150</v>
      </c>
      <c r="AC31" s="3">
        <v>119</v>
      </c>
      <c r="AD31" s="3">
        <v>109</v>
      </c>
      <c r="AE31" s="3">
        <v>99</v>
      </c>
    </row>
    <row r="32" spans="1:32" x14ac:dyDescent="0.25">
      <c r="A32" s="16">
        <v>0.625</v>
      </c>
      <c r="B32" s="3">
        <v>128</v>
      </c>
      <c r="C32" s="3">
        <v>116</v>
      </c>
      <c r="D32" s="3">
        <v>122</v>
      </c>
      <c r="E32" s="3">
        <v>46</v>
      </c>
      <c r="F32" s="3">
        <v>0</v>
      </c>
      <c r="G32" s="3">
        <v>149</v>
      </c>
      <c r="H32" s="3">
        <v>123</v>
      </c>
      <c r="I32" s="3">
        <v>116</v>
      </c>
      <c r="J32" s="3">
        <v>107</v>
      </c>
      <c r="K32" s="3">
        <v>109</v>
      </c>
      <c r="L32" s="3">
        <v>44</v>
      </c>
      <c r="M32" s="3">
        <v>0</v>
      </c>
      <c r="N32" s="3">
        <v>140</v>
      </c>
      <c r="O32" s="3">
        <v>118</v>
      </c>
      <c r="P32" s="3">
        <v>115</v>
      </c>
      <c r="Q32" s="3">
        <v>106</v>
      </c>
      <c r="R32" s="3">
        <v>106</v>
      </c>
      <c r="S32" s="3">
        <v>43</v>
      </c>
      <c r="T32" s="3">
        <v>0</v>
      </c>
      <c r="U32" s="3">
        <v>141</v>
      </c>
      <c r="V32" s="3">
        <v>117</v>
      </c>
      <c r="W32" s="3">
        <v>115</v>
      </c>
      <c r="X32" s="3">
        <v>107</v>
      </c>
      <c r="Y32" s="3">
        <v>109</v>
      </c>
      <c r="Z32" s="3">
        <v>43</v>
      </c>
      <c r="AA32" s="3">
        <v>0</v>
      </c>
      <c r="AB32" s="3">
        <v>144</v>
      </c>
      <c r="AC32" s="3">
        <v>117</v>
      </c>
      <c r="AD32" s="3">
        <v>107</v>
      </c>
      <c r="AE32" s="3">
        <v>94</v>
      </c>
    </row>
    <row r="33" spans="1:31" x14ac:dyDescent="0.25">
      <c r="A33" s="16">
        <v>0.64583333333333337</v>
      </c>
      <c r="B33" s="3">
        <v>124</v>
      </c>
      <c r="C33" s="3">
        <v>114</v>
      </c>
      <c r="D33" s="3">
        <v>117</v>
      </c>
      <c r="E33" s="3">
        <v>45</v>
      </c>
      <c r="F33" s="3">
        <v>0</v>
      </c>
      <c r="G33" s="3">
        <v>143</v>
      </c>
      <c r="H33" s="3">
        <v>122</v>
      </c>
      <c r="I33" s="3">
        <v>112</v>
      </c>
      <c r="J33" s="3">
        <v>106</v>
      </c>
      <c r="K33" s="3">
        <v>105</v>
      </c>
      <c r="L33" s="3">
        <v>43</v>
      </c>
      <c r="M33" s="3">
        <v>0</v>
      </c>
      <c r="N33" s="3">
        <v>134</v>
      </c>
      <c r="O33" s="3">
        <v>118</v>
      </c>
      <c r="P33" s="3">
        <v>111</v>
      </c>
      <c r="Q33" s="3">
        <v>105</v>
      </c>
      <c r="R33" s="3">
        <v>102</v>
      </c>
      <c r="S33" s="3">
        <v>42</v>
      </c>
      <c r="T33" s="3">
        <v>0</v>
      </c>
      <c r="U33" s="3">
        <v>135</v>
      </c>
      <c r="V33" s="3">
        <v>116</v>
      </c>
      <c r="W33" s="3">
        <v>112</v>
      </c>
      <c r="X33" s="3">
        <v>106</v>
      </c>
      <c r="Y33" s="3">
        <v>105</v>
      </c>
      <c r="Z33" s="3">
        <v>42</v>
      </c>
      <c r="AA33" s="3">
        <v>0</v>
      </c>
      <c r="AB33" s="3">
        <v>138</v>
      </c>
      <c r="AC33" s="3">
        <v>116</v>
      </c>
      <c r="AD33" s="3">
        <v>104</v>
      </c>
      <c r="AE33" s="3">
        <v>92</v>
      </c>
    </row>
    <row r="34" spans="1:31" x14ac:dyDescent="0.25">
      <c r="A34" s="16">
        <v>0.66666666666666663</v>
      </c>
      <c r="B34" s="3">
        <v>119</v>
      </c>
      <c r="C34" s="3">
        <v>111</v>
      </c>
      <c r="D34" s="3">
        <v>113</v>
      </c>
      <c r="E34" s="3">
        <v>42</v>
      </c>
      <c r="F34" s="3">
        <v>0</v>
      </c>
      <c r="G34" s="3">
        <v>141</v>
      </c>
      <c r="H34" s="3">
        <v>120</v>
      </c>
      <c r="I34" s="3">
        <v>107</v>
      </c>
      <c r="J34" s="3">
        <v>103</v>
      </c>
      <c r="K34" s="3">
        <v>101</v>
      </c>
      <c r="L34" s="3">
        <v>41</v>
      </c>
      <c r="M34" s="3">
        <v>0</v>
      </c>
      <c r="N34" s="3">
        <v>132</v>
      </c>
      <c r="O34" s="3">
        <v>115</v>
      </c>
      <c r="P34" s="3">
        <v>106</v>
      </c>
      <c r="Q34" s="3">
        <v>102</v>
      </c>
      <c r="R34" s="3">
        <v>99</v>
      </c>
      <c r="S34" s="3">
        <v>40</v>
      </c>
      <c r="T34" s="3">
        <v>0</v>
      </c>
      <c r="U34" s="3">
        <v>133</v>
      </c>
      <c r="V34" s="3">
        <v>114</v>
      </c>
      <c r="W34" s="3">
        <v>107</v>
      </c>
      <c r="X34" s="3">
        <v>103</v>
      </c>
      <c r="Y34" s="3">
        <v>101</v>
      </c>
      <c r="Z34" s="3">
        <v>40</v>
      </c>
      <c r="AA34" s="3">
        <v>0</v>
      </c>
      <c r="AB34" s="3">
        <v>136</v>
      </c>
      <c r="AC34" s="3">
        <v>114</v>
      </c>
      <c r="AD34" s="3">
        <v>99</v>
      </c>
      <c r="AE34" s="3">
        <v>90</v>
      </c>
    </row>
    <row r="35" spans="1:31" x14ac:dyDescent="0.25">
      <c r="A35" s="16">
        <v>0.6875</v>
      </c>
      <c r="B35" s="3">
        <v>119</v>
      </c>
      <c r="C35" s="3">
        <v>109</v>
      </c>
      <c r="D35" s="3">
        <v>109</v>
      </c>
      <c r="E35" s="3">
        <v>41</v>
      </c>
      <c r="F35" s="3">
        <v>0</v>
      </c>
      <c r="G35" s="3">
        <v>137</v>
      </c>
      <c r="H35" s="3">
        <v>118</v>
      </c>
      <c r="I35" s="3">
        <v>108</v>
      </c>
      <c r="J35" s="3">
        <v>101</v>
      </c>
      <c r="K35" s="3">
        <v>97</v>
      </c>
      <c r="L35" s="3">
        <v>39</v>
      </c>
      <c r="M35" s="3">
        <v>0</v>
      </c>
      <c r="N35" s="3">
        <v>129</v>
      </c>
      <c r="O35" s="3">
        <v>113</v>
      </c>
      <c r="P35" s="3">
        <v>106</v>
      </c>
      <c r="Q35" s="3">
        <v>100</v>
      </c>
      <c r="R35" s="3">
        <v>95</v>
      </c>
      <c r="S35" s="3">
        <v>39</v>
      </c>
      <c r="T35" s="3">
        <v>0</v>
      </c>
      <c r="U35" s="3">
        <v>130</v>
      </c>
      <c r="V35" s="3">
        <v>112</v>
      </c>
      <c r="W35" s="3">
        <v>107</v>
      </c>
      <c r="X35" s="3">
        <v>101</v>
      </c>
      <c r="Y35" s="3">
        <v>97</v>
      </c>
      <c r="Z35" s="3">
        <v>38</v>
      </c>
      <c r="AA35" s="3">
        <v>0</v>
      </c>
      <c r="AB35" s="3">
        <v>133</v>
      </c>
      <c r="AC35" s="3">
        <v>112</v>
      </c>
      <c r="AD35" s="3">
        <v>99</v>
      </c>
      <c r="AE35" s="3">
        <v>88</v>
      </c>
    </row>
    <row r="36" spans="1:31" x14ac:dyDescent="0.25">
      <c r="A36" s="16">
        <v>0.70833333333333337</v>
      </c>
      <c r="B36" s="3">
        <v>117</v>
      </c>
      <c r="C36" s="3">
        <v>105</v>
      </c>
      <c r="D36" s="3">
        <v>109</v>
      </c>
      <c r="E36" s="3">
        <v>38</v>
      </c>
      <c r="F36" s="3">
        <v>0</v>
      </c>
      <c r="G36" s="3">
        <v>131</v>
      </c>
      <c r="H36" s="3">
        <v>115</v>
      </c>
      <c r="I36" s="3">
        <v>106</v>
      </c>
      <c r="J36" s="3">
        <v>98</v>
      </c>
      <c r="K36" s="3">
        <v>98</v>
      </c>
      <c r="L36" s="3">
        <v>37</v>
      </c>
      <c r="M36" s="3">
        <v>0</v>
      </c>
      <c r="N36" s="3">
        <v>123</v>
      </c>
      <c r="O36" s="3">
        <v>111</v>
      </c>
      <c r="P36" s="3">
        <v>105</v>
      </c>
      <c r="Q36" s="3">
        <v>97</v>
      </c>
      <c r="R36" s="3">
        <v>95</v>
      </c>
      <c r="S36" s="3">
        <v>36</v>
      </c>
      <c r="T36" s="3">
        <v>0</v>
      </c>
      <c r="U36" s="3">
        <v>124</v>
      </c>
      <c r="V36" s="3">
        <v>109</v>
      </c>
      <c r="W36" s="3">
        <v>105</v>
      </c>
      <c r="X36" s="3">
        <v>98</v>
      </c>
      <c r="Y36" s="3">
        <v>98</v>
      </c>
      <c r="Z36" s="3">
        <v>36</v>
      </c>
      <c r="AA36" s="3">
        <v>0</v>
      </c>
      <c r="AB36" s="3">
        <v>127</v>
      </c>
      <c r="AC36" s="3">
        <v>109</v>
      </c>
      <c r="AD36" s="3">
        <v>98</v>
      </c>
      <c r="AE36" s="3">
        <v>85</v>
      </c>
    </row>
    <row r="37" spans="1:31" x14ac:dyDescent="0.25">
      <c r="A37" s="16">
        <v>0.72916666666666663</v>
      </c>
      <c r="B37" s="3">
        <v>110</v>
      </c>
      <c r="C37" s="3">
        <v>99</v>
      </c>
      <c r="D37" s="3">
        <v>104</v>
      </c>
      <c r="E37" s="3">
        <v>36</v>
      </c>
      <c r="F37" s="3">
        <v>0</v>
      </c>
      <c r="G37" s="3">
        <v>125</v>
      </c>
      <c r="H37" s="3">
        <v>111</v>
      </c>
      <c r="I37" s="3">
        <v>100</v>
      </c>
      <c r="J37" s="3">
        <v>92</v>
      </c>
      <c r="K37" s="3">
        <v>93</v>
      </c>
      <c r="L37" s="3">
        <v>35</v>
      </c>
      <c r="M37" s="3">
        <v>0</v>
      </c>
      <c r="N37" s="3">
        <v>117</v>
      </c>
      <c r="O37" s="3">
        <v>107</v>
      </c>
      <c r="P37" s="3">
        <v>99</v>
      </c>
      <c r="Q37" s="3">
        <v>91</v>
      </c>
      <c r="R37" s="3">
        <v>91</v>
      </c>
      <c r="S37" s="3">
        <v>34</v>
      </c>
      <c r="T37" s="3">
        <v>0</v>
      </c>
      <c r="U37" s="3">
        <v>118</v>
      </c>
      <c r="V37" s="3">
        <v>105</v>
      </c>
      <c r="W37" s="3">
        <v>99</v>
      </c>
      <c r="X37" s="3">
        <v>92</v>
      </c>
      <c r="Y37" s="3">
        <v>93</v>
      </c>
      <c r="Z37" s="3">
        <v>34</v>
      </c>
      <c r="AA37" s="3">
        <v>0</v>
      </c>
      <c r="AB37" s="3">
        <v>120</v>
      </c>
      <c r="AC37" s="3">
        <v>106</v>
      </c>
      <c r="AD37" s="3">
        <v>92</v>
      </c>
      <c r="AE37" s="3">
        <v>80</v>
      </c>
    </row>
    <row r="38" spans="1:31" x14ac:dyDescent="0.25">
      <c r="A38" s="16">
        <v>0.75</v>
      </c>
      <c r="B38" s="3">
        <v>102</v>
      </c>
      <c r="C38" s="3">
        <v>92</v>
      </c>
      <c r="D38" s="3">
        <v>93</v>
      </c>
      <c r="E38" s="3">
        <v>33</v>
      </c>
      <c r="F38" s="3">
        <v>0</v>
      </c>
      <c r="G38" s="3">
        <v>115</v>
      </c>
      <c r="H38" s="3">
        <v>102</v>
      </c>
      <c r="I38" s="3">
        <v>92</v>
      </c>
      <c r="J38" s="3">
        <v>86</v>
      </c>
      <c r="K38" s="3">
        <v>84</v>
      </c>
      <c r="L38" s="3">
        <v>31</v>
      </c>
      <c r="M38" s="3">
        <v>0</v>
      </c>
      <c r="N38" s="3">
        <v>108</v>
      </c>
      <c r="O38" s="3">
        <v>99</v>
      </c>
      <c r="P38" s="3">
        <v>91</v>
      </c>
      <c r="Q38" s="3">
        <v>85</v>
      </c>
      <c r="R38" s="3">
        <v>81</v>
      </c>
      <c r="S38" s="3">
        <v>31</v>
      </c>
      <c r="T38" s="3">
        <v>0</v>
      </c>
      <c r="U38" s="3">
        <v>109</v>
      </c>
      <c r="V38" s="3">
        <v>97</v>
      </c>
      <c r="W38" s="3">
        <v>91</v>
      </c>
      <c r="X38" s="3">
        <v>85</v>
      </c>
      <c r="Y38" s="3">
        <v>83</v>
      </c>
      <c r="Z38" s="3">
        <v>31</v>
      </c>
      <c r="AA38" s="3">
        <v>0</v>
      </c>
      <c r="AB38" s="3">
        <v>111</v>
      </c>
      <c r="AC38" s="3">
        <v>97</v>
      </c>
      <c r="AD38" s="3">
        <v>85</v>
      </c>
      <c r="AE38" s="3">
        <v>75</v>
      </c>
    </row>
    <row r="39" spans="1:31" x14ac:dyDescent="0.25">
      <c r="A39" s="16">
        <v>0.77083333333333337</v>
      </c>
      <c r="B39" s="3">
        <v>91</v>
      </c>
      <c r="C39" s="3">
        <v>80</v>
      </c>
      <c r="D39" s="3">
        <v>82</v>
      </c>
      <c r="E39" s="3">
        <v>28</v>
      </c>
      <c r="F39" s="3">
        <v>0</v>
      </c>
      <c r="G39" s="3">
        <v>103</v>
      </c>
      <c r="H39" s="3">
        <v>91</v>
      </c>
      <c r="I39" s="3">
        <v>83</v>
      </c>
      <c r="J39" s="3">
        <v>75</v>
      </c>
      <c r="K39" s="3">
        <v>74</v>
      </c>
      <c r="L39" s="3">
        <v>27</v>
      </c>
      <c r="M39" s="3">
        <v>0</v>
      </c>
      <c r="N39" s="3">
        <v>96</v>
      </c>
      <c r="O39" s="3">
        <v>88</v>
      </c>
      <c r="P39" s="3">
        <v>82</v>
      </c>
      <c r="Q39" s="3">
        <v>74</v>
      </c>
      <c r="R39" s="3">
        <v>72</v>
      </c>
      <c r="S39" s="3">
        <v>26</v>
      </c>
      <c r="T39" s="3">
        <v>0</v>
      </c>
      <c r="U39" s="3">
        <v>97</v>
      </c>
      <c r="V39" s="3">
        <v>86</v>
      </c>
      <c r="W39" s="3">
        <v>82</v>
      </c>
      <c r="X39" s="3">
        <v>74</v>
      </c>
      <c r="Y39" s="3">
        <v>73</v>
      </c>
      <c r="Z39" s="3">
        <v>26</v>
      </c>
      <c r="AA39" s="3">
        <v>0</v>
      </c>
      <c r="AB39" s="3">
        <v>99</v>
      </c>
      <c r="AC39" s="3">
        <v>86</v>
      </c>
      <c r="AD39" s="3">
        <v>76</v>
      </c>
      <c r="AE39" s="3">
        <v>65</v>
      </c>
    </row>
    <row r="40" spans="1:31" x14ac:dyDescent="0.25">
      <c r="A40" s="16">
        <v>0.79166666666666663</v>
      </c>
      <c r="B40" s="3">
        <v>82</v>
      </c>
      <c r="C40" s="3">
        <v>71</v>
      </c>
      <c r="D40" s="3">
        <v>74</v>
      </c>
      <c r="E40" s="3">
        <v>24</v>
      </c>
      <c r="F40" s="3">
        <v>0</v>
      </c>
      <c r="G40" s="3">
        <v>90</v>
      </c>
      <c r="H40" s="3">
        <v>82</v>
      </c>
      <c r="I40" s="3">
        <v>74</v>
      </c>
      <c r="J40" s="3">
        <v>66</v>
      </c>
      <c r="K40" s="3">
        <v>66</v>
      </c>
      <c r="L40" s="3">
        <v>23</v>
      </c>
      <c r="M40" s="3">
        <v>0</v>
      </c>
      <c r="N40" s="3">
        <v>84</v>
      </c>
      <c r="O40" s="3">
        <v>79</v>
      </c>
      <c r="P40" s="3">
        <v>73</v>
      </c>
      <c r="Q40" s="3">
        <v>65</v>
      </c>
      <c r="R40" s="3">
        <v>64</v>
      </c>
      <c r="S40" s="3">
        <v>22</v>
      </c>
      <c r="T40" s="3">
        <v>0</v>
      </c>
      <c r="U40" s="3">
        <v>85</v>
      </c>
      <c r="V40" s="3">
        <v>78</v>
      </c>
      <c r="W40" s="3">
        <v>74</v>
      </c>
      <c r="X40" s="3">
        <v>66</v>
      </c>
      <c r="Y40" s="3">
        <v>66</v>
      </c>
      <c r="Z40" s="3">
        <v>22</v>
      </c>
      <c r="AA40" s="3">
        <v>0</v>
      </c>
      <c r="AB40" s="3">
        <v>87</v>
      </c>
      <c r="AC40" s="3">
        <v>78</v>
      </c>
      <c r="AD40" s="3">
        <v>68</v>
      </c>
      <c r="AE40" s="3">
        <v>57</v>
      </c>
    </row>
    <row r="41" spans="1:31" x14ac:dyDescent="0.25">
      <c r="A41" s="16">
        <v>0.8125</v>
      </c>
      <c r="B41" s="3">
        <v>74</v>
      </c>
      <c r="C41" s="3">
        <v>62</v>
      </c>
      <c r="D41" s="3">
        <v>62</v>
      </c>
      <c r="E41" s="3">
        <v>20</v>
      </c>
      <c r="F41" s="3">
        <v>0</v>
      </c>
      <c r="G41" s="3">
        <v>78</v>
      </c>
      <c r="H41" s="3">
        <v>75</v>
      </c>
      <c r="I41" s="3">
        <v>67</v>
      </c>
      <c r="J41" s="3">
        <v>57</v>
      </c>
      <c r="K41" s="3">
        <v>56</v>
      </c>
      <c r="L41" s="3">
        <v>19</v>
      </c>
      <c r="M41" s="3">
        <v>0</v>
      </c>
      <c r="N41" s="3">
        <v>73</v>
      </c>
      <c r="O41" s="3">
        <v>72</v>
      </c>
      <c r="P41" s="3">
        <v>66</v>
      </c>
      <c r="Q41" s="3">
        <v>57</v>
      </c>
      <c r="R41" s="3">
        <v>54</v>
      </c>
      <c r="S41" s="3">
        <v>19</v>
      </c>
      <c r="T41" s="3">
        <v>0</v>
      </c>
      <c r="U41" s="3">
        <v>73</v>
      </c>
      <c r="V41" s="3">
        <v>71</v>
      </c>
      <c r="W41" s="3">
        <v>66</v>
      </c>
      <c r="X41" s="3">
        <v>57</v>
      </c>
      <c r="Y41" s="3">
        <v>56</v>
      </c>
      <c r="Z41" s="3">
        <v>19</v>
      </c>
      <c r="AA41" s="3">
        <v>0</v>
      </c>
      <c r="AB41" s="3">
        <v>75</v>
      </c>
      <c r="AC41" s="3">
        <v>71</v>
      </c>
      <c r="AD41" s="3">
        <v>62</v>
      </c>
      <c r="AE41" s="3">
        <v>50</v>
      </c>
    </row>
    <row r="42" spans="1:31" x14ac:dyDescent="0.25">
      <c r="A42" s="16">
        <v>0.83333333333333337</v>
      </c>
      <c r="B42" s="3">
        <v>60</v>
      </c>
      <c r="C42" s="3">
        <v>51</v>
      </c>
      <c r="D42" s="3">
        <v>48</v>
      </c>
      <c r="E42" s="3">
        <v>17</v>
      </c>
      <c r="F42" s="3">
        <v>0</v>
      </c>
      <c r="G42" s="3">
        <v>63</v>
      </c>
      <c r="H42" s="3">
        <v>62</v>
      </c>
      <c r="I42" s="3">
        <v>55</v>
      </c>
      <c r="J42" s="3">
        <v>47</v>
      </c>
      <c r="K42" s="3">
        <v>43</v>
      </c>
      <c r="L42" s="3">
        <v>16</v>
      </c>
      <c r="M42" s="3">
        <v>0</v>
      </c>
      <c r="N42" s="3">
        <v>59</v>
      </c>
      <c r="O42" s="3">
        <v>60</v>
      </c>
      <c r="P42" s="3">
        <v>54</v>
      </c>
      <c r="Q42" s="3">
        <v>47</v>
      </c>
      <c r="R42" s="3">
        <v>42</v>
      </c>
      <c r="S42" s="3">
        <v>16</v>
      </c>
      <c r="T42" s="3">
        <v>0</v>
      </c>
      <c r="U42" s="3">
        <v>60</v>
      </c>
      <c r="V42" s="3">
        <v>59</v>
      </c>
      <c r="W42" s="3">
        <v>54</v>
      </c>
      <c r="X42" s="3">
        <v>47</v>
      </c>
      <c r="Y42" s="3">
        <v>43</v>
      </c>
      <c r="Z42" s="3">
        <v>16</v>
      </c>
      <c r="AA42" s="3">
        <v>0</v>
      </c>
      <c r="AB42" s="3">
        <v>61</v>
      </c>
      <c r="AC42" s="3">
        <v>59</v>
      </c>
      <c r="AD42" s="3">
        <v>50</v>
      </c>
      <c r="AE42" s="3">
        <v>41</v>
      </c>
    </row>
    <row r="43" spans="1:31" x14ac:dyDescent="0.25">
      <c r="A43" s="16">
        <v>0.85416666666666663</v>
      </c>
      <c r="B43" s="3">
        <v>46</v>
      </c>
      <c r="C43" s="3">
        <v>40</v>
      </c>
      <c r="D43" s="3">
        <v>36</v>
      </c>
      <c r="E43" s="3">
        <v>16</v>
      </c>
      <c r="F43" s="3">
        <v>0</v>
      </c>
      <c r="G43" s="3">
        <v>49</v>
      </c>
      <c r="H43" s="3">
        <v>46</v>
      </c>
      <c r="I43" s="3">
        <v>41</v>
      </c>
      <c r="J43" s="3">
        <v>37</v>
      </c>
      <c r="K43" s="3">
        <v>32</v>
      </c>
      <c r="L43" s="3">
        <v>15</v>
      </c>
      <c r="M43" s="3">
        <v>0</v>
      </c>
      <c r="N43" s="3">
        <v>46</v>
      </c>
      <c r="O43" s="3">
        <v>45</v>
      </c>
      <c r="P43" s="3">
        <v>41</v>
      </c>
      <c r="Q43" s="3">
        <v>37</v>
      </c>
      <c r="R43" s="3">
        <v>31</v>
      </c>
      <c r="S43" s="3">
        <v>15</v>
      </c>
      <c r="T43" s="3">
        <v>0</v>
      </c>
      <c r="U43" s="3">
        <v>46</v>
      </c>
      <c r="V43" s="3">
        <v>44</v>
      </c>
      <c r="W43" s="3">
        <v>41</v>
      </c>
      <c r="X43" s="3">
        <v>37</v>
      </c>
      <c r="Y43" s="3">
        <v>32</v>
      </c>
      <c r="Z43" s="3">
        <v>15</v>
      </c>
      <c r="AA43" s="3">
        <v>0</v>
      </c>
      <c r="AB43" s="3">
        <v>47</v>
      </c>
      <c r="AC43" s="3">
        <v>44</v>
      </c>
      <c r="AD43" s="3">
        <v>38</v>
      </c>
      <c r="AE43" s="3">
        <v>32</v>
      </c>
    </row>
    <row r="44" spans="1:31" x14ac:dyDescent="0.25">
      <c r="A44" s="16">
        <v>0.875</v>
      </c>
      <c r="B44" s="3">
        <v>31</v>
      </c>
      <c r="C44" s="3">
        <v>29</v>
      </c>
      <c r="D44" s="3">
        <v>25</v>
      </c>
      <c r="E44" s="3">
        <v>0</v>
      </c>
      <c r="F44" s="3">
        <v>0</v>
      </c>
      <c r="G44" s="3">
        <v>35</v>
      </c>
      <c r="H44" s="3">
        <v>32</v>
      </c>
      <c r="I44" s="3">
        <v>29</v>
      </c>
      <c r="J44" s="3">
        <v>27</v>
      </c>
      <c r="K44" s="3">
        <v>22</v>
      </c>
      <c r="L44" s="3">
        <v>0</v>
      </c>
      <c r="M44" s="3">
        <v>0</v>
      </c>
      <c r="N44" s="3">
        <v>33</v>
      </c>
      <c r="O44" s="3">
        <v>31</v>
      </c>
      <c r="P44" s="3">
        <v>28</v>
      </c>
      <c r="Q44" s="3">
        <v>27</v>
      </c>
      <c r="R44" s="3">
        <v>21</v>
      </c>
      <c r="S44" s="3">
        <v>0</v>
      </c>
      <c r="T44" s="3">
        <v>0</v>
      </c>
      <c r="U44" s="3">
        <v>33</v>
      </c>
      <c r="V44" s="3">
        <v>30</v>
      </c>
      <c r="W44" s="3">
        <v>28</v>
      </c>
      <c r="X44" s="3">
        <v>27</v>
      </c>
      <c r="Y44" s="3">
        <v>22</v>
      </c>
      <c r="Z44" s="3">
        <v>0</v>
      </c>
      <c r="AA44" s="3">
        <v>0</v>
      </c>
      <c r="AB44" s="3">
        <v>34</v>
      </c>
      <c r="AC44" s="3">
        <v>30</v>
      </c>
      <c r="AD44" s="3">
        <v>26</v>
      </c>
      <c r="AE44" s="3">
        <v>23</v>
      </c>
    </row>
    <row r="45" spans="1:31" x14ac:dyDescent="0.25">
      <c r="A45" s="16">
        <v>0.89583333333333337</v>
      </c>
      <c r="B45" s="3">
        <v>21</v>
      </c>
      <c r="C45" s="3">
        <v>19</v>
      </c>
      <c r="D45" s="3">
        <v>16</v>
      </c>
      <c r="E45" s="3">
        <v>0</v>
      </c>
      <c r="F45" s="3">
        <v>0</v>
      </c>
      <c r="G45" s="3">
        <v>22</v>
      </c>
      <c r="H45" s="3">
        <v>21</v>
      </c>
      <c r="I45" s="3">
        <v>19</v>
      </c>
      <c r="J45" s="3">
        <v>18</v>
      </c>
      <c r="K45" s="3">
        <v>15</v>
      </c>
      <c r="L45" s="3">
        <v>0</v>
      </c>
      <c r="M45" s="3">
        <v>0</v>
      </c>
      <c r="N45" s="3">
        <v>21</v>
      </c>
      <c r="O45" s="3">
        <v>21</v>
      </c>
      <c r="P45" s="3">
        <v>19</v>
      </c>
      <c r="Q45" s="3">
        <v>18</v>
      </c>
      <c r="R45" s="3">
        <v>14</v>
      </c>
      <c r="S45" s="3">
        <v>0</v>
      </c>
      <c r="T45" s="3">
        <v>0</v>
      </c>
      <c r="U45" s="3">
        <v>21</v>
      </c>
      <c r="V45" s="3">
        <v>20</v>
      </c>
      <c r="W45" s="3">
        <v>19</v>
      </c>
      <c r="X45" s="3">
        <v>18</v>
      </c>
      <c r="Y45" s="3">
        <v>15</v>
      </c>
      <c r="Z45" s="3">
        <v>0</v>
      </c>
      <c r="AA45" s="3">
        <v>0</v>
      </c>
      <c r="AB45" s="3">
        <v>22</v>
      </c>
      <c r="AC45" s="3">
        <v>20</v>
      </c>
      <c r="AD45" s="3">
        <v>18</v>
      </c>
      <c r="AE45" s="3">
        <v>16</v>
      </c>
    </row>
    <row r="46" spans="1:31" x14ac:dyDescent="0.25">
      <c r="A46" s="16">
        <v>0.91666666666666663</v>
      </c>
      <c r="B46" s="3">
        <v>15</v>
      </c>
      <c r="C46" s="3">
        <v>14</v>
      </c>
      <c r="D46" s="3">
        <v>12</v>
      </c>
      <c r="E46" s="3">
        <v>0</v>
      </c>
      <c r="F46" s="3">
        <v>0</v>
      </c>
      <c r="G46" s="3">
        <v>16</v>
      </c>
      <c r="H46" s="3">
        <v>16</v>
      </c>
      <c r="I46" s="3">
        <v>14</v>
      </c>
      <c r="J46" s="3">
        <v>13</v>
      </c>
      <c r="K46" s="3">
        <v>11</v>
      </c>
      <c r="L46" s="3">
        <v>0</v>
      </c>
      <c r="M46" s="3">
        <v>0</v>
      </c>
      <c r="N46" s="3">
        <v>15</v>
      </c>
      <c r="O46" s="3">
        <v>15</v>
      </c>
      <c r="P46" s="3">
        <v>14</v>
      </c>
      <c r="Q46" s="3">
        <v>13</v>
      </c>
      <c r="R46" s="3">
        <v>10</v>
      </c>
      <c r="S46" s="3">
        <v>0</v>
      </c>
      <c r="T46" s="3">
        <v>0</v>
      </c>
      <c r="U46" s="3">
        <v>15</v>
      </c>
      <c r="V46" s="3">
        <v>15</v>
      </c>
      <c r="W46" s="3">
        <v>14</v>
      </c>
      <c r="X46" s="3">
        <v>13</v>
      </c>
      <c r="Y46" s="3">
        <v>11</v>
      </c>
      <c r="Z46" s="3">
        <v>0</v>
      </c>
      <c r="AA46" s="3">
        <v>0</v>
      </c>
      <c r="AB46" s="3">
        <v>15</v>
      </c>
      <c r="AC46" s="3">
        <v>15</v>
      </c>
      <c r="AD46" s="3">
        <v>13</v>
      </c>
      <c r="AE46" s="3">
        <v>11</v>
      </c>
    </row>
    <row r="47" spans="1:31" x14ac:dyDescent="0.25">
      <c r="A47" s="16">
        <v>0.9375</v>
      </c>
      <c r="B47" s="3">
        <v>12</v>
      </c>
      <c r="C47" s="3">
        <v>12</v>
      </c>
      <c r="D47" s="3">
        <v>10</v>
      </c>
      <c r="E47" s="3">
        <v>0</v>
      </c>
      <c r="F47" s="3">
        <v>0</v>
      </c>
      <c r="G47" s="3">
        <v>12</v>
      </c>
      <c r="H47" s="3">
        <v>13</v>
      </c>
      <c r="I47" s="3">
        <v>11</v>
      </c>
      <c r="J47" s="3">
        <v>11</v>
      </c>
      <c r="K47" s="3">
        <v>9</v>
      </c>
      <c r="L47" s="3">
        <v>0</v>
      </c>
      <c r="M47" s="3">
        <v>0</v>
      </c>
      <c r="N47" s="3">
        <v>11</v>
      </c>
      <c r="O47" s="3">
        <v>13</v>
      </c>
      <c r="P47" s="3">
        <v>11</v>
      </c>
      <c r="Q47" s="3">
        <v>11</v>
      </c>
      <c r="R47" s="3">
        <v>9</v>
      </c>
      <c r="S47" s="3">
        <v>0</v>
      </c>
      <c r="T47" s="3">
        <v>0</v>
      </c>
      <c r="U47" s="3">
        <v>11</v>
      </c>
      <c r="V47" s="3">
        <v>13</v>
      </c>
      <c r="W47" s="3">
        <v>11</v>
      </c>
      <c r="X47" s="3">
        <v>11</v>
      </c>
      <c r="Y47" s="3">
        <v>9</v>
      </c>
      <c r="Z47" s="3">
        <v>0</v>
      </c>
      <c r="AA47" s="3">
        <v>0</v>
      </c>
      <c r="AB47" s="3">
        <v>12</v>
      </c>
      <c r="AC47" s="3">
        <v>13</v>
      </c>
      <c r="AD47" s="3">
        <v>10</v>
      </c>
      <c r="AE47" s="3">
        <v>9</v>
      </c>
    </row>
    <row r="48" spans="1:31" x14ac:dyDescent="0.25">
      <c r="A48" s="16">
        <v>0.95833333333333337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spans="1:33" x14ac:dyDescent="0.25">
      <c r="A49" s="16">
        <v>0.97916666666666663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1:33" x14ac:dyDescent="0.25">
      <c r="A50" s="17" t="s">
        <v>60</v>
      </c>
      <c r="B50" s="18">
        <f>SUM(B2:B49)</f>
        <v>2425</v>
      </c>
      <c r="C50" s="18">
        <f t="shared" ref="C50:AF50" si="1">SUM(C2:C49)</f>
        <v>2207</v>
      </c>
      <c r="D50" s="18">
        <f t="shared" si="1"/>
        <v>2251</v>
      </c>
      <c r="E50" s="18">
        <f t="shared" si="1"/>
        <v>777</v>
      </c>
      <c r="F50" s="18">
        <f t="shared" si="1"/>
        <v>0</v>
      </c>
      <c r="G50" s="18">
        <f t="shared" si="1"/>
        <v>2889</v>
      </c>
      <c r="H50" s="18">
        <f t="shared" si="1"/>
        <v>2387</v>
      </c>
      <c r="I50" s="18">
        <f t="shared" si="1"/>
        <v>2196</v>
      </c>
      <c r="J50" s="18">
        <f t="shared" si="1"/>
        <v>2047</v>
      </c>
      <c r="K50" s="18">
        <f t="shared" si="1"/>
        <v>2020</v>
      </c>
      <c r="L50" s="18">
        <f t="shared" si="1"/>
        <v>740</v>
      </c>
      <c r="M50" s="18">
        <f t="shared" si="1"/>
        <v>0</v>
      </c>
      <c r="N50" s="18">
        <f t="shared" si="1"/>
        <v>2711</v>
      </c>
      <c r="O50" s="18">
        <f t="shared" si="1"/>
        <v>2301</v>
      </c>
      <c r="P50" s="18">
        <f t="shared" si="1"/>
        <v>2171</v>
      </c>
      <c r="Q50" s="18">
        <f t="shared" si="1"/>
        <v>2030</v>
      </c>
      <c r="R50" s="18">
        <f t="shared" si="1"/>
        <v>1961</v>
      </c>
      <c r="S50" s="18">
        <f t="shared" si="1"/>
        <v>730</v>
      </c>
      <c r="T50" s="18">
        <f t="shared" si="1"/>
        <v>0</v>
      </c>
      <c r="U50" s="18">
        <f t="shared" si="1"/>
        <v>2732</v>
      </c>
      <c r="V50" s="18">
        <f t="shared" si="1"/>
        <v>2266</v>
      </c>
      <c r="W50" s="18">
        <f t="shared" si="1"/>
        <v>2181</v>
      </c>
      <c r="X50" s="18">
        <f t="shared" si="1"/>
        <v>2043</v>
      </c>
      <c r="Y50" s="18">
        <f t="shared" si="1"/>
        <v>2014</v>
      </c>
      <c r="Z50" s="18">
        <f t="shared" si="1"/>
        <v>724</v>
      </c>
      <c r="AA50" s="18">
        <f t="shared" si="1"/>
        <v>0</v>
      </c>
      <c r="AB50" s="18">
        <f t="shared" si="1"/>
        <v>2793</v>
      </c>
      <c r="AC50" s="18">
        <f t="shared" si="1"/>
        <v>2270</v>
      </c>
      <c r="AD50" s="18">
        <f t="shared" si="1"/>
        <v>2025</v>
      </c>
      <c r="AE50" s="18">
        <f t="shared" si="1"/>
        <v>1783</v>
      </c>
      <c r="AF50" s="18">
        <f t="shared" si="1"/>
        <v>0</v>
      </c>
      <c r="AG50" s="13">
        <f>SUM(B50:AF50)</f>
        <v>52674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3DB42-59F7-4C51-BA3E-6B842B6F7AAA}">
  <sheetPr>
    <tabColor rgb="FF00B050"/>
  </sheetPr>
  <dimension ref="A1:AG53"/>
  <sheetViews>
    <sheetView zoomScale="75" zoomScaleNormal="75" workbookViewId="0">
      <pane xSplit="1" ySplit="18" topLeftCell="B19" activePane="bottomRight" state="frozen"/>
      <selection activeCell="I28" sqref="I28"/>
      <selection pane="topRight" activeCell="I28" sqref="I28"/>
      <selection pane="bottomLeft" activeCell="I28" sqref="I28"/>
      <selection pane="bottomRight" activeCell="I28" sqref="I28"/>
    </sheetView>
  </sheetViews>
  <sheetFormatPr defaultColWidth="9.140625" defaultRowHeight="15" x14ac:dyDescent="0.25"/>
  <cols>
    <col min="1" max="1" width="11" style="3" bestFit="1" customWidth="1"/>
    <col min="2" max="10" width="7.7109375" style="3" bestFit="1" customWidth="1"/>
    <col min="11" max="31" width="8.85546875" style="3" bestFit="1" customWidth="1"/>
    <col min="32" max="32" width="7.7109375" style="3" bestFit="1" customWidth="1"/>
    <col min="33" max="33" width="7.5703125" style="3" bestFit="1" customWidth="1"/>
    <col min="34" max="16384" width="9.140625" style="3"/>
  </cols>
  <sheetData>
    <row r="1" spans="1:32" x14ac:dyDescent="0.25">
      <c r="A1" s="14" t="s">
        <v>0</v>
      </c>
      <c r="B1" s="2">
        <f>'V-FTE Apr'!B1</f>
        <v>46113</v>
      </c>
      <c r="C1" s="2">
        <f>'V-FTE Apr'!C1</f>
        <v>46114</v>
      </c>
      <c r="D1" s="2">
        <f>'V-FTE Apr'!D1</f>
        <v>46115</v>
      </c>
      <c r="E1" s="2">
        <f>'V-FTE Apr'!E1</f>
        <v>46116</v>
      </c>
      <c r="F1" s="2">
        <f>'V-FTE Apr'!F1</f>
        <v>46117</v>
      </c>
      <c r="G1" s="2">
        <f>'V-FTE Apr'!G1</f>
        <v>46118</v>
      </c>
      <c r="H1" s="2">
        <f>'V-FTE Apr'!H1</f>
        <v>46119</v>
      </c>
      <c r="I1" s="2">
        <f>'V-FTE Apr'!I1</f>
        <v>46120</v>
      </c>
      <c r="J1" s="2">
        <f>'V-FTE Apr'!J1</f>
        <v>46121</v>
      </c>
      <c r="K1" s="2">
        <f>'V-FTE Apr'!K1</f>
        <v>46122</v>
      </c>
      <c r="L1" s="2">
        <f>'V-FTE Apr'!L1</f>
        <v>46123</v>
      </c>
      <c r="M1" s="2">
        <f>'V-FTE Apr'!M1</f>
        <v>46124</v>
      </c>
      <c r="N1" s="2">
        <f>'V-FTE Apr'!N1</f>
        <v>46125</v>
      </c>
      <c r="O1" s="2">
        <f>'V-FTE Apr'!O1</f>
        <v>46126</v>
      </c>
      <c r="P1" s="2">
        <f>'V-FTE Apr'!P1</f>
        <v>46127</v>
      </c>
      <c r="Q1" s="2">
        <f>'V-FTE Apr'!Q1</f>
        <v>46128</v>
      </c>
      <c r="R1" s="2">
        <f>'V-FTE Apr'!R1</f>
        <v>46129</v>
      </c>
      <c r="S1" s="2">
        <f>'V-FTE Apr'!S1</f>
        <v>46130</v>
      </c>
      <c r="T1" s="2">
        <f>'V-FTE Apr'!T1</f>
        <v>46131</v>
      </c>
      <c r="U1" s="2">
        <f>'V-FTE Apr'!U1</f>
        <v>46132</v>
      </c>
      <c r="V1" s="2">
        <f>'V-FTE Apr'!V1</f>
        <v>46133</v>
      </c>
      <c r="W1" s="2">
        <f>'V-FTE Apr'!W1</f>
        <v>46134</v>
      </c>
      <c r="X1" s="2">
        <f>'V-FTE Apr'!X1</f>
        <v>46135</v>
      </c>
      <c r="Y1" s="2">
        <f>'V-FTE Apr'!Y1</f>
        <v>46136</v>
      </c>
      <c r="Z1" s="2">
        <f>'V-FTE Apr'!Z1</f>
        <v>46137</v>
      </c>
      <c r="AA1" s="2">
        <f>'V-FTE Apr'!AA1</f>
        <v>46138</v>
      </c>
      <c r="AB1" s="2">
        <f>'V-FTE Apr'!AB1</f>
        <v>46139</v>
      </c>
      <c r="AC1" s="2">
        <f>'V-FTE Apr'!AC1</f>
        <v>46140</v>
      </c>
      <c r="AD1" s="2">
        <f>'V-FTE Apr'!AD1</f>
        <v>46141</v>
      </c>
      <c r="AE1" s="2">
        <f>'V-FTE Apr'!AE1</f>
        <v>46142</v>
      </c>
      <c r="AF1" s="2">
        <f>'V-FTE Apr'!AF1</f>
        <v>46143</v>
      </c>
    </row>
    <row r="2" spans="1:32" x14ac:dyDescent="0.25">
      <c r="A2" s="15"/>
      <c r="B2" s="5" t="str">
        <f>TEXT(B1,"ddd")</f>
        <v>Wed</v>
      </c>
      <c r="C2" s="5" t="str">
        <f t="shared" ref="C2:AF2" si="0">TEXT(C1,"ddd")</f>
        <v>Thu</v>
      </c>
      <c r="D2" s="5" t="str">
        <f t="shared" si="0"/>
        <v>Fri</v>
      </c>
      <c r="E2" s="5" t="str">
        <f t="shared" si="0"/>
        <v>Sat</v>
      </c>
      <c r="F2" s="5" t="str">
        <f t="shared" si="0"/>
        <v>Sun</v>
      </c>
      <c r="G2" s="5" t="str">
        <f t="shared" si="0"/>
        <v>Mon</v>
      </c>
      <c r="H2" s="5" t="str">
        <f t="shared" si="0"/>
        <v>Tue</v>
      </c>
      <c r="I2" s="5" t="str">
        <f t="shared" si="0"/>
        <v>Wed</v>
      </c>
      <c r="J2" s="5" t="str">
        <f t="shared" si="0"/>
        <v>Thu</v>
      </c>
      <c r="K2" s="5" t="str">
        <f t="shared" si="0"/>
        <v>Fri</v>
      </c>
      <c r="L2" s="5" t="str">
        <f t="shared" si="0"/>
        <v>Sat</v>
      </c>
      <c r="M2" s="5" t="str">
        <f t="shared" si="0"/>
        <v>Sun</v>
      </c>
      <c r="N2" s="5" t="str">
        <f t="shared" si="0"/>
        <v>Mon</v>
      </c>
      <c r="O2" s="5" t="str">
        <f t="shared" si="0"/>
        <v>Tue</v>
      </c>
      <c r="P2" s="5" t="str">
        <f t="shared" si="0"/>
        <v>Wed</v>
      </c>
      <c r="Q2" s="5" t="str">
        <f t="shared" si="0"/>
        <v>Thu</v>
      </c>
      <c r="R2" s="5" t="str">
        <f t="shared" si="0"/>
        <v>Fri</v>
      </c>
      <c r="S2" s="5" t="str">
        <f t="shared" si="0"/>
        <v>Sat</v>
      </c>
      <c r="T2" s="5" t="str">
        <f t="shared" si="0"/>
        <v>Sun</v>
      </c>
      <c r="U2" s="5" t="str">
        <f t="shared" si="0"/>
        <v>Mon</v>
      </c>
      <c r="V2" s="5" t="str">
        <f t="shared" si="0"/>
        <v>Tue</v>
      </c>
      <c r="W2" s="5" t="str">
        <f t="shared" si="0"/>
        <v>Wed</v>
      </c>
      <c r="X2" s="5" t="str">
        <f t="shared" si="0"/>
        <v>Thu</v>
      </c>
      <c r="Y2" s="5" t="str">
        <f t="shared" si="0"/>
        <v>Fri</v>
      </c>
      <c r="Z2" s="5" t="str">
        <f t="shared" si="0"/>
        <v>Sat</v>
      </c>
      <c r="AA2" s="5" t="str">
        <f t="shared" si="0"/>
        <v>Sun</v>
      </c>
      <c r="AB2" s="5" t="str">
        <f t="shared" si="0"/>
        <v>Mon</v>
      </c>
      <c r="AC2" s="5" t="str">
        <f t="shared" si="0"/>
        <v>Tue</v>
      </c>
      <c r="AD2" s="5" t="str">
        <f t="shared" si="0"/>
        <v>Wed</v>
      </c>
      <c r="AE2" s="5" t="str">
        <f t="shared" si="0"/>
        <v>Thu</v>
      </c>
      <c r="AF2" s="5" t="str">
        <f t="shared" si="0"/>
        <v>Fri</v>
      </c>
    </row>
    <row r="3" spans="1:32" x14ac:dyDescent="0.25">
      <c r="A3" s="3" t="s">
        <v>8</v>
      </c>
      <c r="B3" s="7">
        <f>'V-FTE Mar'!B3/2</f>
        <v>0</v>
      </c>
      <c r="C3" s="7">
        <f>'V-FTE Mar'!C3/2</f>
        <v>0</v>
      </c>
      <c r="D3" s="7">
        <f>'V-FTE Mar'!D3/2</f>
        <v>0</v>
      </c>
      <c r="E3" s="7">
        <f>'V-FTE Mar'!E3/2</f>
        <v>0</v>
      </c>
      <c r="F3" s="7">
        <f>'V-FTE Mar'!F3/2</f>
        <v>0</v>
      </c>
      <c r="G3" s="7">
        <f>'V-FTE Mar'!G3/2</f>
        <v>0</v>
      </c>
      <c r="H3" s="7">
        <f>'V-FTE Mar'!H3/2</f>
        <v>0</v>
      </c>
      <c r="I3" s="7">
        <f>'V-FTE Mar'!I3/2</f>
        <v>0</v>
      </c>
      <c r="J3" s="7">
        <f>'V-FTE Mar'!J3/2</f>
        <v>0</v>
      </c>
      <c r="K3" s="7">
        <f>'V-FTE Mar'!K3/2</f>
        <v>0</v>
      </c>
      <c r="L3" s="7">
        <f>'V-FTE Mar'!L3/2</f>
        <v>0</v>
      </c>
      <c r="M3" s="7">
        <f>'V-FTE Mar'!M3/2</f>
        <v>0</v>
      </c>
      <c r="N3" s="7">
        <f>'V-FTE Mar'!N3/2</f>
        <v>0</v>
      </c>
      <c r="O3" s="7">
        <f>'V-FTE Mar'!O3/2</f>
        <v>0</v>
      </c>
      <c r="P3" s="7">
        <f>'V-FTE Mar'!P3/2</f>
        <v>0</v>
      </c>
      <c r="Q3" s="7">
        <f>'V-FTE Mar'!Q3/2</f>
        <v>0</v>
      </c>
      <c r="R3" s="7">
        <f>'V-FTE Mar'!R3/2</f>
        <v>0</v>
      </c>
      <c r="S3" s="7">
        <f>'V-FTE Mar'!S3/2</f>
        <v>0</v>
      </c>
      <c r="T3" s="7">
        <f>'V-FTE Mar'!T3/2</f>
        <v>0</v>
      </c>
      <c r="U3" s="7">
        <f>'V-FTE Mar'!U3/2</f>
        <v>0</v>
      </c>
      <c r="V3" s="7">
        <f>'V-FTE Mar'!V3/2</f>
        <v>0</v>
      </c>
      <c r="W3" s="7">
        <f>'V-FTE Mar'!W3/2</f>
        <v>0</v>
      </c>
      <c r="X3" s="7">
        <f>'V-FTE Mar'!X3/2</f>
        <v>0</v>
      </c>
      <c r="Y3" s="7">
        <f>'V-FTE Mar'!Y3/2</f>
        <v>0</v>
      </c>
      <c r="Z3" s="7">
        <f>'V-FTE Mar'!Z3/2</f>
        <v>0</v>
      </c>
      <c r="AA3" s="7">
        <f>'V-FTE Mar'!AA3/2</f>
        <v>0</v>
      </c>
      <c r="AB3" s="7">
        <f>'V-FTE Mar'!AB3/2</f>
        <v>0</v>
      </c>
      <c r="AC3" s="7">
        <f>'V-FTE Mar'!AC3/2</f>
        <v>0</v>
      </c>
      <c r="AD3" s="7">
        <f>'V-FTE Mar'!AD3/2</f>
        <v>0</v>
      </c>
      <c r="AE3" s="7">
        <f>'V-FTE Mar'!AE3/2</f>
        <v>0</v>
      </c>
    </row>
    <row r="4" spans="1:32" x14ac:dyDescent="0.25">
      <c r="A4" s="3" t="s">
        <v>9</v>
      </c>
      <c r="B4" s="7">
        <f>'V-FTE Mar'!B4/2</f>
        <v>0</v>
      </c>
      <c r="C4" s="7">
        <f>'V-FTE Mar'!C4/2</f>
        <v>0</v>
      </c>
      <c r="D4" s="7">
        <f>'V-FTE Mar'!D4/2</f>
        <v>0</v>
      </c>
      <c r="E4" s="7">
        <f>'V-FTE Mar'!E4/2</f>
        <v>0</v>
      </c>
      <c r="F4" s="7">
        <f>'V-FTE Mar'!F4/2</f>
        <v>0</v>
      </c>
      <c r="G4" s="7">
        <f>'V-FTE Mar'!G4/2</f>
        <v>0</v>
      </c>
      <c r="H4" s="7">
        <f>'V-FTE Mar'!H4/2</f>
        <v>0</v>
      </c>
      <c r="I4" s="7">
        <f>'V-FTE Mar'!I4/2</f>
        <v>0</v>
      </c>
      <c r="J4" s="7">
        <f>'V-FTE Mar'!J4/2</f>
        <v>0</v>
      </c>
      <c r="K4" s="7">
        <f>'V-FTE Mar'!K4/2</f>
        <v>0</v>
      </c>
      <c r="L4" s="7">
        <f>'V-FTE Mar'!L4/2</f>
        <v>0</v>
      </c>
      <c r="M4" s="7">
        <f>'V-FTE Mar'!M4/2</f>
        <v>0</v>
      </c>
      <c r="N4" s="7">
        <f>'V-FTE Mar'!N4/2</f>
        <v>0</v>
      </c>
      <c r="O4" s="7">
        <f>'V-FTE Mar'!O4/2</f>
        <v>0</v>
      </c>
      <c r="P4" s="7">
        <f>'V-FTE Mar'!P4/2</f>
        <v>0</v>
      </c>
      <c r="Q4" s="7">
        <f>'V-FTE Mar'!Q4/2</f>
        <v>0</v>
      </c>
      <c r="R4" s="7">
        <f>'V-FTE Mar'!R4/2</f>
        <v>0</v>
      </c>
      <c r="S4" s="7">
        <f>'V-FTE Mar'!S4/2</f>
        <v>0</v>
      </c>
      <c r="T4" s="7">
        <f>'V-FTE Mar'!T4/2</f>
        <v>0</v>
      </c>
      <c r="U4" s="7">
        <f>'V-FTE Mar'!U4/2</f>
        <v>0</v>
      </c>
      <c r="V4" s="7">
        <f>'V-FTE Mar'!V4/2</f>
        <v>0</v>
      </c>
      <c r="W4" s="7">
        <f>'V-FTE Mar'!W4/2</f>
        <v>0</v>
      </c>
      <c r="X4" s="7">
        <f>'V-FTE Mar'!X4/2</f>
        <v>0</v>
      </c>
      <c r="Y4" s="7">
        <f>'V-FTE Mar'!Y4/2</f>
        <v>0</v>
      </c>
      <c r="Z4" s="7">
        <f>'V-FTE Mar'!Z4/2</f>
        <v>0</v>
      </c>
      <c r="AA4" s="7">
        <f>'V-FTE Mar'!AA4/2</f>
        <v>0</v>
      </c>
      <c r="AB4" s="7">
        <f>'V-FTE Mar'!AB4/2</f>
        <v>0</v>
      </c>
      <c r="AC4" s="7">
        <f>'V-FTE Mar'!AC4/2</f>
        <v>0</v>
      </c>
      <c r="AD4" s="7">
        <f>'V-FTE Mar'!AD4/2</f>
        <v>0</v>
      </c>
      <c r="AE4" s="7">
        <f>'V-FTE Mar'!AE4/2</f>
        <v>0</v>
      </c>
    </row>
    <row r="5" spans="1:32" x14ac:dyDescent="0.25">
      <c r="A5" s="3" t="s">
        <v>10</v>
      </c>
      <c r="B5" s="7">
        <f>'V-FTE Mar'!B5/2</f>
        <v>0</v>
      </c>
      <c r="C5" s="7">
        <f>'V-FTE Mar'!C5/2</f>
        <v>0</v>
      </c>
      <c r="D5" s="7">
        <f>'V-FTE Mar'!D5/2</f>
        <v>0</v>
      </c>
      <c r="E5" s="7">
        <f>'V-FTE Mar'!E5/2</f>
        <v>0</v>
      </c>
      <c r="F5" s="7">
        <f>'V-FTE Mar'!F5/2</f>
        <v>0</v>
      </c>
      <c r="G5" s="7">
        <f>'V-FTE Mar'!G5/2</f>
        <v>0</v>
      </c>
      <c r="H5" s="7">
        <f>'V-FTE Mar'!H5/2</f>
        <v>0</v>
      </c>
      <c r="I5" s="7">
        <f>'V-FTE Mar'!I5/2</f>
        <v>0</v>
      </c>
      <c r="J5" s="7">
        <f>'V-FTE Mar'!J5/2</f>
        <v>0</v>
      </c>
      <c r="K5" s="7">
        <f>'V-FTE Mar'!K5/2</f>
        <v>0</v>
      </c>
      <c r="L5" s="7">
        <f>'V-FTE Mar'!L5/2</f>
        <v>0</v>
      </c>
      <c r="M5" s="7">
        <f>'V-FTE Mar'!M5/2</f>
        <v>0</v>
      </c>
      <c r="N5" s="7">
        <f>'V-FTE Mar'!N5/2</f>
        <v>0</v>
      </c>
      <c r="O5" s="7">
        <f>'V-FTE Mar'!O5/2</f>
        <v>0</v>
      </c>
      <c r="P5" s="7">
        <f>'V-FTE Mar'!P5/2</f>
        <v>0</v>
      </c>
      <c r="Q5" s="7">
        <f>'V-FTE Mar'!Q5/2</f>
        <v>0</v>
      </c>
      <c r="R5" s="7">
        <f>'V-FTE Mar'!R5/2</f>
        <v>0</v>
      </c>
      <c r="S5" s="7">
        <f>'V-FTE Mar'!S5/2</f>
        <v>0</v>
      </c>
      <c r="T5" s="7">
        <f>'V-FTE Mar'!T5/2</f>
        <v>0</v>
      </c>
      <c r="U5" s="7">
        <f>'V-FTE Mar'!U5/2</f>
        <v>0</v>
      </c>
      <c r="V5" s="7">
        <f>'V-FTE Mar'!V5/2</f>
        <v>0</v>
      </c>
      <c r="W5" s="7">
        <f>'V-FTE Mar'!W5/2</f>
        <v>0</v>
      </c>
      <c r="X5" s="7">
        <f>'V-FTE Mar'!X5/2</f>
        <v>0</v>
      </c>
      <c r="Y5" s="7">
        <f>'V-FTE Mar'!Y5/2</f>
        <v>0</v>
      </c>
      <c r="Z5" s="7">
        <f>'V-FTE Mar'!Z5/2</f>
        <v>0</v>
      </c>
      <c r="AA5" s="7">
        <f>'V-FTE Mar'!AA5/2</f>
        <v>0</v>
      </c>
      <c r="AB5" s="7">
        <f>'V-FTE Mar'!AB5/2</f>
        <v>0</v>
      </c>
      <c r="AC5" s="7">
        <f>'V-FTE Mar'!AC5/2</f>
        <v>0</v>
      </c>
      <c r="AD5" s="7">
        <f>'V-FTE Mar'!AD5/2</f>
        <v>0</v>
      </c>
      <c r="AE5" s="7">
        <f>'V-FTE Mar'!AE5/2</f>
        <v>0</v>
      </c>
    </row>
    <row r="6" spans="1:32" x14ac:dyDescent="0.25">
      <c r="A6" s="3" t="s">
        <v>11</v>
      </c>
      <c r="B6" s="7">
        <f>'V-FTE Mar'!B6/2</f>
        <v>0</v>
      </c>
      <c r="C6" s="7">
        <f>'V-FTE Mar'!C6/2</f>
        <v>0</v>
      </c>
      <c r="D6" s="7">
        <f>'V-FTE Mar'!D6/2</f>
        <v>0</v>
      </c>
      <c r="E6" s="7">
        <f>'V-FTE Mar'!E6/2</f>
        <v>0</v>
      </c>
      <c r="F6" s="7">
        <f>'V-FTE Mar'!F6/2</f>
        <v>0</v>
      </c>
      <c r="G6" s="7">
        <f>'V-FTE Mar'!G6/2</f>
        <v>0</v>
      </c>
      <c r="H6" s="7">
        <f>'V-FTE Mar'!H6/2</f>
        <v>0</v>
      </c>
      <c r="I6" s="7">
        <f>'V-FTE Mar'!I6/2</f>
        <v>0</v>
      </c>
      <c r="J6" s="7">
        <f>'V-FTE Mar'!J6/2</f>
        <v>0</v>
      </c>
      <c r="K6" s="7">
        <f>'V-FTE Mar'!K6/2</f>
        <v>0</v>
      </c>
      <c r="L6" s="7">
        <f>'V-FTE Mar'!L6/2</f>
        <v>0</v>
      </c>
      <c r="M6" s="7">
        <f>'V-FTE Mar'!M6/2</f>
        <v>0</v>
      </c>
      <c r="N6" s="7">
        <f>'V-FTE Mar'!N6/2</f>
        <v>0</v>
      </c>
      <c r="O6" s="7">
        <f>'V-FTE Mar'!O6/2</f>
        <v>0</v>
      </c>
      <c r="P6" s="7">
        <f>'V-FTE Mar'!P6/2</f>
        <v>0</v>
      </c>
      <c r="Q6" s="7">
        <f>'V-FTE Mar'!Q6/2</f>
        <v>0</v>
      </c>
      <c r="R6" s="7">
        <f>'V-FTE Mar'!R6/2</f>
        <v>0</v>
      </c>
      <c r="S6" s="7">
        <f>'V-FTE Mar'!S6/2</f>
        <v>0</v>
      </c>
      <c r="T6" s="7">
        <f>'V-FTE Mar'!T6/2</f>
        <v>0</v>
      </c>
      <c r="U6" s="7">
        <f>'V-FTE Mar'!U6/2</f>
        <v>0</v>
      </c>
      <c r="V6" s="7">
        <f>'V-FTE Mar'!V6/2</f>
        <v>0</v>
      </c>
      <c r="W6" s="7">
        <f>'V-FTE Mar'!W6/2</f>
        <v>0</v>
      </c>
      <c r="X6" s="7">
        <f>'V-FTE Mar'!X6/2</f>
        <v>0</v>
      </c>
      <c r="Y6" s="7">
        <f>'V-FTE Mar'!Y6/2</f>
        <v>0</v>
      </c>
      <c r="Z6" s="7">
        <f>'V-FTE Mar'!Z6/2</f>
        <v>0</v>
      </c>
      <c r="AA6" s="7">
        <f>'V-FTE Mar'!AA6/2</f>
        <v>0</v>
      </c>
      <c r="AB6" s="7">
        <f>'V-FTE Mar'!AB6/2</f>
        <v>0</v>
      </c>
      <c r="AC6" s="7">
        <f>'V-FTE Mar'!AC6/2</f>
        <v>0</v>
      </c>
      <c r="AD6" s="7">
        <f>'V-FTE Mar'!AD6/2</f>
        <v>0</v>
      </c>
      <c r="AE6" s="7">
        <f>'V-FTE Mar'!AE6/2</f>
        <v>0</v>
      </c>
    </row>
    <row r="7" spans="1:32" x14ac:dyDescent="0.25">
      <c r="A7" s="3" t="s">
        <v>12</v>
      </c>
      <c r="B7" s="7">
        <f>'V-FTE Mar'!B7/2</f>
        <v>0</v>
      </c>
      <c r="C7" s="7">
        <f>'V-FTE Mar'!C7/2</f>
        <v>0</v>
      </c>
      <c r="D7" s="7">
        <f>'V-FTE Mar'!D7/2</f>
        <v>0</v>
      </c>
      <c r="E7" s="7">
        <f>'V-FTE Mar'!E7/2</f>
        <v>0</v>
      </c>
      <c r="F7" s="7">
        <f>'V-FTE Mar'!F7/2</f>
        <v>0</v>
      </c>
      <c r="G7" s="7">
        <f>'V-FTE Mar'!G7/2</f>
        <v>0</v>
      </c>
      <c r="H7" s="7">
        <f>'V-FTE Mar'!H7/2</f>
        <v>0</v>
      </c>
      <c r="I7" s="7">
        <f>'V-FTE Mar'!I7/2</f>
        <v>0</v>
      </c>
      <c r="J7" s="7">
        <f>'V-FTE Mar'!J7/2</f>
        <v>0</v>
      </c>
      <c r="K7" s="7">
        <f>'V-FTE Mar'!K7/2</f>
        <v>0</v>
      </c>
      <c r="L7" s="7">
        <f>'V-FTE Mar'!L7/2</f>
        <v>0</v>
      </c>
      <c r="M7" s="7">
        <f>'V-FTE Mar'!M7/2</f>
        <v>0</v>
      </c>
      <c r="N7" s="7">
        <f>'V-FTE Mar'!N7/2</f>
        <v>0</v>
      </c>
      <c r="O7" s="7">
        <f>'V-FTE Mar'!O7/2</f>
        <v>0</v>
      </c>
      <c r="P7" s="7">
        <f>'V-FTE Mar'!P7/2</f>
        <v>0</v>
      </c>
      <c r="Q7" s="7">
        <f>'V-FTE Mar'!Q7/2</f>
        <v>0</v>
      </c>
      <c r="R7" s="7">
        <f>'V-FTE Mar'!R7/2</f>
        <v>0</v>
      </c>
      <c r="S7" s="7">
        <f>'V-FTE Mar'!S7/2</f>
        <v>0</v>
      </c>
      <c r="T7" s="7">
        <f>'V-FTE Mar'!T7/2</f>
        <v>0</v>
      </c>
      <c r="U7" s="7">
        <f>'V-FTE Mar'!U7/2</f>
        <v>0</v>
      </c>
      <c r="V7" s="7">
        <f>'V-FTE Mar'!V7/2</f>
        <v>0</v>
      </c>
      <c r="W7" s="7">
        <f>'V-FTE Mar'!W7/2</f>
        <v>0</v>
      </c>
      <c r="X7" s="7">
        <f>'V-FTE Mar'!X7/2</f>
        <v>0</v>
      </c>
      <c r="Y7" s="7">
        <f>'V-FTE Mar'!Y7/2</f>
        <v>0</v>
      </c>
      <c r="Z7" s="7">
        <f>'V-FTE Mar'!Z7/2</f>
        <v>0</v>
      </c>
      <c r="AA7" s="7">
        <f>'V-FTE Mar'!AA7/2</f>
        <v>0</v>
      </c>
      <c r="AB7" s="7">
        <f>'V-FTE Mar'!AB7/2</f>
        <v>0</v>
      </c>
      <c r="AC7" s="7">
        <f>'V-FTE Mar'!AC7/2</f>
        <v>0</v>
      </c>
      <c r="AD7" s="7">
        <f>'V-FTE Mar'!AD7/2</f>
        <v>0</v>
      </c>
      <c r="AE7" s="7">
        <f>'V-FTE Mar'!AE7/2</f>
        <v>0</v>
      </c>
    </row>
    <row r="8" spans="1:32" x14ac:dyDescent="0.25">
      <c r="A8" s="3" t="s">
        <v>13</v>
      </c>
      <c r="B8" s="7">
        <f>'V-FTE Mar'!B8/2</f>
        <v>0</v>
      </c>
      <c r="C8" s="7">
        <f>'V-FTE Mar'!C8/2</f>
        <v>0</v>
      </c>
      <c r="D8" s="7">
        <f>'V-FTE Mar'!D8/2</f>
        <v>0</v>
      </c>
      <c r="E8" s="7">
        <f>'V-FTE Mar'!E8/2</f>
        <v>0</v>
      </c>
      <c r="F8" s="7">
        <f>'V-FTE Mar'!F8/2</f>
        <v>0</v>
      </c>
      <c r="G8" s="7">
        <f>'V-FTE Mar'!G8/2</f>
        <v>0</v>
      </c>
      <c r="H8" s="7">
        <f>'V-FTE Mar'!H8/2</f>
        <v>0</v>
      </c>
      <c r="I8" s="7">
        <f>'V-FTE Mar'!I8/2</f>
        <v>0</v>
      </c>
      <c r="J8" s="7">
        <f>'V-FTE Mar'!J8/2</f>
        <v>0</v>
      </c>
      <c r="K8" s="7">
        <f>'V-FTE Mar'!K8/2</f>
        <v>0</v>
      </c>
      <c r="L8" s="7">
        <f>'V-FTE Mar'!L8/2</f>
        <v>0</v>
      </c>
      <c r="M8" s="7">
        <f>'V-FTE Mar'!M8/2</f>
        <v>0</v>
      </c>
      <c r="N8" s="7">
        <f>'V-FTE Mar'!N8/2</f>
        <v>0</v>
      </c>
      <c r="O8" s="7">
        <f>'V-FTE Mar'!O8/2</f>
        <v>0</v>
      </c>
      <c r="P8" s="7">
        <f>'V-FTE Mar'!P8/2</f>
        <v>0</v>
      </c>
      <c r="Q8" s="7">
        <f>'V-FTE Mar'!Q8/2</f>
        <v>0</v>
      </c>
      <c r="R8" s="7">
        <f>'V-FTE Mar'!R8/2</f>
        <v>0</v>
      </c>
      <c r="S8" s="7">
        <f>'V-FTE Mar'!S8/2</f>
        <v>0</v>
      </c>
      <c r="T8" s="7">
        <f>'V-FTE Mar'!T8/2</f>
        <v>0</v>
      </c>
      <c r="U8" s="7">
        <f>'V-FTE Mar'!U8/2</f>
        <v>0</v>
      </c>
      <c r="V8" s="7">
        <f>'V-FTE Mar'!V8/2</f>
        <v>0</v>
      </c>
      <c r="W8" s="7">
        <f>'V-FTE Mar'!W8/2</f>
        <v>0</v>
      </c>
      <c r="X8" s="7">
        <f>'V-FTE Mar'!X8/2</f>
        <v>0</v>
      </c>
      <c r="Y8" s="7">
        <f>'V-FTE Mar'!Y8/2</f>
        <v>0</v>
      </c>
      <c r="Z8" s="7">
        <f>'V-FTE Mar'!Z8/2</f>
        <v>0</v>
      </c>
      <c r="AA8" s="7">
        <f>'V-FTE Mar'!AA8/2</f>
        <v>0</v>
      </c>
      <c r="AB8" s="7">
        <f>'V-FTE Mar'!AB8/2</f>
        <v>0</v>
      </c>
      <c r="AC8" s="7">
        <f>'V-FTE Mar'!AC8/2</f>
        <v>0</v>
      </c>
      <c r="AD8" s="7">
        <f>'V-FTE Mar'!AD8/2</f>
        <v>0</v>
      </c>
      <c r="AE8" s="7">
        <f>'V-FTE Mar'!AE8/2</f>
        <v>0</v>
      </c>
    </row>
    <row r="9" spans="1:32" x14ac:dyDescent="0.25">
      <c r="A9" s="3" t="s">
        <v>14</v>
      </c>
      <c r="B9" s="7">
        <f>'V-FTE Mar'!B9/2</f>
        <v>0</v>
      </c>
      <c r="C9" s="7">
        <f>'V-FTE Mar'!C9/2</f>
        <v>0</v>
      </c>
      <c r="D9" s="7">
        <f>'V-FTE Mar'!D9/2</f>
        <v>0</v>
      </c>
      <c r="E9" s="7">
        <f>'V-FTE Mar'!E9/2</f>
        <v>0</v>
      </c>
      <c r="F9" s="7">
        <f>'V-FTE Mar'!F9/2</f>
        <v>0</v>
      </c>
      <c r="G9" s="7">
        <f>'V-FTE Mar'!G9/2</f>
        <v>0</v>
      </c>
      <c r="H9" s="7">
        <f>'V-FTE Mar'!H9/2</f>
        <v>0</v>
      </c>
      <c r="I9" s="7">
        <f>'V-FTE Mar'!I9/2</f>
        <v>0</v>
      </c>
      <c r="J9" s="7">
        <f>'V-FTE Mar'!J9/2</f>
        <v>0</v>
      </c>
      <c r="K9" s="7">
        <f>'V-FTE Mar'!K9/2</f>
        <v>0</v>
      </c>
      <c r="L9" s="7">
        <f>'V-FTE Mar'!L9/2</f>
        <v>0</v>
      </c>
      <c r="M9" s="7">
        <f>'V-FTE Mar'!M9/2</f>
        <v>0</v>
      </c>
      <c r="N9" s="7">
        <f>'V-FTE Mar'!N9/2</f>
        <v>0</v>
      </c>
      <c r="O9" s="7">
        <f>'V-FTE Mar'!O9/2</f>
        <v>0</v>
      </c>
      <c r="P9" s="7">
        <f>'V-FTE Mar'!P9/2</f>
        <v>0</v>
      </c>
      <c r="Q9" s="7">
        <f>'V-FTE Mar'!Q9/2</f>
        <v>0</v>
      </c>
      <c r="R9" s="7">
        <f>'V-FTE Mar'!R9/2</f>
        <v>0</v>
      </c>
      <c r="S9" s="7">
        <f>'V-FTE Mar'!S9/2</f>
        <v>0</v>
      </c>
      <c r="T9" s="7">
        <f>'V-FTE Mar'!T9/2</f>
        <v>0</v>
      </c>
      <c r="U9" s="7">
        <f>'V-FTE Mar'!U9/2</f>
        <v>0</v>
      </c>
      <c r="V9" s="7">
        <f>'V-FTE Mar'!V9/2</f>
        <v>0</v>
      </c>
      <c r="W9" s="7">
        <f>'V-FTE Mar'!W9/2</f>
        <v>0</v>
      </c>
      <c r="X9" s="7">
        <f>'V-FTE Mar'!X9/2</f>
        <v>0</v>
      </c>
      <c r="Y9" s="7">
        <f>'V-FTE Mar'!Y9/2</f>
        <v>0</v>
      </c>
      <c r="Z9" s="7">
        <f>'V-FTE Mar'!Z9/2</f>
        <v>0</v>
      </c>
      <c r="AA9" s="7">
        <f>'V-FTE Mar'!AA9/2</f>
        <v>0</v>
      </c>
      <c r="AB9" s="7">
        <f>'V-FTE Mar'!AB9/2</f>
        <v>0</v>
      </c>
      <c r="AC9" s="7">
        <f>'V-FTE Mar'!AC9/2</f>
        <v>0</v>
      </c>
      <c r="AD9" s="7">
        <f>'V-FTE Mar'!AD9/2</f>
        <v>0</v>
      </c>
      <c r="AE9" s="7">
        <f>'V-FTE Mar'!AE9/2</f>
        <v>0</v>
      </c>
    </row>
    <row r="10" spans="1:32" x14ac:dyDescent="0.25">
      <c r="A10" s="3" t="s">
        <v>15</v>
      </c>
      <c r="B10" s="7">
        <f>'V-FTE Mar'!B10/2</f>
        <v>0</v>
      </c>
      <c r="C10" s="7">
        <f>'V-FTE Mar'!C10/2</f>
        <v>0</v>
      </c>
      <c r="D10" s="7">
        <f>'V-FTE Mar'!D10/2</f>
        <v>0</v>
      </c>
      <c r="E10" s="7">
        <f>'V-FTE Mar'!E10/2</f>
        <v>0</v>
      </c>
      <c r="F10" s="7">
        <f>'V-FTE Mar'!F10/2</f>
        <v>0</v>
      </c>
      <c r="G10" s="7">
        <f>'V-FTE Mar'!G10/2</f>
        <v>0</v>
      </c>
      <c r="H10" s="7">
        <f>'V-FTE Mar'!H10/2</f>
        <v>0</v>
      </c>
      <c r="I10" s="7">
        <f>'V-FTE Mar'!I10/2</f>
        <v>0</v>
      </c>
      <c r="J10" s="7">
        <f>'V-FTE Mar'!J10/2</f>
        <v>0</v>
      </c>
      <c r="K10" s="7">
        <f>'V-FTE Mar'!K10/2</f>
        <v>0</v>
      </c>
      <c r="L10" s="7">
        <f>'V-FTE Mar'!L10/2</f>
        <v>0</v>
      </c>
      <c r="M10" s="7">
        <f>'V-FTE Mar'!M10/2</f>
        <v>0</v>
      </c>
      <c r="N10" s="7">
        <f>'V-FTE Mar'!N10/2</f>
        <v>0</v>
      </c>
      <c r="O10" s="7">
        <f>'V-FTE Mar'!O10/2</f>
        <v>0</v>
      </c>
      <c r="P10" s="7">
        <f>'V-FTE Mar'!P10/2</f>
        <v>0</v>
      </c>
      <c r="Q10" s="7">
        <f>'V-FTE Mar'!Q10/2</f>
        <v>0</v>
      </c>
      <c r="R10" s="7">
        <f>'V-FTE Mar'!R10/2</f>
        <v>0</v>
      </c>
      <c r="S10" s="7">
        <f>'V-FTE Mar'!S10/2</f>
        <v>0</v>
      </c>
      <c r="T10" s="7">
        <f>'V-FTE Mar'!T10/2</f>
        <v>0</v>
      </c>
      <c r="U10" s="7">
        <f>'V-FTE Mar'!U10/2</f>
        <v>0</v>
      </c>
      <c r="V10" s="7">
        <f>'V-FTE Mar'!V10/2</f>
        <v>0</v>
      </c>
      <c r="W10" s="7">
        <f>'V-FTE Mar'!W10/2</f>
        <v>0</v>
      </c>
      <c r="X10" s="7">
        <f>'V-FTE Mar'!X10/2</f>
        <v>0</v>
      </c>
      <c r="Y10" s="7">
        <f>'V-FTE Mar'!Y10/2</f>
        <v>0</v>
      </c>
      <c r="Z10" s="7">
        <f>'V-FTE Mar'!Z10/2</f>
        <v>0</v>
      </c>
      <c r="AA10" s="7">
        <f>'V-FTE Mar'!AA10/2</f>
        <v>0</v>
      </c>
      <c r="AB10" s="7">
        <f>'V-FTE Mar'!AB10/2</f>
        <v>0</v>
      </c>
      <c r="AC10" s="7">
        <f>'V-FTE Mar'!AC10/2</f>
        <v>0</v>
      </c>
      <c r="AD10" s="7">
        <f>'V-FTE Mar'!AD10/2</f>
        <v>0</v>
      </c>
      <c r="AE10" s="7">
        <f>'V-FTE Mar'!AE10/2</f>
        <v>0</v>
      </c>
    </row>
    <row r="11" spans="1:32" x14ac:dyDescent="0.25">
      <c r="A11" s="3" t="s">
        <v>16</v>
      </c>
      <c r="B11" s="7">
        <f>'V-FTE Mar'!B11/2</f>
        <v>0</v>
      </c>
      <c r="C11" s="7">
        <f>'V-FTE Mar'!C11/2</f>
        <v>0</v>
      </c>
      <c r="D11" s="7">
        <f>'V-FTE Mar'!D11/2</f>
        <v>0</v>
      </c>
      <c r="E11" s="7">
        <f>'V-FTE Mar'!E11/2</f>
        <v>0</v>
      </c>
      <c r="F11" s="7">
        <f>'V-FTE Mar'!F11/2</f>
        <v>0</v>
      </c>
      <c r="G11" s="7">
        <f>'V-FTE Mar'!G11/2</f>
        <v>0</v>
      </c>
      <c r="H11" s="7">
        <f>'V-FTE Mar'!H11/2</f>
        <v>0</v>
      </c>
      <c r="I11" s="7">
        <f>'V-FTE Mar'!I11/2</f>
        <v>0</v>
      </c>
      <c r="J11" s="7">
        <f>'V-FTE Mar'!J11/2</f>
        <v>0</v>
      </c>
      <c r="K11" s="7">
        <f>'V-FTE Mar'!K11/2</f>
        <v>0</v>
      </c>
      <c r="L11" s="7">
        <f>'V-FTE Mar'!L11/2</f>
        <v>0</v>
      </c>
      <c r="M11" s="7">
        <f>'V-FTE Mar'!M11/2</f>
        <v>0</v>
      </c>
      <c r="N11" s="7">
        <f>'V-FTE Mar'!N11/2</f>
        <v>0</v>
      </c>
      <c r="O11" s="7">
        <f>'V-FTE Mar'!O11/2</f>
        <v>0</v>
      </c>
      <c r="P11" s="7">
        <f>'V-FTE Mar'!P11/2</f>
        <v>0</v>
      </c>
      <c r="Q11" s="7">
        <f>'V-FTE Mar'!Q11/2</f>
        <v>0</v>
      </c>
      <c r="R11" s="7">
        <f>'V-FTE Mar'!R11/2</f>
        <v>0</v>
      </c>
      <c r="S11" s="7">
        <f>'V-FTE Mar'!S11/2</f>
        <v>0</v>
      </c>
      <c r="T11" s="7">
        <f>'V-FTE Mar'!T11/2</f>
        <v>0</v>
      </c>
      <c r="U11" s="7">
        <f>'V-FTE Mar'!U11/2</f>
        <v>0</v>
      </c>
      <c r="V11" s="7">
        <f>'V-FTE Mar'!V11/2</f>
        <v>0</v>
      </c>
      <c r="W11" s="7">
        <f>'V-FTE Mar'!W11/2</f>
        <v>0</v>
      </c>
      <c r="X11" s="7">
        <f>'V-FTE Mar'!X11/2</f>
        <v>0</v>
      </c>
      <c r="Y11" s="7">
        <f>'V-FTE Mar'!Y11/2</f>
        <v>0</v>
      </c>
      <c r="Z11" s="7">
        <f>'V-FTE Mar'!Z11/2</f>
        <v>0</v>
      </c>
      <c r="AA11" s="7">
        <f>'V-FTE Mar'!AA11/2</f>
        <v>0</v>
      </c>
      <c r="AB11" s="7">
        <f>'V-FTE Mar'!AB11/2</f>
        <v>0</v>
      </c>
      <c r="AC11" s="7">
        <f>'V-FTE Mar'!AC11/2</f>
        <v>0</v>
      </c>
      <c r="AD11" s="7">
        <f>'V-FTE Mar'!AD11/2</f>
        <v>0</v>
      </c>
      <c r="AE11" s="7">
        <f>'V-FTE Mar'!AE11/2</f>
        <v>0</v>
      </c>
    </row>
    <row r="12" spans="1:32" x14ac:dyDescent="0.25">
      <c r="A12" s="3" t="s">
        <v>17</v>
      </c>
      <c r="B12" s="7">
        <f>'V-FTE Mar'!B12/2</f>
        <v>0</v>
      </c>
      <c r="C12" s="7">
        <f>'V-FTE Mar'!C12/2</f>
        <v>0</v>
      </c>
      <c r="D12" s="7">
        <f>'V-FTE Mar'!D12/2</f>
        <v>0</v>
      </c>
      <c r="E12" s="7">
        <f>'V-FTE Mar'!E12/2</f>
        <v>0</v>
      </c>
      <c r="F12" s="7">
        <f>'V-FTE Mar'!F12/2</f>
        <v>0</v>
      </c>
      <c r="G12" s="7">
        <f>'V-FTE Mar'!G12/2</f>
        <v>0</v>
      </c>
      <c r="H12" s="7">
        <f>'V-FTE Mar'!H12/2</f>
        <v>0</v>
      </c>
      <c r="I12" s="7">
        <f>'V-FTE Mar'!I12/2</f>
        <v>0</v>
      </c>
      <c r="J12" s="7">
        <f>'V-FTE Mar'!J12/2</f>
        <v>0</v>
      </c>
      <c r="K12" s="7">
        <f>'V-FTE Mar'!K12/2</f>
        <v>0</v>
      </c>
      <c r="L12" s="7">
        <f>'V-FTE Mar'!L12/2</f>
        <v>0</v>
      </c>
      <c r="M12" s="7">
        <f>'V-FTE Mar'!M12/2</f>
        <v>0</v>
      </c>
      <c r="N12" s="7">
        <f>'V-FTE Mar'!N12/2</f>
        <v>0</v>
      </c>
      <c r="O12" s="7">
        <f>'V-FTE Mar'!O12/2</f>
        <v>0</v>
      </c>
      <c r="P12" s="7">
        <f>'V-FTE Mar'!P12/2</f>
        <v>0</v>
      </c>
      <c r="Q12" s="7">
        <f>'V-FTE Mar'!Q12/2</f>
        <v>0</v>
      </c>
      <c r="R12" s="7">
        <f>'V-FTE Mar'!R12/2</f>
        <v>0</v>
      </c>
      <c r="S12" s="7">
        <f>'V-FTE Mar'!S12/2</f>
        <v>0</v>
      </c>
      <c r="T12" s="7">
        <f>'V-FTE Mar'!T12/2</f>
        <v>0</v>
      </c>
      <c r="U12" s="7">
        <f>'V-FTE Mar'!U12/2</f>
        <v>0</v>
      </c>
      <c r="V12" s="7">
        <f>'V-FTE Mar'!V12/2</f>
        <v>0</v>
      </c>
      <c r="W12" s="7">
        <f>'V-FTE Mar'!W12/2</f>
        <v>0</v>
      </c>
      <c r="X12" s="7">
        <f>'V-FTE Mar'!X12/2</f>
        <v>0</v>
      </c>
      <c r="Y12" s="7">
        <f>'V-FTE Mar'!Y12/2</f>
        <v>0</v>
      </c>
      <c r="Z12" s="7">
        <f>'V-FTE Mar'!Z12/2</f>
        <v>0</v>
      </c>
      <c r="AA12" s="7">
        <f>'V-FTE Mar'!AA12/2</f>
        <v>0</v>
      </c>
      <c r="AB12" s="7">
        <f>'V-FTE Mar'!AB12/2</f>
        <v>0</v>
      </c>
      <c r="AC12" s="7">
        <f>'V-FTE Mar'!AC12/2</f>
        <v>0</v>
      </c>
      <c r="AD12" s="7">
        <f>'V-FTE Mar'!AD12/2</f>
        <v>0</v>
      </c>
      <c r="AE12" s="7">
        <f>'V-FTE Mar'!AE12/2</f>
        <v>0</v>
      </c>
    </row>
    <row r="13" spans="1:32" x14ac:dyDescent="0.25">
      <c r="A13" s="3" t="s">
        <v>18</v>
      </c>
      <c r="B13" s="7">
        <f>'V-FTE Mar'!B13/2</f>
        <v>0</v>
      </c>
      <c r="C13" s="7">
        <f>'V-FTE Mar'!C13/2</f>
        <v>0</v>
      </c>
      <c r="D13" s="7">
        <f>'V-FTE Mar'!D13/2</f>
        <v>0</v>
      </c>
      <c r="E13" s="7">
        <f>'V-FTE Mar'!E13/2</f>
        <v>0</v>
      </c>
      <c r="F13" s="7">
        <f>'V-FTE Mar'!F13/2</f>
        <v>0</v>
      </c>
      <c r="G13" s="7">
        <f>'V-FTE Mar'!G13/2</f>
        <v>0</v>
      </c>
      <c r="H13" s="7">
        <f>'V-FTE Mar'!H13/2</f>
        <v>0</v>
      </c>
      <c r="I13" s="7">
        <f>'V-FTE Mar'!I13/2</f>
        <v>0</v>
      </c>
      <c r="J13" s="7">
        <f>'V-FTE Mar'!J13/2</f>
        <v>0</v>
      </c>
      <c r="K13" s="7">
        <f>'V-FTE Mar'!K13/2</f>
        <v>0</v>
      </c>
      <c r="L13" s="7">
        <f>'V-FTE Mar'!L13/2</f>
        <v>0</v>
      </c>
      <c r="M13" s="7">
        <f>'V-FTE Mar'!M13/2</f>
        <v>0</v>
      </c>
      <c r="N13" s="7">
        <f>'V-FTE Mar'!N13/2</f>
        <v>0</v>
      </c>
      <c r="O13" s="7">
        <f>'V-FTE Mar'!O13/2</f>
        <v>0</v>
      </c>
      <c r="P13" s="7">
        <f>'V-FTE Mar'!P13/2</f>
        <v>0</v>
      </c>
      <c r="Q13" s="7">
        <f>'V-FTE Mar'!Q13/2</f>
        <v>0</v>
      </c>
      <c r="R13" s="7">
        <f>'V-FTE Mar'!R13/2</f>
        <v>0</v>
      </c>
      <c r="S13" s="7">
        <f>'V-FTE Mar'!S13/2</f>
        <v>0</v>
      </c>
      <c r="T13" s="7">
        <f>'V-FTE Mar'!T13/2</f>
        <v>0</v>
      </c>
      <c r="U13" s="7">
        <f>'V-FTE Mar'!U13/2</f>
        <v>0</v>
      </c>
      <c r="V13" s="7">
        <f>'V-FTE Mar'!V13/2</f>
        <v>0</v>
      </c>
      <c r="W13" s="7">
        <f>'V-FTE Mar'!W13/2</f>
        <v>0</v>
      </c>
      <c r="X13" s="7">
        <f>'V-FTE Mar'!X13/2</f>
        <v>0</v>
      </c>
      <c r="Y13" s="7">
        <f>'V-FTE Mar'!Y13/2</f>
        <v>0</v>
      </c>
      <c r="Z13" s="7">
        <f>'V-FTE Mar'!Z13/2</f>
        <v>0</v>
      </c>
      <c r="AA13" s="7">
        <f>'V-FTE Mar'!AA13/2</f>
        <v>0</v>
      </c>
      <c r="AB13" s="7">
        <f>'V-FTE Mar'!AB13/2</f>
        <v>0</v>
      </c>
      <c r="AC13" s="7">
        <f>'V-FTE Mar'!AC13/2</f>
        <v>0</v>
      </c>
      <c r="AD13" s="7">
        <f>'V-FTE Mar'!AD13/2</f>
        <v>0</v>
      </c>
      <c r="AE13" s="7">
        <f>'V-FTE Mar'!AE13/2</f>
        <v>0</v>
      </c>
    </row>
    <row r="14" spans="1:32" x14ac:dyDescent="0.25">
      <c r="A14" s="3" t="s">
        <v>19</v>
      </c>
      <c r="B14" s="7">
        <f>'V-FTE Mar'!B14/2</f>
        <v>0</v>
      </c>
      <c r="C14" s="7">
        <f>'V-FTE Mar'!C14/2</f>
        <v>0</v>
      </c>
      <c r="D14" s="7">
        <f>'V-FTE Mar'!D14/2</f>
        <v>0</v>
      </c>
      <c r="E14" s="7">
        <f>'V-FTE Mar'!E14/2</f>
        <v>0</v>
      </c>
      <c r="F14" s="7">
        <f>'V-FTE Mar'!F14/2</f>
        <v>0</v>
      </c>
      <c r="G14" s="7">
        <f>'V-FTE Mar'!G14/2</f>
        <v>0</v>
      </c>
      <c r="H14" s="7">
        <f>'V-FTE Mar'!H14/2</f>
        <v>0</v>
      </c>
      <c r="I14" s="7">
        <f>'V-FTE Mar'!I14/2</f>
        <v>0</v>
      </c>
      <c r="J14" s="7">
        <f>'V-FTE Mar'!J14/2</f>
        <v>0</v>
      </c>
      <c r="K14" s="7">
        <f>'V-FTE Mar'!K14/2</f>
        <v>0</v>
      </c>
      <c r="L14" s="7">
        <f>'V-FTE Mar'!L14/2</f>
        <v>0</v>
      </c>
      <c r="M14" s="7">
        <f>'V-FTE Mar'!M14/2</f>
        <v>0</v>
      </c>
      <c r="N14" s="7">
        <f>'V-FTE Mar'!N14/2</f>
        <v>0</v>
      </c>
      <c r="O14" s="7">
        <f>'V-FTE Mar'!O14/2</f>
        <v>0</v>
      </c>
      <c r="P14" s="7">
        <f>'V-FTE Mar'!P14/2</f>
        <v>0</v>
      </c>
      <c r="Q14" s="7">
        <f>'V-FTE Mar'!Q14/2</f>
        <v>0</v>
      </c>
      <c r="R14" s="7">
        <f>'V-FTE Mar'!R14/2</f>
        <v>0</v>
      </c>
      <c r="S14" s="7">
        <f>'V-FTE Mar'!S14/2</f>
        <v>0</v>
      </c>
      <c r="T14" s="7">
        <f>'V-FTE Mar'!T14/2</f>
        <v>0</v>
      </c>
      <c r="U14" s="7">
        <f>'V-FTE Mar'!U14/2</f>
        <v>0</v>
      </c>
      <c r="V14" s="7">
        <f>'V-FTE Mar'!V14/2</f>
        <v>0</v>
      </c>
      <c r="W14" s="7">
        <f>'V-FTE Mar'!W14/2</f>
        <v>0</v>
      </c>
      <c r="X14" s="7">
        <f>'V-FTE Mar'!X14/2</f>
        <v>0</v>
      </c>
      <c r="Y14" s="7">
        <f>'V-FTE Mar'!Y14/2</f>
        <v>0</v>
      </c>
      <c r="Z14" s="7">
        <f>'V-FTE Mar'!Z14/2</f>
        <v>0</v>
      </c>
      <c r="AA14" s="7">
        <f>'V-FTE Mar'!AA14/2</f>
        <v>0</v>
      </c>
      <c r="AB14" s="7">
        <f>'V-FTE Mar'!AB14/2</f>
        <v>0</v>
      </c>
      <c r="AC14" s="7">
        <f>'V-FTE Mar'!AC14/2</f>
        <v>0</v>
      </c>
      <c r="AD14" s="7">
        <f>'V-FTE Mar'!AD14/2</f>
        <v>0</v>
      </c>
      <c r="AE14" s="7">
        <f>'V-FTE Mar'!AE14/2</f>
        <v>0</v>
      </c>
    </row>
    <row r="15" spans="1:32" x14ac:dyDescent="0.25">
      <c r="A15" s="3" t="s">
        <v>20</v>
      </c>
      <c r="B15" s="7">
        <f>'V-FTE Mar'!B15/2</f>
        <v>0</v>
      </c>
      <c r="C15" s="7">
        <f>'V-FTE Mar'!C15/2</f>
        <v>0</v>
      </c>
      <c r="D15" s="7">
        <f>'V-FTE Mar'!D15/2</f>
        <v>0</v>
      </c>
      <c r="E15" s="7">
        <f>'V-FTE Mar'!E15/2</f>
        <v>0</v>
      </c>
      <c r="F15" s="7">
        <f>'V-FTE Mar'!F15/2</f>
        <v>0</v>
      </c>
      <c r="G15" s="7">
        <f>'V-FTE Mar'!G15/2</f>
        <v>0</v>
      </c>
      <c r="H15" s="7">
        <f>'V-FTE Mar'!H15/2</f>
        <v>0</v>
      </c>
      <c r="I15" s="7">
        <f>'V-FTE Mar'!I15/2</f>
        <v>0</v>
      </c>
      <c r="J15" s="7">
        <f>'V-FTE Mar'!J15/2</f>
        <v>0</v>
      </c>
      <c r="K15" s="7">
        <f>'V-FTE Mar'!K15/2</f>
        <v>0</v>
      </c>
      <c r="L15" s="7">
        <f>'V-FTE Mar'!L15/2</f>
        <v>0</v>
      </c>
      <c r="M15" s="7">
        <f>'V-FTE Mar'!M15/2</f>
        <v>0</v>
      </c>
      <c r="N15" s="7">
        <f>'V-FTE Mar'!N15/2</f>
        <v>0</v>
      </c>
      <c r="O15" s="7">
        <f>'V-FTE Mar'!O15/2</f>
        <v>0</v>
      </c>
      <c r="P15" s="7">
        <f>'V-FTE Mar'!P15/2</f>
        <v>0</v>
      </c>
      <c r="Q15" s="7">
        <f>'V-FTE Mar'!Q15/2</f>
        <v>0</v>
      </c>
      <c r="R15" s="7">
        <f>'V-FTE Mar'!R15/2</f>
        <v>0</v>
      </c>
      <c r="S15" s="7">
        <f>'V-FTE Mar'!S15/2</f>
        <v>0</v>
      </c>
      <c r="T15" s="7">
        <f>'V-FTE Mar'!T15/2</f>
        <v>0</v>
      </c>
      <c r="U15" s="7">
        <f>'V-FTE Mar'!U15/2</f>
        <v>0</v>
      </c>
      <c r="V15" s="7">
        <f>'V-FTE Mar'!V15/2</f>
        <v>0</v>
      </c>
      <c r="W15" s="7">
        <f>'V-FTE Mar'!W15/2</f>
        <v>0</v>
      </c>
      <c r="X15" s="7">
        <f>'V-FTE Mar'!X15/2</f>
        <v>0</v>
      </c>
      <c r="Y15" s="7">
        <f>'V-FTE Mar'!Y15/2</f>
        <v>0</v>
      </c>
      <c r="Z15" s="7">
        <f>'V-FTE Mar'!Z15/2</f>
        <v>0</v>
      </c>
      <c r="AA15" s="7">
        <f>'V-FTE Mar'!AA15/2</f>
        <v>0</v>
      </c>
      <c r="AB15" s="7">
        <f>'V-FTE Mar'!AB15/2</f>
        <v>0</v>
      </c>
      <c r="AC15" s="7">
        <f>'V-FTE Mar'!AC15/2</f>
        <v>0</v>
      </c>
      <c r="AD15" s="7">
        <f>'V-FTE Mar'!AD15/2</f>
        <v>0</v>
      </c>
      <c r="AE15" s="7">
        <f>'V-FTE Mar'!AE15/2</f>
        <v>0</v>
      </c>
    </row>
    <row r="16" spans="1:32" x14ac:dyDescent="0.25">
      <c r="A16" s="3" t="s">
        <v>21</v>
      </c>
      <c r="B16" s="7">
        <f>'V-FTE Mar'!B16/2</f>
        <v>0</v>
      </c>
      <c r="C16" s="7">
        <f>'V-FTE Mar'!C16/2</f>
        <v>0</v>
      </c>
      <c r="D16" s="7">
        <f>'V-FTE Mar'!D16/2</f>
        <v>0</v>
      </c>
      <c r="E16" s="7">
        <f>'V-FTE Mar'!E16/2</f>
        <v>0</v>
      </c>
      <c r="F16" s="7">
        <f>'V-FTE Mar'!F16/2</f>
        <v>0</v>
      </c>
      <c r="G16" s="7">
        <f>'V-FTE Mar'!G16/2</f>
        <v>0</v>
      </c>
      <c r="H16" s="7">
        <f>'V-FTE Mar'!H16/2</f>
        <v>0</v>
      </c>
      <c r="I16" s="7">
        <f>'V-FTE Mar'!I16/2</f>
        <v>0</v>
      </c>
      <c r="J16" s="7">
        <f>'V-FTE Mar'!J16/2</f>
        <v>0</v>
      </c>
      <c r="K16" s="7">
        <f>'V-FTE Mar'!K16/2</f>
        <v>0</v>
      </c>
      <c r="L16" s="7">
        <f>'V-FTE Mar'!L16/2</f>
        <v>0</v>
      </c>
      <c r="M16" s="7">
        <f>'V-FTE Mar'!M16/2</f>
        <v>0</v>
      </c>
      <c r="N16" s="7">
        <f>'V-FTE Mar'!N16/2</f>
        <v>0</v>
      </c>
      <c r="O16" s="7">
        <f>'V-FTE Mar'!O16/2</f>
        <v>0</v>
      </c>
      <c r="P16" s="7">
        <f>'V-FTE Mar'!P16/2</f>
        <v>0</v>
      </c>
      <c r="Q16" s="7">
        <f>'V-FTE Mar'!Q16/2</f>
        <v>0</v>
      </c>
      <c r="R16" s="7">
        <f>'V-FTE Mar'!R16/2</f>
        <v>0</v>
      </c>
      <c r="S16" s="7">
        <f>'V-FTE Mar'!S16/2</f>
        <v>0</v>
      </c>
      <c r="T16" s="7">
        <f>'V-FTE Mar'!T16/2</f>
        <v>0</v>
      </c>
      <c r="U16" s="7">
        <f>'V-FTE Mar'!U16/2</f>
        <v>0</v>
      </c>
      <c r="V16" s="7">
        <f>'V-FTE Mar'!V16/2</f>
        <v>0</v>
      </c>
      <c r="W16" s="7">
        <f>'V-FTE Mar'!W16/2</f>
        <v>0</v>
      </c>
      <c r="X16" s="7">
        <f>'V-FTE Mar'!X16/2</f>
        <v>0</v>
      </c>
      <c r="Y16" s="7">
        <f>'V-FTE Mar'!Y16/2</f>
        <v>0</v>
      </c>
      <c r="Z16" s="7">
        <f>'V-FTE Mar'!Z16/2</f>
        <v>0</v>
      </c>
      <c r="AA16" s="7">
        <f>'V-FTE Mar'!AA16/2</f>
        <v>0</v>
      </c>
      <c r="AB16" s="7">
        <f>'V-FTE Mar'!AB16/2</f>
        <v>0</v>
      </c>
      <c r="AC16" s="7">
        <f>'V-FTE Mar'!AC16/2</f>
        <v>0</v>
      </c>
      <c r="AD16" s="7">
        <f>'V-FTE Mar'!AD16/2</f>
        <v>0</v>
      </c>
      <c r="AE16" s="7">
        <f>'V-FTE Mar'!AE16/2</f>
        <v>0</v>
      </c>
    </row>
    <row r="17" spans="1:32" x14ac:dyDescent="0.25">
      <c r="A17" s="3" t="s">
        <v>22</v>
      </c>
      <c r="B17" s="7">
        <f>'V-FTE Mar'!B17/2</f>
        <v>0</v>
      </c>
      <c r="C17" s="7">
        <f>'V-FTE Mar'!C17/2</f>
        <v>0</v>
      </c>
      <c r="D17" s="7">
        <f>'V-FTE Mar'!D17/2</f>
        <v>0</v>
      </c>
      <c r="E17" s="7">
        <f>'V-FTE Mar'!E17/2</f>
        <v>0</v>
      </c>
      <c r="F17" s="7">
        <f>'V-FTE Mar'!F17/2</f>
        <v>0</v>
      </c>
      <c r="G17" s="7">
        <f>'V-FTE Mar'!G17/2</f>
        <v>0</v>
      </c>
      <c r="H17" s="7">
        <f>'V-FTE Mar'!H17/2</f>
        <v>0</v>
      </c>
      <c r="I17" s="7">
        <f>'V-FTE Mar'!I17/2</f>
        <v>0</v>
      </c>
      <c r="J17" s="7">
        <f>'V-FTE Mar'!J17/2</f>
        <v>0</v>
      </c>
      <c r="K17" s="7">
        <f>'V-FTE Mar'!K17/2</f>
        <v>0</v>
      </c>
      <c r="L17" s="7">
        <f>'V-FTE Mar'!L17/2</f>
        <v>0</v>
      </c>
      <c r="M17" s="7">
        <f>'V-FTE Mar'!M17/2</f>
        <v>0</v>
      </c>
      <c r="N17" s="7">
        <f>'V-FTE Mar'!N17/2</f>
        <v>0</v>
      </c>
      <c r="O17" s="7">
        <f>'V-FTE Mar'!O17/2</f>
        <v>0</v>
      </c>
      <c r="P17" s="7">
        <f>'V-FTE Mar'!P17/2</f>
        <v>0</v>
      </c>
      <c r="Q17" s="7">
        <f>'V-FTE Mar'!Q17/2</f>
        <v>0</v>
      </c>
      <c r="R17" s="7">
        <f>'V-FTE Mar'!R17/2</f>
        <v>0</v>
      </c>
      <c r="S17" s="7">
        <f>'V-FTE Mar'!S17/2</f>
        <v>0</v>
      </c>
      <c r="T17" s="7">
        <f>'V-FTE Mar'!T17/2</f>
        <v>0</v>
      </c>
      <c r="U17" s="7">
        <f>'V-FTE Mar'!U17/2</f>
        <v>0</v>
      </c>
      <c r="V17" s="7">
        <f>'V-FTE Mar'!V17/2</f>
        <v>0</v>
      </c>
      <c r="W17" s="7">
        <f>'V-FTE Mar'!W17/2</f>
        <v>0</v>
      </c>
      <c r="X17" s="7">
        <f>'V-FTE Mar'!X17/2</f>
        <v>0</v>
      </c>
      <c r="Y17" s="7">
        <f>'V-FTE Mar'!Y17/2</f>
        <v>0</v>
      </c>
      <c r="Z17" s="7">
        <f>'V-FTE Mar'!Z17/2</f>
        <v>0</v>
      </c>
      <c r="AA17" s="7">
        <f>'V-FTE Mar'!AA17/2</f>
        <v>0</v>
      </c>
      <c r="AB17" s="7">
        <f>'V-FTE Mar'!AB17/2</f>
        <v>0</v>
      </c>
      <c r="AC17" s="7">
        <f>'V-FTE Mar'!AC17/2</f>
        <v>0</v>
      </c>
      <c r="AD17" s="7">
        <f>'V-FTE Mar'!AD17/2</f>
        <v>0</v>
      </c>
      <c r="AE17" s="7">
        <f>'V-FTE Mar'!AE17/2</f>
        <v>0</v>
      </c>
    </row>
    <row r="18" spans="1:32" x14ac:dyDescent="0.25">
      <c r="A18" s="3" t="s">
        <v>23</v>
      </c>
      <c r="B18" s="7">
        <f>'V-FTE Mar'!B18/2</f>
        <v>0</v>
      </c>
      <c r="C18" s="7">
        <f>'V-FTE Mar'!C18/2</f>
        <v>0</v>
      </c>
      <c r="D18" s="7">
        <f>'V-FTE Mar'!D18/2</f>
        <v>0</v>
      </c>
      <c r="E18" s="7">
        <f>'V-FTE Mar'!E18/2</f>
        <v>0</v>
      </c>
      <c r="F18" s="7">
        <f>'V-FTE Mar'!F18/2</f>
        <v>0</v>
      </c>
      <c r="G18" s="7">
        <f>'V-FTE Mar'!G18/2</f>
        <v>0</v>
      </c>
      <c r="H18" s="7">
        <f>'V-FTE Mar'!H18/2</f>
        <v>0</v>
      </c>
      <c r="I18" s="7">
        <f>'V-FTE Mar'!I18/2</f>
        <v>0</v>
      </c>
      <c r="J18" s="7">
        <f>'V-FTE Mar'!J18/2</f>
        <v>0</v>
      </c>
      <c r="K18" s="7">
        <f>'V-FTE Mar'!K18/2</f>
        <v>0</v>
      </c>
      <c r="L18" s="7">
        <f>'V-FTE Mar'!L18/2</f>
        <v>0</v>
      </c>
      <c r="M18" s="7">
        <f>'V-FTE Mar'!M18/2</f>
        <v>0</v>
      </c>
      <c r="N18" s="7">
        <f>'V-FTE Mar'!N18/2</f>
        <v>0</v>
      </c>
      <c r="O18" s="7">
        <f>'V-FTE Mar'!O18/2</f>
        <v>0</v>
      </c>
      <c r="P18" s="7">
        <f>'V-FTE Mar'!P18/2</f>
        <v>0</v>
      </c>
      <c r="Q18" s="7">
        <f>'V-FTE Mar'!Q18/2</f>
        <v>0</v>
      </c>
      <c r="R18" s="7">
        <f>'V-FTE Mar'!R18/2</f>
        <v>0</v>
      </c>
      <c r="S18" s="7">
        <f>'V-FTE Mar'!S18/2</f>
        <v>0</v>
      </c>
      <c r="T18" s="7">
        <f>'V-FTE Mar'!T18/2</f>
        <v>0</v>
      </c>
      <c r="U18" s="7">
        <f>'V-FTE Mar'!U18/2</f>
        <v>0</v>
      </c>
      <c r="V18" s="7">
        <f>'V-FTE Mar'!V18/2</f>
        <v>0</v>
      </c>
      <c r="W18" s="7">
        <f>'V-FTE Mar'!W18/2</f>
        <v>0</v>
      </c>
      <c r="X18" s="7">
        <f>'V-FTE Mar'!X18/2</f>
        <v>0</v>
      </c>
      <c r="Y18" s="7">
        <f>'V-FTE Mar'!Y18/2</f>
        <v>0</v>
      </c>
      <c r="Z18" s="7">
        <f>'V-FTE Mar'!Z18/2</f>
        <v>0</v>
      </c>
      <c r="AA18" s="7">
        <f>'V-FTE Mar'!AA18/2</f>
        <v>0</v>
      </c>
      <c r="AB18" s="7">
        <f>'V-FTE Mar'!AB18/2</f>
        <v>0</v>
      </c>
      <c r="AC18" s="7">
        <f>'V-FTE Mar'!AC18/2</f>
        <v>0</v>
      </c>
      <c r="AD18" s="7">
        <f>'V-FTE Mar'!AD18/2</f>
        <v>0</v>
      </c>
      <c r="AE18" s="7">
        <f>'V-FTE Mar'!AE18/2</f>
        <v>0</v>
      </c>
    </row>
    <row r="19" spans="1:32" x14ac:dyDescent="0.25">
      <c r="A19" s="3" t="s">
        <v>24</v>
      </c>
      <c r="B19" s="7">
        <f>'V-FTE Apr'!B19/2</f>
        <v>1.617571326945177</v>
      </c>
      <c r="C19" s="7">
        <f>'V-FTE Apr'!C19/2</f>
        <v>1.7211353448288622</v>
      </c>
      <c r="D19" s="7">
        <f>'V-FTE Apr'!D19/2</f>
        <v>1.8542890821078859</v>
      </c>
      <c r="E19" s="7">
        <f>'V-FTE Apr'!E19/2</f>
        <v>0</v>
      </c>
      <c r="F19" s="7">
        <f>'V-FTE Apr'!F19/2</f>
        <v>0</v>
      </c>
      <c r="G19" s="7">
        <f>'V-FTE Apr'!G19/2</f>
        <v>2.6038953067897972</v>
      </c>
      <c r="H19" s="7">
        <f>'V-FTE Apr'!H19/2</f>
        <v>1.6372978065420696</v>
      </c>
      <c r="I19" s="7">
        <f>'V-FTE Apr'!I19/2</f>
        <v>1.4696227299684841</v>
      </c>
      <c r="J19" s="7">
        <f>'V-FTE Apr'!J19/2</f>
        <v>1.5583918881545</v>
      </c>
      <c r="K19" s="7">
        <f>'V-FTE Apr'!K19/2</f>
        <v>1.7014088652319701</v>
      </c>
      <c r="L19" s="7">
        <f>'V-FTE Apr'!L19/2</f>
        <v>0</v>
      </c>
      <c r="M19" s="7">
        <f>'V-FTE Apr'!M19/2</f>
        <v>0</v>
      </c>
      <c r="N19" s="7">
        <f>'V-FTE Apr'!N19/2</f>
        <v>2.441151850115435</v>
      </c>
      <c r="O19" s="7">
        <f>'V-FTE Apr'!O19/2</f>
        <v>1.4893492095653766</v>
      </c>
      <c r="P19" s="7">
        <f>'V-FTE Apr'!P19/2</f>
        <v>1.4696227299684841</v>
      </c>
      <c r="Q19" s="7">
        <f>'V-FTE Apr'!Q19/2</f>
        <v>1.5583918881545</v>
      </c>
      <c r="R19" s="7">
        <f>'V-FTE Apr'!R19/2</f>
        <v>1.5435970284568306</v>
      </c>
      <c r="S19" s="7">
        <f>'V-FTE Apr'!S19/2</f>
        <v>0</v>
      </c>
      <c r="T19" s="7">
        <f>'V-FTE Apr'!T19/2</f>
        <v>0</v>
      </c>
      <c r="U19" s="7">
        <f>'V-FTE Apr'!U19/2</f>
        <v>2.441151850115435</v>
      </c>
      <c r="V19" s="7">
        <f>'V-FTE Apr'!V19/2</f>
        <v>1.4893492095653766</v>
      </c>
      <c r="W19" s="7">
        <f>'V-FTE Apr'!W19/2</f>
        <v>1.4696227299684841</v>
      </c>
      <c r="X19" s="7">
        <f>'V-FTE Apr'!X19/2</f>
        <v>1.5583918881545</v>
      </c>
      <c r="Y19" s="7">
        <f>'V-FTE Apr'!Y19/2</f>
        <v>1.7014088652319701</v>
      </c>
      <c r="Z19" s="7">
        <f>'V-FTE Apr'!Z19/2</f>
        <v>0</v>
      </c>
      <c r="AA19" s="7">
        <f>'V-FTE Apr'!AA19/2</f>
        <v>0</v>
      </c>
      <c r="AB19" s="7">
        <f>'V-FTE Apr'!AB19/2</f>
        <v>2.6038953067897972</v>
      </c>
      <c r="AC19" s="7">
        <f>'V-FTE Apr'!AC19/2</f>
        <v>1.4893492095653766</v>
      </c>
      <c r="AD19" s="7">
        <f>'V-FTE Apr'!AD19/2</f>
        <v>1.4696227299684841</v>
      </c>
      <c r="AE19" s="7">
        <f>'V-FTE Apr'!AE19/2</f>
        <v>1.4005800513793607</v>
      </c>
      <c r="AF19" s="7">
        <f>'V-FTE Apr'!AF19/2</f>
        <v>0</v>
      </c>
    </row>
    <row r="20" spans="1:32" x14ac:dyDescent="0.25">
      <c r="A20" s="3" t="s">
        <v>25</v>
      </c>
      <c r="B20" s="7">
        <f>'V-FTE Apr'!B20/2</f>
        <v>3.2302110339911314</v>
      </c>
      <c r="C20" s="7">
        <f>'V-FTE Apr'!C20/2</f>
        <v>3.171031595200454</v>
      </c>
      <c r="D20" s="7">
        <f>'V-FTE Apr'!D20/2</f>
        <v>3.1759632150996771</v>
      </c>
      <c r="E20" s="7">
        <f>'V-FTE Apr'!E20/2</f>
        <v>0</v>
      </c>
      <c r="F20" s="7">
        <f>'V-FTE Apr'!F20/2</f>
        <v>0</v>
      </c>
      <c r="G20" s="7">
        <f>'V-FTE Apr'!G20/2</f>
        <v>4.6258594654712697</v>
      </c>
      <c r="H20" s="7">
        <f>'V-FTE Apr'!H20/2</f>
        <v>2.9244506002392989</v>
      </c>
      <c r="I20" s="7">
        <f>'V-FTE Apr'!I20/2</f>
        <v>3.0625359574175457</v>
      </c>
      <c r="J20" s="7">
        <f>'V-FTE Apr'!J20/2</f>
        <v>2.9934932788284225</v>
      </c>
      <c r="K20" s="7">
        <f>'V-FTE Apr'!K20/2</f>
        <v>3.0033565186268683</v>
      </c>
      <c r="L20" s="7">
        <f>'V-FTE Apr'!L20/2</f>
        <v>0</v>
      </c>
      <c r="M20" s="7">
        <f>'V-FTE Apr'!M20/2</f>
        <v>0</v>
      </c>
      <c r="N20" s="7">
        <f>'V-FTE Apr'!N20/2</f>
        <v>4.2609195929287598</v>
      </c>
      <c r="O20" s="7">
        <f>'V-FTE Apr'!O20/2</f>
        <v>2.7617071435649363</v>
      </c>
      <c r="P20" s="7">
        <f>'V-FTE Apr'!P20/2</f>
        <v>3.0625359574175457</v>
      </c>
      <c r="Q20" s="7">
        <f>'V-FTE Apr'!Q20/2</f>
        <v>2.9934932788284225</v>
      </c>
      <c r="R20" s="7">
        <f>'V-FTE Apr'!R20/2</f>
        <v>2.8258182022548373</v>
      </c>
      <c r="S20" s="7">
        <f>'V-FTE Apr'!S20/2</f>
        <v>0</v>
      </c>
      <c r="T20" s="7">
        <f>'V-FTE Apr'!T20/2</f>
        <v>0</v>
      </c>
      <c r="U20" s="7">
        <f>'V-FTE Apr'!U20/2</f>
        <v>4.4433895292000143</v>
      </c>
      <c r="V20" s="7">
        <f>'V-FTE Apr'!V20/2</f>
        <v>2.7617071435649363</v>
      </c>
      <c r="W20" s="7">
        <f>'V-FTE Apr'!W20/2</f>
        <v>3.0625359574175457</v>
      </c>
      <c r="X20" s="7">
        <f>'V-FTE Apr'!X20/2</f>
        <v>2.9934932788284225</v>
      </c>
      <c r="Y20" s="7">
        <f>'V-FTE Apr'!Y20/2</f>
        <v>3.0033565186268683</v>
      </c>
      <c r="Z20" s="7">
        <f>'V-FTE Apr'!Z20/2</f>
        <v>0</v>
      </c>
      <c r="AA20" s="7">
        <f>'V-FTE Apr'!AA20/2</f>
        <v>0</v>
      </c>
      <c r="AB20" s="7">
        <f>'V-FTE Apr'!AB20/2</f>
        <v>4.4433895292000143</v>
      </c>
      <c r="AC20" s="7">
        <f>'V-FTE Apr'!AC20/2</f>
        <v>2.7617071435649363</v>
      </c>
      <c r="AD20" s="7">
        <f>'V-FTE Apr'!AD20/2</f>
        <v>2.7222541843711516</v>
      </c>
      <c r="AE20" s="7">
        <f>'V-FTE Apr'!AE20/2</f>
        <v>2.6433482659835823</v>
      </c>
      <c r="AF20" s="7">
        <f>'V-FTE Apr'!AF20/2</f>
        <v>0</v>
      </c>
    </row>
    <row r="21" spans="1:32" x14ac:dyDescent="0.25">
      <c r="A21" s="3" t="s">
        <v>26</v>
      </c>
      <c r="B21" s="7">
        <f>'V-FTE Apr'!B21/2</f>
        <v>5.9376703586646133</v>
      </c>
      <c r="C21" s="7">
        <f>'V-FTE Apr'!C21/2</f>
        <v>5.7354739427964674</v>
      </c>
      <c r="D21" s="7">
        <f>'V-FTE Apr'!D21/2</f>
        <v>5.7897217616879209</v>
      </c>
      <c r="E21" s="7">
        <f>'V-FTE Apr'!E21/2</f>
        <v>1.5830499876506154</v>
      </c>
      <c r="F21" s="7">
        <f>'V-FTE Apr'!F21/2</f>
        <v>0</v>
      </c>
      <c r="G21" s="7">
        <f>'V-FTE Apr'!G21/2</f>
        <v>8.3492324893847094</v>
      </c>
      <c r="H21" s="7">
        <f>'V-FTE Apr'!H21/2</f>
        <v>5.400123789649296</v>
      </c>
      <c r="I21" s="7">
        <f>'V-FTE Apr'!I21/2</f>
        <v>5.3902605498508498</v>
      </c>
      <c r="J21" s="7">
        <f>'V-FTE Apr'!J21/2</f>
        <v>5.3705340702539575</v>
      </c>
      <c r="K21" s="7">
        <f>'V-FTE Apr'!K21/2</f>
        <v>5.2373803329749329</v>
      </c>
      <c r="L21" s="7">
        <f>'V-FTE Apr'!L21/2</f>
        <v>1.5830499876506154</v>
      </c>
      <c r="M21" s="7">
        <f>'V-FTE Apr'!M21/2</f>
        <v>0</v>
      </c>
      <c r="N21" s="7">
        <f>'V-FTE Apr'!N21/2</f>
        <v>7.7722329611756074</v>
      </c>
      <c r="O21" s="7">
        <f>'V-FTE Apr'!O21/2</f>
        <v>5.2275170931764867</v>
      </c>
      <c r="P21" s="7">
        <f>'V-FTE Apr'!P21/2</f>
        <v>5.3902605498508498</v>
      </c>
      <c r="Q21" s="7">
        <f>'V-FTE Apr'!Q21/2</f>
        <v>5.1880641339827021</v>
      </c>
      <c r="R21" s="7">
        <f>'V-FTE Apr'!R21/2</f>
        <v>5.2373803329749329</v>
      </c>
      <c r="S21" s="7">
        <f>'V-FTE Apr'!S21/2</f>
        <v>1.420306530976253</v>
      </c>
      <c r="T21" s="7">
        <f>'V-FTE Apr'!T21/2</f>
        <v>0</v>
      </c>
      <c r="U21" s="7">
        <f>'V-FTE Apr'!U21/2</f>
        <v>7.9645661372453072</v>
      </c>
      <c r="V21" s="7">
        <f>'V-FTE Apr'!V21/2</f>
        <v>5.0549103967036784</v>
      </c>
      <c r="W21" s="7">
        <f>'V-FTE Apr'!W21/2</f>
        <v>5.3902605498508498</v>
      </c>
      <c r="X21" s="7">
        <f>'V-FTE Apr'!X21/2</f>
        <v>5.1880641339827021</v>
      </c>
      <c r="Y21" s="7">
        <f>'V-FTE Apr'!Y21/2</f>
        <v>5.2373803329749329</v>
      </c>
      <c r="Z21" s="7">
        <f>'V-FTE Apr'!Z21/2</f>
        <v>1.420306530976253</v>
      </c>
      <c r="AA21" s="7">
        <f>'V-FTE Apr'!AA21/2</f>
        <v>0</v>
      </c>
      <c r="AB21" s="7">
        <f>'V-FTE Apr'!AB21/2</f>
        <v>8.1568993133150087</v>
      </c>
      <c r="AC21" s="7">
        <f>'V-FTE Apr'!AC21/2</f>
        <v>5.0549103967036784</v>
      </c>
      <c r="AD21" s="7">
        <f>'V-FTE Apr'!AD21/2</f>
        <v>5.0253206773083399</v>
      </c>
      <c r="AE21" s="7">
        <f>'V-FTE Apr'!AE21/2</f>
        <v>4.635722705269715</v>
      </c>
      <c r="AF21" s="7">
        <f>'V-FTE Apr'!AF21/2</f>
        <v>0</v>
      </c>
    </row>
    <row r="22" spans="1:32" x14ac:dyDescent="0.25">
      <c r="A22" s="3" t="s">
        <v>27</v>
      </c>
      <c r="B22" s="7">
        <f>'V-FTE Apr'!B22/2</f>
        <v>9.3996675279192292</v>
      </c>
      <c r="C22" s="7">
        <f>'V-FTE Apr'!C22/2</f>
        <v>8.5317024256559648</v>
      </c>
      <c r="D22" s="7">
        <f>'V-FTE Apr'!D22/2</f>
        <v>8.7141723619272202</v>
      </c>
      <c r="E22" s="7">
        <f>'V-FTE Apr'!E22/2</f>
        <v>2.4510150899138812</v>
      </c>
      <c r="F22" s="7">
        <f>'V-FTE Apr'!F22/2</f>
        <v>0</v>
      </c>
      <c r="G22" s="7">
        <f>'V-FTE Apr'!G22/2</f>
        <v>12.708784480297931</v>
      </c>
      <c r="H22" s="7">
        <f>'V-FTE Apr'!H22/2</f>
        <v>8.3689589689816017</v>
      </c>
      <c r="I22" s="7">
        <f>'V-FTE Apr'!I22/2</f>
        <v>8.3936170684777185</v>
      </c>
      <c r="J22" s="7">
        <f>'V-FTE Apr'!J22/2</f>
        <v>7.9497712775476401</v>
      </c>
      <c r="K22" s="7">
        <f>'V-FTE Apr'!K22/2</f>
        <v>7.954702897446861</v>
      </c>
      <c r="L22" s="7">
        <f>'V-FTE Apr'!L22/2</f>
        <v>2.2734767735418497</v>
      </c>
      <c r="M22" s="7">
        <f>'V-FTE Apr'!M22/2</f>
        <v>0</v>
      </c>
      <c r="N22" s="7">
        <f>'V-FTE Apr'!N22/2</f>
        <v>12.102195232693489</v>
      </c>
      <c r="O22" s="7">
        <f>'V-FTE Apr'!O22/2</f>
        <v>8.1815574128111237</v>
      </c>
      <c r="P22" s="7">
        <f>'V-FTE Apr'!P22/2</f>
        <v>8.3936170684777185</v>
      </c>
      <c r="Q22" s="7">
        <f>'V-FTE Apr'!Q22/2</f>
        <v>7.9497712775476401</v>
      </c>
      <c r="R22" s="7">
        <f>'V-FTE Apr'!R22/2</f>
        <v>7.7623697213771612</v>
      </c>
      <c r="S22" s="7">
        <f>'V-FTE Apr'!S22/2</f>
        <v>2.2734767735418497</v>
      </c>
      <c r="T22" s="7">
        <f>'V-FTE Apr'!T22/2</f>
        <v>0</v>
      </c>
      <c r="U22" s="7">
        <f>'V-FTE Apr'!U22/2</f>
        <v>12.102195232693489</v>
      </c>
      <c r="V22" s="7">
        <f>'V-FTE Apr'!V22/2</f>
        <v>7.9941558566406465</v>
      </c>
      <c r="W22" s="7">
        <f>'V-FTE Apr'!W22/2</f>
        <v>8.3936170684777185</v>
      </c>
      <c r="X22" s="7">
        <f>'V-FTE Apr'!X22/2</f>
        <v>7.9497712775476401</v>
      </c>
      <c r="Y22" s="7">
        <f>'V-FTE Apr'!Y22/2</f>
        <v>7.954702897446861</v>
      </c>
      <c r="Z22" s="7">
        <f>'V-FTE Apr'!Z22/2</f>
        <v>2.2734767735418497</v>
      </c>
      <c r="AA22" s="7">
        <f>'V-FTE Apr'!AA22/2</f>
        <v>0</v>
      </c>
      <c r="AB22" s="7">
        <f>'V-FTE Apr'!AB22/2</f>
        <v>12.304391648561637</v>
      </c>
      <c r="AC22" s="7">
        <f>'V-FTE Apr'!AC22/2</f>
        <v>7.9941558566406465</v>
      </c>
      <c r="AD22" s="7">
        <f>'V-FTE Apr'!AD22/2</f>
        <v>7.7870278208732753</v>
      </c>
      <c r="AE22" s="7">
        <f>'V-FTE Apr'!AE22/2</f>
        <v>6.9683789176022417</v>
      </c>
      <c r="AF22" s="7">
        <f>'V-FTE Apr'!AF22/2</f>
        <v>0</v>
      </c>
    </row>
    <row r="23" spans="1:32" x14ac:dyDescent="0.25">
      <c r="A23" s="3" t="s">
        <v>28</v>
      </c>
      <c r="B23" s="7">
        <f>'V-FTE Apr'!B23/2</f>
        <v>12.314254888360082</v>
      </c>
      <c r="C23" s="7">
        <f>'V-FTE Apr'!C23/2</f>
        <v>11.278614709523232</v>
      </c>
      <c r="D23" s="7">
        <f>'V-FTE Apr'!D23/2</f>
        <v>11.456153025895265</v>
      </c>
      <c r="E23" s="7">
        <f>'V-FTE Apr'!E23/2</f>
        <v>3.7776208428048954</v>
      </c>
      <c r="F23" s="7">
        <f>'V-FTE Apr'!F23/2</f>
        <v>0</v>
      </c>
      <c r="G23" s="7">
        <f>'V-FTE Apr'!G23/2</f>
        <v>16.580106101188065</v>
      </c>
      <c r="H23" s="7">
        <f>'V-FTE Apr'!H23/2</f>
        <v>11.165187451841101</v>
      </c>
      <c r="I23" s="7">
        <f>'V-FTE Apr'!I23/2</f>
        <v>11.288477949321679</v>
      </c>
      <c r="J23" s="7">
        <f>'V-FTE Apr'!J23/2</f>
        <v>10.455034186352973</v>
      </c>
      <c r="K23" s="7">
        <f>'V-FTE Apr'!K23/2</f>
        <v>10.450102566453753</v>
      </c>
      <c r="L23" s="7">
        <f>'V-FTE Apr'!L23/2</f>
        <v>3.5902192866344178</v>
      </c>
      <c r="M23" s="7">
        <f>'V-FTE Apr'!M23/2</f>
        <v>0</v>
      </c>
      <c r="N23" s="7">
        <f>'V-FTE Apr'!N23/2</f>
        <v>15.731867478521691</v>
      </c>
      <c r="O23" s="7">
        <f>'V-FTE Apr'!O23/2</f>
        <v>10.775589479802477</v>
      </c>
      <c r="P23" s="7">
        <f>'V-FTE Apr'!P23/2</f>
        <v>11.081349913554307</v>
      </c>
      <c r="Q23" s="7">
        <f>'V-FTE Apr'!Q23/2</f>
        <v>10.252837770484826</v>
      </c>
      <c r="R23" s="7">
        <f>'V-FTE Apr'!R23/2</f>
        <v>10.045709734717459</v>
      </c>
      <c r="S23" s="7">
        <f>'V-FTE Apr'!S23/2</f>
        <v>3.5902192866344178</v>
      </c>
      <c r="T23" s="7">
        <f>'V-FTE Apr'!T23/2</f>
        <v>0</v>
      </c>
      <c r="U23" s="7">
        <f>'V-FTE Apr'!U23/2</f>
        <v>15.731867478521691</v>
      </c>
      <c r="V23" s="7">
        <f>'V-FTE Apr'!V23/2</f>
        <v>10.578324683833552</v>
      </c>
      <c r="W23" s="7">
        <f>'V-FTE Apr'!W23/2</f>
        <v>11.081349913554307</v>
      </c>
      <c r="X23" s="7">
        <f>'V-FTE Apr'!X23/2</f>
        <v>10.455034186352973</v>
      </c>
      <c r="Y23" s="7">
        <f>'V-FTE Apr'!Y23/2</f>
        <v>10.247906150585605</v>
      </c>
      <c r="Z23" s="7">
        <f>'V-FTE Apr'!Z23/2</f>
        <v>3.5902192866344178</v>
      </c>
      <c r="AA23" s="7">
        <f>'V-FTE Apr'!AA23/2</f>
        <v>0</v>
      </c>
      <c r="AB23" s="7">
        <f>'V-FTE Apr'!AB23/2</f>
        <v>16.155986789854879</v>
      </c>
      <c r="AC23" s="7">
        <f>'V-FTE Apr'!AC23/2</f>
        <v>10.775589479802477</v>
      </c>
      <c r="AD23" s="7">
        <f>'V-FTE Apr'!AD23/2</f>
        <v>10.46489742615142</v>
      </c>
      <c r="AE23" s="7">
        <f>'V-FTE Apr'!AE23/2</f>
        <v>9.0150011757798296</v>
      </c>
      <c r="AF23" s="7">
        <f>'V-FTE Apr'!AF23/2</f>
        <v>0</v>
      </c>
    </row>
    <row r="24" spans="1:32" x14ac:dyDescent="0.25">
      <c r="A24" s="3" t="s">
        <v>29</v>
      </c>
      <c r="B24" s="7">
        <f>'V-FTE Apr'!B24/2</f>
        <v>15.347201126382291</v>
      </c>
      <c r="C24" s="7">
        <f>'V-FTE Apr'!C24/2</f>
        <v>13.80360409792546</v>
      </c>
      <c r="D24" s="7">
        <f>'V-FTE Apr'!D24/2</f>
        <v>14.351013906739224</v>
      </c>
      <c r="E24" s="7">
        <f>'V-FTE Apr'!E24/2</f>
        <v>5.2817649120679411</v>
      </c>
      <c r="F24" s="7">
        <f>'V-FTE Apr'!F24/2</f>
        <v>0</v>
      </c>
      <c r="G24" s="7">
        <f>'V-FTE Apr'!G24/2</f>
        <v>20.545128500163436</v>
      </c>
      <c r="H24" s="7">
        <f>'V-FTE Apr'!H24/2</f>
        <v>14.390466865933009</v>
      </c>
      <c r="I24" s="7">
        <f>'V-FTE Apr'!I24/2</f>
        <v>13.897304876010699</v>
      </c>
      <c r="J24" s="7">
        <f>'V-FTE Apr'!J24/2</f>
        <v>12.77289553898783</v>
      </c>
      <c r="K24" s="7">
        <f>'V-FTE Apr'!K24/2</f>
        <v>12.915912516065303</v>
      </c>
      <c r="L24" s="7">
        <f>'V-FTE Apr'!L24/2</f>
        <v>5.0795684961997942</v>
      </c>
      <c r="M24" s="7">
        <f>'V-FTE Apr'!M24/2</f>
        <v>0</v>
      </c>
      <c r="N24" s="7">
        <f>'V-FTE Apr'!N24/2</f>
        <v>19.46510374223358</v>
      </c>
      <c r="O24" s="7">
        <f>'V-FTE Apr'!O24/2</f>
        <v>13.986074034196713</v>
      </c>
      <c r="P24" s="7">
        <f>'V-FTE Apr'!P24/2</f>
        <v>13.69017684024333</v>
      </c>
      <c r="Q24" s="7">
        <f>'V-FTE Apr'!Q24/2</f>
        <v>12.77289553898783</v>
      </c>
      <c r="R24" s="7">
        <f>'V-FTE Apr'!R24/2</f>
        <v>12.506588064429783</v>
      </c>
      <c r="S24" s="7">
        <f>'V-FTE Apr'!S24/2</f>
        <v>5.0795684961997942</v>
      </c>
      <c r="T24" s="7">
        <f>'V-FTE Apr'!T24/2</f>
        <v>0</v>
      </c>
      <c r="U24" s="7">
        <f>'V-FTE Apr'!U24/2</f>
        <v>19.46510374223358</v>
      </c>
      <c r="V24" s="7">
        <f>'V-FTE Apr'!V24/2</f>
        <v>13.783877618328567</v>
      </c>
      <c r="W24" s="7">
        <f>'V-FTE Apr'!W24/2</f>
        <v>13.897304876010699</v>
      </c>
      <c r="X24" s="7">
        <f>'V-FTE Apr'!X24/2</f>
        <v>12.77289553898783</v>
      </c>
      <c r="Y24" s="7">
        <f>'V-FTE Apr'!Y24/2</f>
        <v>12.915912516065303</v>
      </c>
      <c r="Z24" s="7">
        <f>'V-FTE Apr'!Z24/2</f>
        <v>4.8773720803316474</v>
      </c>
      <c r="AA24" s="7">
        <f>'V-FTE Apr'!AA24/2</f>
        <v>0</v>
      </c>
      <c r="AB24" s="7">
        <f>'V-FTE Apr'!AB24/2</f>
        <v>19.899086293365215</v>
      </c>
      <c r="AC24" s="7">
        <f>'V-FTE Apr'!AC24/2</f>
        <v>13.783877618328567</v>
      </c>
      <c r="AD24" s="7">
        <f>'V-FTE Apr'!AD24/2</f>
        <v>12.861664697173847</v>
      </c>
      <c r="AE24" s="7">
        <f>'V-FTE Apr'!AE24/2</f>
        <v>11.327930908515462</v>
      </c>
      <c r="AF24" s="7">
        <f>'V-FTE Apr'!AF24/2</f>
        <v>0</v>
      </c>
    </row>
    <row r="25" spans="1:32" x14ac:dyDescent="0.25">
      <c r="A25" s="3" t="s">
        <v>30</v>
      </c>
      <c r="B25" s="7">
        <f>'V-FTE Apr'!B25/2</f>
        <v>20.5155387807681</v>
      </c>
      <c r="C25" s="7">
        <f>'V-FTE Apr'!C25/2</f>
        <v>18.128634749544119</v>
      </c>
      <c r="D25" s="7">
        <f>'V-FTE Apr'!D25/2</f>
        <v>18.51330110168352</v>
      </c>
      <c r="E25" s="7">
        <f>'V-FTE Apr'!E25/2</f>
        <v>6.3568580500985776</v>
      </c>
      <c r="F25" s="7">
        <f>'V-FTE Apr'!F25/2</f>
        <v>0</v>
      </c>
      <c r="G25" s="7">
        <f>'V-FTE Apr'!G25/2</f>
        <v>27.04993514723871</v>
      </c>
      <c r="H25" s="7">
        <f>'V-FTE Apr'!H25/2</f>
        <v>18.823993155334577</v>
      </c>
      <c r="I25" s="7">
        <f>'V-FTE Apr'!I25/2</f>
        <v>18.814129915536132</v>
      </c>
      <c r="J25" s="7">
        <f>'V-FTE Apr'!J25/2</f>
        <v>16.895729774738342</v>
      </c>
      <c r="K25" s="7">
        <f>'V-FTE Apr'!K25/2</f>
        <v>16.668875259374079</v>
      </c>
      <c r="L25" s="7">
        <f>'V-FTE Apr'!L25/2</f>
        <v>6.1447983944319846</v>
      </c>
      <c r="M25" s="7">
        <f>'V-FTE Apr'!M25/2</f>
        <v>0</v>
      </c>
      <c r="N25" s="7">
        <f>'V-FTE Apr'!N25/2</f>
        <v>25.52113297847955</v>
      </c>
      <c r="O25" s="7">
        <f>'V-FTE Apr'!O25/2</f>
        <v>18.227267147528583</v>
      </c>
      <c r="P25" s="7">
        <f>'V-FTE Apr'!P25/2</f>
        <v>18.390010604202942</v>
      </c>
      <c r="Q25" s="7">
        <f>'V-FTE Apr'!Q25/2</f>
        <v>16.688601738970974</v>
      </c>
      <c r="R25" s="7">
        <f>'V-FTE Apr'!R25/2</f>
        <v>16.259550807738563</v>
      </c>
      <c r="S25" s="7">
        <f>'V-FTE Apr'!S25/2</f>
        <v>5.9327387387653898</v>
      </c>
      <c r="T25" s="7">
        <f>'V-FTE Apr'!T25/2</f>
        <v>0</v>
      </c>
      <c r="U25" s="7">
        <f>'V-FTE Apr'!U25/2</f>
        <v>25.738124254045363</v>
      </c>
      <c r="V25" s="7">
        <f>'V-FTE Apr'!V25/2</f>
        <v>17.827805935691508</v>
      </c>
      <c r="W25" s="7">
        <f>'V-FTE Apr'!W25/2</f>
        <v>18.602070259869535</v>
      </c>
      <c r="X25" s="7">
        <f>'V-FTE Apr'!X25/2</f>
        <v>16.895729774738342</v>
      </c>
      <c r="Y25" s="7">
        <f>'V-FTE Apr'!Y25/2</f>
        <v>16.668875259374079</v>
      </c>
      <c r="Z25" s="7">
        <f>'V-FTE Apr'!Z25/2</f>
        <v>5.9327387387653898</v>
      </c>
      <c r="AA25" s="7">
        <f>'V-FTE Apr'!AA25/2</f>
        <v>0</v>
      </c>
      <c r="AB25" s="7">
        <f>'V-FTE Apr'!AB25/2</f>
        <v>26.177038425076219</v>
      </c>
      <c r="AC25" s="7">
        <f>'V-FTE Apr'!AC25/2</f>
        <v>17.827805935691508</v>
      </c>
      <c r="AD25" s="7">
        <f>'V-FTE Apr'!AD25/2</f>
        <v>17.324780705970756</v>
      </c>
      <c r="AE25" s="7">
        <f>'V-FTE Apr'!AE25/2</f>
        <v>14.844175896661536</v>
      </c>
      <c r="AF25" s="7">
        <f>'V-FTE Apr'!AF25/2</f>
        <v>0</v>
      </c>
    </row>
    <row r="26" spans="1:32" x14ac:dyDescent="0.25">
      <c r="A26" s="3" t="s">
        <v>31</v>
      </c>
      <c r="B26" s="7">
        <f>'V-FTE Apr'!B26/2</f>
        <v>25.363321141704411</v>
      </c>
      <c r="C26" s="7">
        <f>'V-FTE Apr'!C26/2</f>
        <v>22.438870541465111</v>
      </c>
      <c r="D26" s="7">
        <f>'V-FTE Apr'!D26/2</f>
        <v>22.843263373201406</v>
      </c>
      <c r="E26" s="7">
        <f>'V-FTE Apr'!E26/2</f>
        <v>7.2445496319587344</v>
      </c>
      <c r="F26" s="7">
        <f>'V-FTE Apr'!F26/2</f>
        <v>0</v>
      </c>
      <c r="G26" s="7">
        <f>'V-FTE Apr'!G26/2</f>
        <v>33.475835875926407</v>
      </c>
      <c r="H26" s="7">
        <f>'V-FTE Apr'!H26/2</f>
        <v>23.213134865643138</v>
      </c>
      <c r="I26" s="7">
        <f>'V-FTE Apr'!I26/2</f>
        <v>23.124365707457123</v>
      </c>
      <c r="J26" s="7">
        <f>'V-FTE Apr'!J26/2</f>
        <v>20.905136752806726</v>
      </c>
      <c r="K26" s="7">
        <f>'V-FTE Apr'!K26/2</f>
        <v>20.436632862380527</v>
      </c>
      <c r="L26" s="7">
        <f>'V-FTE Apr'!L26/2</f>
        <v>7.0275583563929187</v>
      </c>
      <c r="M26" s="7">
        <f>'V-FTE Apr'!M26/2</f>
        <v>0</v>
      </c>
      <c r="N26" s="7">
        <f>'V-FTE Apr'!N26/2</f>
        <v>31.360170939159705</v>
      </c>
      <c r="O26" s="7">
        <f>'V-FTE Apr'!O26/2</f>
        <v>22.374759482775207</v>
      </c>
      <c r="P26" s="7">
        <f>'V-FTE Apr'!P26/2</f>
        <v>22.902442811992081</v>
      </c>
      <c r="Q26" s="7">
        <f>'V-FTE Apr'!Q26/2</f>
        <v>20.683213857341688</v>
      </c>
      <c r="R26" s="7">
        <f>'V-FTE Apr'!R26/2</f>
        <v>19.997718691349672</v>
      </c>
      <c r="S26" s="7">
        <f>'V-FTE Apr'!S26/2</f>
        <v>7.0275583563929187</v>
      </c>
      <c r="T26" s="7">
        <f>'V-FTE Apr'!T26/2</f>
        <v>0</v>
      </c>
      <c r="U26" s="7">
        <f>'V-FTE Apr'!U26/2</f>
        <v>31.596888694322406</v>
      </c>
      <c r="V26" s="7">
        <f>'V-FTE Apr'!V26/2</f>
        <v>22.167631447007842</v>
      </c>
      <c r="W26" s="7">
        <f>'V-FTE Apr'!W26/2</f>
        <v>22.902442811992081</v>
      </c>
      <c r="X26" s="7">
        <f>'V-FTE Apr'!X26/2</f>
        <v>20.905136752806726</v>
      </c>
      <c r="Y26" s="7">
        <f>'V-FTE Apr'!Y26/2</f>
        <v>20.436632862380527</v>
      </c>
      <c r="Z26" s="7">
        <f>'V-FTE Apr'!Z26/2</f>
        <v>6.810567080827103</v>
      </c>
      <c r="AA26" s="7">
        <f>'V-FTE Apr'!AA26/2</f>
        <v>0</v>
      </c>
      <c r="AB26" s="7">
        <f>'V-FTE Apr'!AB26/2</f>
        <v>32.302110339911309</v>
      </c>
      <c r="AC26" s="7">
        <f>'V-FTE Apr'!AC26/2</f>
        <v>22.167631447007842</v>
      </c>
      <c r="AD26" s="7">
        <f>'V-FTE Apr'!AD26/2</f>
        <v>21.334187684039136</v>
      </c>
      <c r="AE26" s="7">
        <f>'V-FTE Apr'!AE26/2</f>
        <v>18.271651726621588</v>
      </c>
      <c r="AF26" s="7">
        <f>'V-FTE Apr'!AF26/2</f>
        <v>0</v>
      </c>
    </row>
    <row r="27" spans="1:32" x14ac:dyDescent="0.25">
      <c r="A27" s="3" t="s">
        <v>32</v>
      </c>
      <c r="B27" s="7">
        <f>'V-FTE Apr'!B27/2</f>
        <v>27.67625087444004</v>
      </c>
      <c r="C27" s="7">
        <f>'V-FTE Apr'!C27/2</f>
        <v>24.362202302162117</v>
      </c>
      <c r="D27" s="7">
        <f>'V-FTE Apr'!D27/2</f>
        <v>25.693739674952358</v>
      </c>
      <c r="E27" s="7">
        <f>'V-FTE Apr'!E27/2</f>
        <v>8.8571893390046892</v>
      </c>
      <c r="F27" s="7">
        <f>'V-FTE Apr'!F27/2</f>
        <v>0</v>
      </c>
      <c r="G27" s="7">
        <f>'V-FTE Apr'!G27/2</f>
        <v>37.376747216211882</v>
      </c>
      <c r="H27" s="7">
        <f>'V-FTE Apr'!H27/2</f>
        <v>25.624696996363234</v>
      </c>
      <c r="I27" s="7">
        <f>'V-FTE Apr'!I27/2</f>
        <v>24.939201830371221</v>
      </c>
      <c r="J27" s="7">
        <f>'V-FTE Apr'!J27/2</f>
        <v>22.56709265884491</v>
      </c>
      <c r="K27" s="7">
        <f>'V-FTE Apr'!K27/2</f>
        <v>23.203271625844689</v>
      </c>
      <c r="L27" s="7">
        <f>'V-FTE Apr'!L27/2</f>
        <v>8.4182751679738335</v>
      </c>
      <c r="M27" s="7">
        <f>'V-FTE Apr'!M27/2</f>
        <v>0</v>
      </c>
      <c r="N27" s="7">
        <f>'V-FTE Apr'!N27/2</f>
        <v>35.127928542166153</v>
      </c>
      <c r="O27" s="7">
        <f>'V-FTE Apr'!O27/2</f>
        <v>24.746868654301522</v>
      </c>
      <c r="P27" s="7">
        <f>'V-FTE Apr'!P27/2</f>
        <v>24.712347315006962</v>
      </c>
      <c r="Q27" s="7">
        <f>'V-FTE Apr'!Q27/2</f>
        <v>22.56709265884491</v>
      </c>
      <c r="R27" s="7">
        <f>'V-FTE Apr'!R27/2</f>
        <v>22.522708079751901</v>
      </c>
      <c r="S27" s="7">
        <f>'V-FTE Apr'!S27/2</f>
        <v>8.4182751679738335</v>
      </c>
      <c r="T27" s="7">
        <f>'V-FTE Apr'!T27/2</f>
        <v>0</v>
      </c>
      <c r="U27" s="7">
        <f>'V-FTE Apr'!U27/2</f>
        <v>35.374509537127309</v>
      </c>
      <c r="V27" s="7">
        <f>'V-FTE Apr'!V27/2</f>
        <v>24.307954483270667</v>
      </c>
      <c r="W27" s="7">
        <f>'V-FTE Apr'!W27/2</f>
        <v>24.939201830371221</v>
      </c>
      <c r="X27" s="7">
        <f>'V-FTE Apr'!X27/2</f>
        <v>22.56709265884491</v>
      </c>
      <c r="Y27" s="7">
        <f>'V-FTE Apr'!Y27/2</f>
        <v>23.203271625844689</v>
      </c>
      <c r="Z27" s="7">
        <f>'V-FTE Apr'!Z27/2</f>
        <v>8.4182751679738335</v>
      </c>
      <c r="AA27" s="7">
        <f>'V-FTE Apr'!AA27/2</f>
        <v>0</v>
      </c>
      <c r="AB27" s="7">
        <f>'V-FTE Apr'!AB27/2</f>
        <v>36.124115761809215</v>
      </c>
      <c r="AC27" s="7">
        <f>'V-FTE Apr'!AC27/2</f>
        <v>24.524945758836481</v>
      </c>
      <c r="AD27" s="7">
        <f>'V-FTE Apr'!AD27/2</f>
        <v>23.114502467658671</v>
      </c>
      <c r="AE27" s="7">
        <f>'V-FTE Apr'!AE27/2</f>
        <v>19.864564954070651</v>
      </c>
      <c r="AF27" s="7">
        <f>'V-FTE Apr'!AF27/2</f>
        <v>0</v>
      </c>
    </row>
    <row r="28" spans="1:32" x14ac:dyDescent="0.25">
      <c r="A28" s="3" t="s">
        <v>33</v>
      </c>
      <c r="B28" s="7">
        <f>'V-FTE Apr'!B28/2</f>
        <v>29.870821729594326</v>
      </c>
      <c r="C28" s="7">
        <f>'V-FTE Apr'!C28/2</f>
        <v>26.413756180238931</v>
      </c>
      <c r="D28" s="7">
        <f>'V-FTE Apr'!D28/2</f>
        <v>27.745293553029168</v>
      </c>
      <c r="E28" s="7">
        <f>'V-FTE Apr'!E28/2</f>
        <v>11.007375615065962</v>
      </c>
      <c r="F28" s="7">
        <f>'V-FTE Apr'!F28/2</f>
        <v>0</v>
      </c>
      <c r="G28" s="7">
        <f>'V-FTE Apr'!G28/2</f>
        <v>38.846369946180367</v>
      </c>
      <c r="H28" s="7">
        <f>'V-FTE Apr'!H28/2</f>
        <v>27.335969101393648</v>
      </c>
      <c r="I28" s="7">
        <f>'V-FTE Apr'!I28/2</f>
        <v>26.990755708448031</v>
      </c>
      <c r="J28" s="7">
        <f>'V-FTE Apr'!J28/2</f>
        <v>24.766595133898413</v>
      </c>
      <c r="K28" s="7">
        <f>'V-FTE Apr'!K28/2</f>
        <v>24.934270210472</v>
      </c>
      <c r="L28" s="7">
        <f>'V-FTE Apr'!L28/2</f>
        <v>10.54380334453899</v>
      </c>
      <c r="M28" s="7">
        <f>'V-FTE Apr'!M28/2</f>
        <v>0</v>
      </c>
      <c r="N28" s="7">
        <f>'V-FTE Apr'!N28/2</f>
        <v>36.587688032336182</v>
      </c>
      <c r="O28" s="7">
        <f>'V-FTE Apr'!O28/2</f>
        <v>26.418687800138152</v>
      </c>
      <c r="P28" s="7">
        <f>'V-FTE Apr'!P28/2</f>
        <v>26.749106333386102</v>
      </c>
      <c r="Q28" s="7">
        <f>'V-FTE Apr'!Q28/2</f>
        <v>24.534808998634926</v>
      </c>
      <c r="R28" s="7">
        <f>'V-FTE Apr'!R28/2</f>
        <v>24.229048564883097</v>
      </c>
      <c r="S28" s="7">
        <f>'V-FTE Apr'!S28/2</f>
        <v>10.312017209275504</v>
      </c>
      <c r="T28" s="7">
        <f>'V-FTE Apr'!T28/2</f>
        <v>0</v>
      </c>
      <c r="U28" s="7">
        <f>'V-FTE Apr'!U28/2</f>
        <v>36.839200647196563</v>
      </c>
      <c r="V28" s="7">
        <f>'V-FTE Apr'!V28/2</f>
        <v>25.964978769409626</v>
      </c>
      <c r="W28" s="7">
        <f>'V-FTE Apr'!W28/2</f>
        <v>26.749106333386102</v>
      </c>
      <c r="X28" s="7">
        <f>'V-FTE Apr'!X28/2</f>
        <v>24.534808998634926</v>
      </c>
      <c r="Y28" s="7">
        <f>'V-FTE Apr'!Y28/2</f>
        <v>24.934270210472</v>
      </c>
      <c r="Z28" s="7">
        <f>'V-FTE Apr'!Z28/2</f>
        <v>10.312017209275504</v>
      </c>
      <c r="AA28" s="7">
        <f>'V-FTE Apr'!AA28/2</f>
        <v>0</v>
      </c>
      <c r="AB28" s="7">
        <f>'V-FTE Apr'!AB28/2</f>
        <v>37.5937384917777</v>
      </c>
      <c r="AC28" s="7">
        <f>'V-FTE Apr'!AC28/2</f>
        <v>26.191833284773885</v>
      </c>
      <c r="AD28" s="7">
        <f>'V-FTE Apr'!AD28/2</f>
        <v>25.067423947751021</v>
      </c>
      <c r="AE28" s="7">
        <f>'V-FTE Apr'!AE28/2</f>
        <v>21.708990796380093</v>
      </c>
      <c r="AF28" s="7">
        <f>'V-FTE Apr'!AF28/2</f>
        <v>0</v>
      </c>
    </row>
    <row r="29" spans="1:32" x14ac:dyDescent="0.25">
      <c r="A29" s="3" t="s">
        <v>34</v>
      </c>
      <c r="B29" s="7">
        <f>'V-FTE Apr'!B29/2</f>
        <v>31.439076857547267</v>
      </c>
      <c r="C29" s="7">
        <f>'V-FTE Apr'!C29/2</f>
        <v>28.346951180734383</v>
      </c>
      <c r="D29" s="7">
        <f>'V-FTE Apr'!D29/2</f>
        <v>29.653830454028508</v>
      </c>
      <c r="E29" s="7">
        <f>'V-FTE Apr'!E29/2</f>
        <v>12.383297566949206</v>
      </c>
      <c r="F29" s="7">
        <f>'V-FTE Apr'!F29/2</f>
        <v>0</v>
      </c>
      <c r="G29" s="7">
        <f>'V-FTE Apr'!G29/2</f>
        <v>39.990505762800133</v>
      </c>
      <c r="H29" s="7">
        <f>'V-FTE Apr'!H29/2</f>
        <v>29.643967214230059</v>
      </c>
      <c r="I29" s="7">
        <f>'V-FTE Apr'!I29/2</f>
        <v>28.430788719021177</v>
      </c>
      <c r="J29" s="7">
        <f>'V-FTE Apr'!J29/2</f>
        <v>26.152380325580108</v>
      </c>
      <c r="K29" s="7">
        <f>'V-FTE Apr'!K29/2</f>
        <v>26.719516613990759</v>
      </c>
      <c r="L29" s="7">
        <f>'V-FTE Apr'!L29/2</f>
        <v>11.643554582065741</v>
      </c>
      <c r="M29" s="7">
        <f>'V-FTE Apr'!M29/2</f>
        <v>0</v>
      </c>
      <c r="N29" s="7">
        <f>'V-FTE Apr'!N29/2</f>
        <v>37.707165749459833</v>
      </c>
      <c r="O29" s="7">
        <f>'V-FTE Apr'!O29/2</f>
        <v>28.445583578718846</v>
      </c>
      <c r="P29" s="7">
        <f>'V-FTE Apr'!P29/2</f>
        <v>28.179276104160802</v>
      </c>
      <c r="Q29" s="7">
        <f>'V-FTE Apr'!Q29/2</f>
        <v>26.152380325580108</v>
      </c>
      <c r="R29" s="7">
        <f>'V-FTE Apr'!R29/2</f>
        <v>25.989636868905745</v>
      </c>
      <c r="S29" s="7">
        <f>'V-FTE Apr'!S29/2</f>
        <v>11.643554582065741</v>
      </c>
      <c r="T29" s="7">
        <f>'V-FTE Apr'!T29/2</f>
        <v>0</v>
      </c>
      <c r="U29" s="7">
        <f>'V-FTE Apr'!U29/2</f>
        <v>37.963609984219431</v>
      </c>
      <c r="V29" s="7">
        <f>'V-FTE Apr'!V29/2</f>
        <v>28.20393420365691</v>
      </c>
      <c r="W29" s="7">
        <f>'V-FTE Apr'!W29/2</f>
        <v>28.430788719021177</v>
      </c>
      <c r="X29" s="7">
        <f>'V-FTE Apr'!X29/2</f>
        <v>26.152380325580108</v>
      </c>
      <c r="Y29" s="7">
        <f>'V-FTE Apr'!Y29/2</f>
        <v>26.47786723892883</v>
      </c>
      <c r="Z29" s="7">
        <f>'V-FTE Apr'!Z29/2</f>
        <v>11.401905207003811</v>
      </c>
      <c r="AA29" s="7">
        <f>'V-FTE Apr'!AA29/2</f>
        <v>0</v>
      </c>
      <c r="AB29" s="7">
        <f>'V-FTE Apr'!AB29/2</f>
        <v>38.723079448699792</v>
      </c>
      <c r="AC29" s="7">
        <f>'V-FTE Apr'!AC29/2</f>
        <v>28.20393420365691</v>
      </c>
      <c r="AD29" s="7">
        <f>'V-FTE Apr'!AD29/2</f>
        <v>26.423619420037372</v>
      </c>
      <c r="AE29" s="7">
        <f>'V-FTE Apr'!AE29/2</f>
        <v>22.981348730379654</v>
      </c>
      <c r="AF29" s="7">
        <f>'V-FTE Apr'!AF29/2</f>
        <v>0</v>
      </c>
    </row>
    <row r="30" spans="1:32" x14ac:dyDescent="0.25">
      <c r="A30" s="3" t="s">
        <v>35</v>
      </c>
      <c r="B30" s="7">
        <f>'V-FTE Apr'!B30/2</f>
        <v>32.45499055678723</v>
      </c>
      <c r="C30" s="7">
        <f>'V-FTE Apr'!C30/2</f>
        <v>29.796847431105977</v>
      </c>
      <c r="D30" s="7">
        <f>'V-FTE Apr'!D30/2</f>
        <v>30.797966270648267</v>
      </c>
      <c r="E30" s="7">
        <f>'V-FTE Apr'!E30/2</f>
        <v>12.348776227654644</v>
      </c>
      <c r="F30" s="7">
        <f>'V-FTE Apr'!F30/2</f>
        <v>0</v>
      </c>
      <c r="G30" s="7">
        <f>'V-FTE Apr'!G30/2</f>
        <v>40.942308403350182</v>
      </c>
      <c r="H30" s="7">
        <f>'V-FTE Apr'!H30/2</f>
        <v>31.09386346460165</v>
      </c>
      <c r="I30" s="7">
        <f>'V-FTE Apr'!I30/2</f>
        <v>29.441770798361915</v>
      </c>
      <c r="J30" s="7">
        <f>'V-FTE Apr'!J30/2</f>
        <v>27.587481716254029</v>
      </c>
      <c r="K30" s="7">
        <f>'V-FTE Apr'!K30/2</f>
        <v>27.824199471416737</v>
      </c>
      <c r="L30" s="7">
        <f>'V-FTE Apr'!L30/2</f>
        <v>11.599170002972734</v>
      </c>
      <c r="M30" s="7">
        <f>'V-FTE Apr'!M30/2</f>
        <v>0</v>
      </c>
      <c r="N30" s="7">
        <f>'V-FTE Apr'!N30/2</f>
        <v>38.372934435854951</v>
      </c>
      <c r="O30" s="7">
        <f>'V-FTE Apr'!O30/2</f>
        <v>30.10753948475703</v>
      </c>
      <c r="P30" s="7">
        <f>'V-FTE Apr'!P30/2</f>
        <v>29.190258183501534</v>
      </c>
      <c r="Q30" s="7">
        <f>'V-FTE Apr'!Q30/2</f>
        <v>27.340900721292869</v>
      </c>
      <c r="R30" s="7">
        <f>'V-FTE Apr'!R30/2</f>
        <v>26.832943871672892</v>
      </c>
      <c r="S30" s="7">
        <f>'V-FTE Apr'!S30/2</f>
        <v>11.599170002972734</v>
      </c>
      <c r="T30" s="7">
        <f>'V-FTE Apr'!T30/2</f>
        <v>0</v>
      </c>
      <c r="U30" s="7">
        <f>'V-FTE Apr'!U30/2</f>
        <v>38.890754525273373</v>
      </c>
      <c r="V30" s="7">
        <f>'V-FTE Apr'!V30/2</f>
        <v>29.619309114733944</v>
      </c>
      <c r="W30" s="7">
        <f>'V-FTE Apr'!W30/2</f>
        <v>29.190258183501534</v>
      </c>
      <c r="X30" s="7">
        <f>'V-FTE Apr'!X30/2</f>
        <v>27.587481716254029</v>
      </c>
      <c r="Y30" s="7">
        <f>'V-FTE Apr'!Y30/2</f>
        <v>27.57761847645558</v>
      </c>
      <c r="Z30" s="7">
        <f>'V-FTE Apr'!Z30/2</f>
        <v>11.347657388112356</v>
      </c>
      <c r="AA30" s="7">
        <f>'V-FTE Apr'!AA30/2</f>
        <v>0</v>
      </c>
      <c r="AB30" s="7">
        <f>'V-FTE Apr'!AB30/2</f>
        <v>39.660087229552182</v>
      </c>
      <c r="AC30" s="7">
        <f>'V-FTE Apr'!AC30/2</f>
        <v>29.619309114733944</v>
      </c>
      <c r="AD30" s="7">
        <f>'V-FTE Apr'!AD30/2</f>
        <v>27.18308888451773</v>
      </c>
      <c r="AE30" s="7">
        <f>'V-FTE Apr'!AE30/2</f>
        <v>24.145211026596304</v>
      </c>
      <c r="AF30" s="7">
        <f>'V-FTE Apr'!AF30/2</f>
        <v>0</v>
      </c>
    </row>
    <row r="31" spans="1:32" x14ac:dyDescent="0.25">
      <c r="A31" s="3" t="s">
        <v>36</v>
      </c>
      <c r="B31" s="7">
        <f>'V-FTE Apr'!B31/2</f>
        <v>32.213341181725291</v>
      </c>
      <c r="C31" s="7">
        <f>'V-FTE Apr'!C31/2</f>
        <v>30.048360045966351</v>
      </c>
      <c r="D31" s="7">
        <f>'V-FTE Apr'!D31/2</f>
        <v>30.980436206919521</v>
      </c>
      <c r="E31" s="7">
        <f>'V-FTE Apr'!E31/2</f>
        <v>12.082468753096597</v>
      </c>
      <c r="F31" s="7">
        <f>'V-FTE Apr'!F31/2</f>
        <v>0</v>
      </c>
      <c r="G31" s="7">
        <f>'V-FTE Apr'!G31/2</f>
        <v>40.246949997559724</v>
      </c>
      <c r="H31" s="7">
        <f>'V-FTE Apr'!H31/2</f>
        <v>31.4883930565395</v>
      </c>
      <c r="I31" s="7">
        <f>'V-FTE Apr'!I31/2</f>
        <v>29.224779522796094</v>
      </c>
      <c r="J31" s="7">
        <f>'V-FTE Apr'!J31/2</f>
        <v>27.873515670408967</v>
      </c>
      <c r="K31" s="7">
        <f>'V-FTE Apr'!K31/2</f>
        <v>27.819267851517509</v>
      </c>
      <c r="L31" s="7">
        <f>'V-FTE Apr'!L31/2</f>
        <v>11.332862528414685</v>
      </c>
      <c r="M31" s="7">
        <f>'V-FTE Apr'!M31/2</f>
        <v>0</v>
      </c>
      <c r="N31" s="7">
        <f>'V-FTE Apr'!N31/2</f>
        <v>37.943883504622534</v>
      </c>
      <c r="O31" s="7">
        <f>'V-FTE Apr'!O31/2</f>
        <v>30.260419701632948</v>
      </c>
      <c r="P31" s="7">
        <f>'V-FTE Apr'!P31/2</f>
        <v>28.978198527834937</v>
      </c>
      <c r="Q31" s="7">
        <f>'V-FTE Apr'!Q31/2</f>
        <v>27.631866295347034</v>
      </c>
      <c r="R31" s="7">
        <f>'V-FTE Apr'!R31/2</f>
        <v>27.089388106432494</v>
      </c>
      <c r="S31" s="7">
        <f>'V-FTE Apr'!S31/2</f>
        <v>11.332862528414685</v>
      </c>
      <c r="T31" s="7">
        <f>'V-FTE Apr'!T31/2</f>
        <v>0</v>
      </c>
      <c r="U31" s="7">
        <f>'V-FTE Apr'!U31/2</f>
        <v>37.943883504622534</v>
      </c>
      <c r="V31" s="7">
        <f>'V-FTE Apr'!V31/2</f>
        <v>30.013838706671795</v>
      </c>
      <c r="W31" s="7">
        <f>'V-FTE Apr'!W31/2</f>
        <v>29.224779522796094</v>
      </c>
      <c r="X31" s="7">
        <f>'V-FTE Apr'!X31/2</f>
        <v>27.873515670408967</v>
      </c>
      <c r="Y31" s="7">
        <f>'V-FTE Apr'!Y31/2</f>
        <v>27.572686856556356</v>
      </c>
      <c r="Z31" s="7">
        <f>'V-FTE Apr'!Z31/2</f>
        <v>11.081349913554307</v>
      </c>
      <c r="AA31" s="7">
        <f>'V-FTE Apr'!AA31/2</f>
        <v>0</v>
      </c>
      <c r="AB31" s="7">
        <f>'V-FTE Apr'!AB31/2</f>
        <v>38.969660443660942</v>
      </c>
      <c r="AC31" s="7">
        <f>'V-FTE Apr'!AC31/2</f>
        <v>30.013838706671795</v>
      </c>
      <c r="AD31" s="7">
        <f>'V-FTE Apr'!AD31/2</f>
        <v>26.980892468649589</v>
      </c>
      <c r="AE31" s="7">
        <f>'V-FTE Apr'!AE31/2</f>
        <v>24.485492799642696</v>
      </c>
      <c r="AF31" s="7">
        <f>'V-FTE Apr'!AF31/2</f>
        <v>0</v>
      </c>
    </row>
    <row r="32" spans="1:32" x14ac:dyDescent="0.25">
      <c r="A32" s="3" t="s">
        <v>37</v>
      </c>
      <c r="B32" s="7">
        <f>'V-FTE Apr'!B32/2</f>
        <v>33.391998337639613</v>
      </c>
      <c r="C32" s="7">
        <f>'V-FTE Apr'!C32/2</f>
        <v>29.934932788284225</v>
      </c>
      <c r="D32" s="7">
        <f>'V-FTE Apr'!D32/2</f>
        <v>31.039615645710196</v>
      </c>
      <c r="E32" s="7">
        <f>'V-FTE Apr'!E32/2</f>
        <v>11.722460500453311</v>
      </c>
      <c r="F32" s="7">
        <f>'V-FTE Apr'!F32/2</f>
        <v>0</v>
      </c>
      <c r="G32" s="7">
        <f>'V-FTE Apr'!G32/2</f>
        <v>40.784496566575044</v>
      </c>
      <c r="H32" s="7">
        <f>'V-FTE Apr'!H32/2</f>
        <v>31.286196640671349</v>
      </c>
      <c r="I32" s="7">
        <f>'V-FTE Apr'!I32/2</f>
        <v>30.388641819012751</v>
      </c>
      <c r="J32" s="7">
        <f>'V-FTE Apr'!J32/2</f>
        <v>27.784746512222952</v>
      </c>
      <c r="K32" s="7">
        <f>'V-FTE Apr'!K32/2</f>
        <v>27.873515670408967</v>
      </c>
      <c r="L32" s="7">
        <f>'V-FTE Apr'!L32/2</f>
        <v>10.992580755368293</v>
      </c>
      <c r="M32" s="7">
        <f>'V-FTE Apr'!M32/2</f>
        <v>0</v>
      </c>
      <c r="N32" s="7">
        <f>'V-FTE Apr'!N32/2</f>
        <v>38.215122599079805</v>
      </c>
      <c r="O32" s="7">
        <f>'V-FTE Apr'!O32/2</f>
        <v>30.068086525563245</v>
      </c>
      <c r="P32" s="7">
        <f>'V-FTE Apr'!P32/2</f>
        <v>29.885616589291992</v>
      </c>
      <c r="Q32" s="7">
        <f>'V-FTE Apr'!Q32/2</f>
        <v>27.548028757060244</v>
      </c>
      <c r="R32" s="7">
        <f>'V-FTE Apr'!R32/2</f>
        <v>27.143635925323945</v>
      </c>
      <c r="S32" s="7">
        <f>'V-FTE Apr'!S32/2</f>
        <v>10.992580755368293</v>
      </c>
      <c r="T32" s="7">
        <f>'V-FTE Apr'!T32/2</f>
        <v>0</v>
      </c>
      <c r="U32" s="7">
        <f>'V-FTE Apr'!U32/2</f>
        <v>38.728011068599017</v>
      </c>
      <c r="V32" s="7">
        <f>'V-FTE Apr'!V32/2</f>
        <v>29.821505530602092</v>
      </c>
      <c r="W32" s="7">
        <f>'V-FTE Apr'!W32/2</f>
        <v>30.13712920415237</v>
      </c>
      <c r="X32" s="7">
        <f>'V-FTE Apr'!X32/2</f>
        <v>27.784746512222952</v>
      </c>
      <c r="Y32" s="7">
        <f>'V-FTE Apr'!Y32/2</f>
        <v>27.873515670408967</v>
      </c>
      <c r="Z32" s="7">
        <f>'V-FTE Apr'!Z32/2</f>
        <v>10.992580755368293</v>
      </c>
      <c r="AA32" s="7">
        <f>'V-FTE Apr'!AA32/2</f>
        <v>0</v>
      </c>
      <c r="AB32" s="7">
        <f>'V-FTE Apr'!AB32/2</f>
        <v>39.502275392777037</v>
      </c>
      <c r="AC32" s="7">
        <f>'V-FTE Apr'!AC32/2</f>
        <v>29.821505530602092</v>
      </c>
      <c r="AD32" s="7">
        <f>'V-FTE Apr'!AD32/2</f>
        <v>28.13489152506779</v>
      </c>
      <c r="AE32" s="7">
        <f>'V-FTE Apr'!AE32/2</f>
        <v>24.44110822054969</v>
      </c>
      <c r="AF32" s="7">
        <f>'V-FTE Apr'!AF32/2</f>
        <v>0</v>
      </c>
    </row>
    <row r="33" spans="1:32" x14ac:dyDescent="0.25">
      <c r="A33" s="3" t="s">
        <v>38</v>
      </c>
      <c r="B33" s="7">
        <f>'V-FTE Apr'!B33/2</f>
        <v>33.776664689779018</v>
      </c>
      <c r="C33" s="7">
        <f>'V-FTE Apr'!C33/2</f>
        <v>29.653830454028508</v>
      </c>
      <c r="D33" s="7">
        <f>'V-FTE Apr'!D33/2</f>
        <v>31.182632622787665</v>
      </c>
      <c r="E33" s="7">
        <f>'V-FTE Apr'!E33/2</f>
        <v>11.525195704484387</v>
      </c>
      <c r="F33" s="7">
        <f>'V-FTE Apr'!F33/2</f>
        <v>0</v>
      </c>
      <c r="G33" s="7">
        <f>'V-FTE Apr'!G33/2</f>
        <v>39.369121655498013</v>
      </c>
      <c r="H33" s="7">
        <f>'V-FTE Apr'!H33/2</f>
        <v>30.940983247725736</v>
      </c>
      <c r="I33" s="7">
        <f>'V-FTE Apr'!I33/2</f>
        <v>30.689470632865358</v>
      </c>
      <c r="J33" s="7">
        <f>'V-FTE Apr'!J33/2</f>
        <v>27.414875019781224</v>
      </c>
      <c r="K33" s="7">
        <f>'V-FTE Apr'!K33/2</f>
        <v>27.947489968897315</v>
      </c>
      <c r="L33" s="7">
        <f>'V-FTE Apr'!L33/2</f>
        <v>11.05176019415897</v>
      </c>
      <c r="M33" s="7">
        <f>'V-FTE Apr'!M33/2</f>
        <v>0</v>
      </c>
      <c r="N33" s="7">
        <f>'V-FTE Apr'!N33/2</f>
        <v>37.046328682963932</v>
      </c>
      <c r="O33" s="7">
        <f>'V-FTE Apr'!O33/2</f>
        <v>29.713009892819187</v>
      </c>
      <c r="P33" s="7">
        <f>'V-FTE Apr'!P33/2</f>
        <v>30.433026398105756</v>
      </c>
      <c r="Q33" s="7">
        <f>'V-FTE Apr'!Q33/2</f>
        <v>27.168294024820067</v>
      </c>
      <c r="R33" s="7">
        <f>'V-FTE Apr'!R33/2</f>
        <v>27.1978837442154</v>
      </c>
      <c r="S33" s="7">
        <f>'V-FTE Apr'!S33/2</f>
        <v>10.815042438996262</v>
      </c>
      <c r="T33" s="7">
        <f>'V-FTE Apr'!T33/2</f>
        <v>0</v>
      </c>
      <c r="U33" s="7">
        <f>'V-FTE Apr'!U33/2</f>
        <v>37.302772917723537</v>
      </c>
      <c r="V33" s="7">
        <f>'V-FTE Apr'!V33/2</f>
        <v>29.471360517757255</v>
      </c>
      <c r="W33" s="7">
        <f>'V-FTE Apr'!W33/2</f>
        <v>30.433026398105756</v>
      </c>
      <c r="X33" s="7">
        <f>'V-FTE Apr'!X33/2</f>
        <v>27.414875019781224</v>
      </c>
      <c r="Y33" s="7">
        <f>'V-FTE Apr'!Y33/2</f>
        <v>27.947489968897315</v>
      </c>
      <c r="Z33" s="7">
        <f>'V-FTE Apr'!Z33/2</f>
        <v>10.815042438996262</v>
      </c>
      <c r="AA33" s="7">
        <f>'V-FTE Apr'!AA33/2</f>
        <v>0</v>
      </c>
      <c r="AB33" s="7">
        <f>'V-FTE Apr'!AB33/2</f>
        <v>38.077037241901557</v>
      </c>
      <c r="AC33" s="7">
        <f>'V-FTE Apr'!AC33/2</f>
        <v>29.471360517757255</v>
      </c>
      <c r="AD33" s="7">
        <f>'V-FTE Apr'!AD33/2</f>
        <v>28.371609280230505</v>
      </c>
      <c r="AE33" s="7">
        <f>'V-FTE Apr'!AE33/2</f>
        <v>24.179732365890864</v>
      </c>
      <c r="AF33" s="7">
        <f>'V-FTE Apr'!AF33/2</f>
        <v>0</v>
      </c>
    </row>
    <row r="34" spans="1:32" x14ac:dyDescent="0.25">
      <c r="A34" s="3" t="s">
        <v>39</v>
      </c>
      <c r="B34" s="7">
        <f>'V-FTE Apr'!B34/2</f>
        <v>33.071443044190119</v>
      </c>
      <c r="C34" s="7">
        <f>'V-FTE Apr'!C34/2</f>
        <v>29.407249459067351</v>
      </c>
      <c r="D34" s="7">
        <f>'V-FTE Apr'!D34/2</f>
        <v>30.423163158307307</v>
      </c>
      <c r="E34" s="7">
        <f>'V-FTE Apr'!E34/2</f>
        <v>11.461084645794486</v>
      </c>
      <c r="F34" s="7">
        <f>'V-FTE Apr'!F34/2</f>
        <v>0</v>
      </c>
      <c r="G34" s="7">
        <f>'V-FTE Apr'!G34/2</f>
        <v>38.042515902607001</v>
      </c>
      <c r="H34" s="7">
        <f>'V-FTE Apr'!H34/2</f>
        <v>30.669744153268461</v>
      </c>
      <c r="I34" s="7">
        <f>'V-FTE Apr'!I34/2</f>
        <v>29.954659267881116</v>
      </c>
      <c r="J34" s="7">
        <f>'V-FTE Apr'!J34/2</f>
        <v>27.400080160083547</v>
      </c>
      <c r="K34" s="7">
        <f>'V-FTE Apr'!K34/2</f>
        <v>27.390216920285102</v>
      </c>
      <c r="L34" s="7">
        <f>'V-FTE Apr'!L34/2</f>
        <v>10.977785895670625</v>
      </c>
      <c r="M34" s="7">
        <f>'V-FTE Apr'!M34/2</f>
        <v>0</v>
      </c>
      <c r="N34" s="7">
        <f>'V-FTE Apr'!N34/2</f>
        <v>35.70492807037526</v>
      </c>
      <c r="O34" s="7">
        <f>'V-FTE Apr'!O34/2</f>
        <v>29.688351793323072</v>
      </c>
      <c r="P34" s="7">
        <f>'V-FTE Apr'!P34/2</f>
        <v>29.693283413222293</v>
      </c>
      <c r="Q34" s="7">
        <f>'V-FTE Apr'!Q34/2</f>
        <v>27.148567545223166</v>
      </c>
      <c r="R34" s="7">
        <f>'V-FTE Apr'!R34/2</f>
        <v>26.630747455804748</v>
      </c>
      <c r="S34" s="7">
        <f>'V-FTE Apr'!S34/2</f>
        <v>10.736136520608691</v>
      </c>
      <c r="T34" s="7">
        <f>'V-FTE Apr'!T34/2</f>
        <v>0</v>
      </c>
      <c r="U34" s="7">
        <f>'V-FTE Apr'!U34/2</f>
        <v>35.966303925034083</v>
      </c>
      <c r="V34" s="7">
        <f>'V-FTE Apr'!V34/2</f>
        <v>29.200121423299983</v>
      </c>
      <c r="W34" s="7">
        <f>'V-FTE Apr'!W34/2</f>
        <v>29.954659267881116</v>
      </c>
      <c r="X34" s="7">
        <f>'V-FTE Apr'!X34/2</f>
        <v>27.400080160083547</v>
      </c>
      <c r="Y34" s="7">
        <f>'V-FTE Apr'!Y34/2</f>
        <v>27.390216920285102</v>
      </c>
      <c r="Z34" s="7">
        <f>'V-FTE Apr'!Z34/2</f>
        <v>10.736136520608691</v>
      </c>
      <c r="AA34" s="7">
        <f>'V-FTE Apr'!AA34/2</f>
        <v>0</v>
      </c>
      <c r="AB34" s="7">
        <f>'V-FTE Apr'!AB34/2</f>
        <v>36.745499869111327</v>
      </c>
      <c r="AC34" s="7">
        <f>'V-FTE Apr'!AC34/2</f>
        <v>29.200121423299983</v>
      </c>
      <c r="AD34" s="7">
        <f>'V-FTE Apr'!AD34/2</f>
        <v>27.873515670408967</v>
      </c>
      <c r="AE34" s="7">
        <f>'V-FTE Apr'!AE34/2</f>
        <v>23.883835171937477</v>
      </c>
      <c r="AF34" s="7">
        <f>'V-FTE Apr'!AF34/2</f>
        <v>0</v>
      </c>
    </row>
    <row r="35" spans="1:32" x14ac:dyDescent="0.25">
      <c r="A35" s="3" t="s">
        <v>40</v>
      </c>
      <c r="B35" s="7">
        <f>'V-FTE Apr'!B35/2</f>
        <v>31.823743209686672</v>
      </c>
      <c r="C35" s="7">
        <f>'V-FTE Apr'!C35/2</f>
        <v>28.455446818517292</v>
      </c>
      <c r="D35" s="7">
        <f>'V-FTE Apr'!D35/2</f>
        <v>30.176582163346154</v>
      </c>
      <c r="E35" s="7">
        <f>'V-FTE Apr'!E35/2</f>
        <v>11.184913931437993</v>
      </c>
      <c r="F35" s="7">
        <f>'V-FTE Apr'!F35/2</f>
        <v>0</v>
      </c>
      <c r="G35" s="7">
        <f>'V-FTE Apr'!G35/2</f>
        <v>37.934020264824092</v>
      </c>
      <c r="H35" s="7">
        <f>'V-FTE Apr'!H35/2</f>
        <v>30.176582163346154</v>
      </c>
      <c r="I35" s="7">
        <f>'V-FTE Apr'!I35/2</f>
        <v>28.697096193579227</v>
      </c>
      <c r="J35" s="7">
        <f>'V-FTE Apr'!J35/2</f>
        <v>26.463072379231157</v>
      </c>
      <c r="K35" s="7">
        <f>'V-FTE Apr'!K35/2</f>
        <v>27.059798387037155</v>
      </c>
      <c r="L35" s="7">
        <f>'V-FTE Apr'!L35/2</f>
        <v>10.933401316577616</v>
      </c>
      <c r="M35" s="7">
        <f>'V-FTE Apr'!M35/2</f>
        <v>0</v>
      </c>
      <c r="N35" s="7">
        <f>'V-FTE Apr'!N35/2</f>
        <v>35.571774333096222</v>
      </c>
      <c r="O35" s="7">
        <f>'V-FTE Apr'!O35/2</f>
        <v>28.95354042833883</v>
      </c>
      <c r="P35" s="7">
        <f>'V-FTE Apr'!P35/2</f>
        <v>28.435720338920397</v>
      </c>
      <c r="Q35" s="7">
        <f>'V-FTE Apr'!Q35/2</f>
        <v>26.216491384270004</v>
      </c>
      <c r="R35" s="7">
        <f>'V-FTE Apr'!R35/2</f>
        <v>26.537046677719506</v>
      </c>
      <c r="S35" s="7">
        <f>'V-FTE Apr'!S35/2</f>
        <v>10.676957081818012</v>
      </c>
      <c r="T35" s="7">
        <f>'V-FTE Apr'!T35/2</f>
        <v>0</v>
      </c>
      <c r="U35" s="7">
        <f>'V-FTE Apr'!U35/2</f>
        <v>35.833150187755052</v>
      </c>
      <c r="V35" s="7">
        <f>'V-FTE Apr'!V35/2</f>
        <v>28.711891053276894</v>
      </c>
      <c r="W35" s="7">
        <f>'V-FTE Apr'!W35/2</f>
        <v>28.697096193579227</v>
      </c>
      <c r="X35" s="7">
        <f>'V-FTE Apr'!X35/2</f>
        <v>26.463072379231157</v>
      </c>
      <c r="Y35" s="7">
        <f>'V-FTE Apr'!Y35/2</f>
        <v>27.059798387037155</v>
      </c>
      <c r="Z35" s="7">
        <f>'V-FTE Apr'!Z35/2</f>
        <v>10.676957081818012</v>
      </c>
      <c r="AA35" s="7">
        <f>'V-FTE Apr'!AA35/2</f>
        <v>0</v>
      </c>
      <c r="AB35" s="7">
        <f>'V-FTE Apr'!AB35/2</f>
        <v>36.622209371630753</v>
      </c>
      <c r="AC35" s="7">
        <f>'V-FTE Apr'!AC35/2</f>
        <v>28.711891053276894</v>
      </c>
      <c r="AD35" s="7">
        <f>'V-FTE Apr'!AD35/2</f>
        <v>26.615952596107075</v>
      </c>
      <c r="AE35" s="7">
        <f>'V-FTE Apr'!AE35/2</f>
        <v>23.222998105441583</v>
      </c>
      <c r="AF35" s="7">
        <f>'V-FTE Apr'!AF35/2</f>
        <v>0</v>
      </c>
    </row>
    <row r="36" spans="1:32" x14ac:dyDescent="0.25">
      <c r="A36" s="3" t="s">
        <v>41</v>
      </c>
      <c r="B36" s="7">
        <f>'V-FTE Apr'!B36/2</f>
        <v>30.773308171152152</v>
      </c>
      <c r="C36" s="7">
        <f>'V-FTE Apr'!C36/2</f>
        <v>28.425857099121956</v>
      </c>
      <c r="D36" s="7">
        <f>'V-FTE Apr'!D36/2</f>
        <v>29.343138400377452</v>
      </c>
      <c r="E36" s="7">
        <f>'V-FTE Apr'!E36/2</f>
        <v>11.061623433957415</v>
      </c>
      <c r="F36" s="7">
        <f>'V-FTE Apr'!F36/2</f>
        <v>0</v>
      </c>
      <c r="G36" s="7">
        <f>'V-FTE Apr'!G36/2</f>
        <v>36.572893172638516</v>
      </c>
      <c r="H36" s="7">
        <f>'V-FTE Apr'!H36/2</f>
        <v>29.752462852012965</v>
      </c>
      <c r="I36" s="7">
        <f>'V-FTE Apr'!I36/2</f>
        <v>28.00173778778877</v>
      </c>
      <c r="J36" s="7">
        <f>'V-FTE Apr'!J36/2</f>
        <v>26.398961320541261</v>
      </c>
      <c r="K36" s="7">
        <f>'V-FTE Apr'!K36/2</f>
        <v>26.201696524572341</v>
      </c>
      <c r="L36" s="7">
        <f>'V-FTE Apr'!L36/2</f>
        <v>10.548734964438212</v>
      </c>
      <c r="M36" s="7">
        <f>'V-FTE Apr'!M36/2</f>
        <v>0</v>
      </c>
      <c r="N36" s="7">
        <f>'V-FTE Apr'!N36/2</f>
        <v>34.486817955267149</v>
      </c>
      <c r="O36" s="7">
        <f>'V-FTE Apr'!O36/2</f>
        <v>28.52942111700564</v>
      </c>
      <c r="P36" s="7">
        <f>'V-FTE Apr'!P36/2</f>
        <v>27.498712558068011</v>
      </c>
      <c r="Q36" s="7">
        <f>'V-FTE Apr'!Q36/2</f>
        <v>26.14744870568088</v>
      </c>
      <c r="R36" s="7">
        <f>'V-FTE Apr'!R36/2</f>
        <v>25.678944815254688</v>
      </c>
      <c r="S36" s="7">
        <f>'V-FTE Apr'!S36/2</f>
        <v>10.548734964438212</v>
      </c>
      <c r="T36" s="7">
        <f>'V-FTE Apr'!T36/2</f>
        <v>0</v>
      </c>
      <c r="U36" s="7">
        <f>'V-FTE Apr'!U36/2</f>
        <v>34.748193809925965</v>
      </c>
      <c r="V36" s="7">
        <f>'V-FTE Apr'!V36/2</f>
        <v>28.282840122044487</v>
      </c>
      <c r="W36" s="7">
        <f>'V-FTE Apr'!W36/2</f>
        <v>27.750225172928392</v>
      </c>
      <c r="X36" s="7">
        <f>'V-FTE Apr'!X36/2</f>
        <v>26.398961320541261</v>
      </c>
      <c r="Y36" s="7">
        <f>'V-FTE Apr'!Y36/2</f>
        <v>26.201696524572341</v>
      </c>
      <c r="Z36" s="7">
        <f>'V-FTE Apr'!Z36/2</f>
        <v>10.292290729678612</v>
      </c>
      <c r="AA36" s="7">
        <f>'V-FTE Apr'!AA36/2</f>
        <v>0</v>
      </c>
      <c r="AB36" s="7">
        <f>'V-FTE Apr'!AB36/2</f>
        <v>35.527389754003224</v>
      </c>
      <c r="AC36" s="7">
        <f>'V-FTE Apr'!AC36/2</f>
        <v>28.282840122044487</v>
      </c>
      <c r="AD36" s="7">
        <f>'V-FTE Apr'!AD36/2</f>
        <v>25.738124254045363</v>
      </c>
      <c r="AE36" s="7">
        <f>'V-FTE Apr'!AE36/2</f>
        <v>23.104639227860229</v>
      </c>
      <c r="AF36" s="7">
        <f>'V-FTE Apr'!AF36/2</f>
        <v>0</v>
      </c>
    </row>
    <row r="37" spans="1:32" x14ac:dyDescent="0.25">
      <c r="A37" s="3" t="s">
        <v>42</v>
      </c>
      <c r="B37" s="7">
        <f>'V-FTE Apr'!B37/2</f>
        <v>29.920137928586556</v>
      </c>
      <c r="C37" s="7">
        <f>'V-FTE Apr'!C37/2</f>
        <v>27.138704305424724</v>
      </c>
      <c r="D37" s="7">
        <f>'V-FTE Apr'!D37/2</f>
        <v>28.776002111966797</v>
      </c>
      <c r="E37" s="7">
        <f>'V-FTE Apr'!E37/2</f>
        <v>10.277495869980942</v>
      </c>
      <c r="F37" s="7">
        <f>'V-FTE Apr'!F37/2</f>
        <v>0</v>
      </c>
      <c r="G37" s="7">
        <f>'V-FTE Apr'!G37/2</f>
        <v>34.881347547204996</v>
      </c>
      <c r="H37" s="7">
        <f>'V-FTE Apr'!H37/2</f>
        <v>29.190258183501534</v>
      </c>
      <c r="I37" s="7">
        <f>'V-FTE Apr'!I37/2</f>
        <v>27.18308888451773</v>
      </c>
      <c r="J37" s="7">
        <f>'V-FTE Apr'!J37/2</f>
        <v>25.383047621301298</v>
      </c>
      <c r="K37" s="7">
        <f>'V-FTE Apr'!K37/2</f>
        <v>25.955115529611184</v>
      </c>
      <c r="L37" s="7">
        <f>'V-FTE Apr'!L37/2</f>
        <v>10.025983255120563</v>
      </c>
      <c r="M37" s="7">
        <f>'V-FTE Apr'!M37/2</f>
        <v>0</v>
      </c>
      <c r="N37" s="7">
        <f>'V-FTE Apr'!N37/2</f>
        <v>32.805135569632064</v>
      </c>
      <c r="O37" s="7">
        <f>'V-FTE Apr'!O37/2</f>
        <v>28.20393420365691</v>
      </c>
      <c r="P37" s="7">
        <f>'V-FTE Apr'!P37/2</f>
        <v>26.936507889556577</v>
      </c>
      <c r="Q37" s="7">
        <f>'V-FTE Apr'!Q37/2</f>
        <v>25.131535006440924</v>
      </c>
      <c r="R37" s="7">
        <f>'V-FTE Apr'!R37/2</f>
        <v>25.185782825332378</v>
      </c>
      <c r="S37" s="7">
        <f>'V-FTE Apr'!S37/2</f>
        <v>9.7695390203609627</v>
      </c>
      <c r="T37" s="7">
        <f>'V-FTE Apr'!T37/2</f>
        <v>0</v>
      </c>
      <c r="U37" s="7">
        <f>'V-FTE Apr'!U37/2</f>
        <v>33.061579804391677</v>
      </c>
      <c r="V37" s="7">
        <f>'V-FTE Apr'!V37/2</f>
        <v>27.710772213734604</v>
      </c>
      <c r="W37" s="7">
        <f>'V-FTE Apr'!W37/2</f>
        <v>26.936507889556577</v>
      </c>
      <c r="X37" s="7">
        <f>'V-FTE Apr'!X37/2</f>
        <v>25.383047621301298</v>
      </c>
      <c r="Y37" s="7">
        <f>'V-FTE Apr'!Y37/2</f>
        <v>25.955115529611184</v>
      </c>
      <c r="Z37" s="7">
        <f>'V-FTE Apr'!Z37/2</f>
        <v>9.7695390203609627</v>
      </c>
      <c r="AA37" s="7">
        <f>'V-FTE Apr'!AA37/2</f>
        <v>0</v>
      </c>
      <c r="AB37" s="7">
        <f>'V-FTE Apr'!AB37/2</f>
        <v>33.840775748468921</v>
      </c>
      <c r="AC37" s="7">
        <f>'V-FTE Apr'!AC37/2</f>
        <v>27.710772213734604</v>
      </c>
      <c r="AD37" s="7">
        <f>'V-FTE Apr'!AD37/2</f>
        <v>25.190714445231599</v>
      </c>
      <c r="AE37" s="7">
        <f>'V-FTE Apr'!AE37/2</f>
        <v>22.118315248015609</v>
      </c>
      <c r="AF37" s="7">
        <f>'V-FTE Apr'!AF37/2</f>
        <v>0</v>
      </c>
    </row>
    <row r="38" spans="1:32" x14ac:dyDescent="0.25">
      <c r="A38" s="3" t="s">
        <v>43</v>
      </c>
      <c r="B38" s="7">
        <f>'V-FTE Apr'!B38/2</f>
        <v>28.785865351765239</v>
      </c>
      <c r="C38" s="7">
        <f>'V-FTE Apr'!C38/2</f>
        <v>25.871277991324391</v>
      </c>
      <c r="D38" s="7">
        <f>'V-FTE Apr'!D38/2</f>
        <v>27.572686856556356</v>
      </c>
      <c r="E38" s="7">
        <f>'V-FTE Apr'!E38/2</f>
        <v>9.7399493009656233</v>
      </c>
      <c r="F38" s="7">
        <f>'V-FTE Apr'!F38/2</f>
        <v>0</v>
      </c>
      <c r="G38" s="7">
        <f>'V-FTE Apr'!G38/2</f>
        <v>33.165143822275354</v>
      </c>
      <c r="H38" s="7">
        <f>'V-FTE Apr'!H38/2</f>
        <v>28.258182022548365</v>
      </c>
      <c r="I38" s="7">
        <f>'V-FTE Apr'!I38/2</f>
        <v>26.246081103665347</v>
      </c>
      <c r="J38" s="7">
        <f>'V-FTE Apr'!J38/2</f>
        <v>24.100826447503291</v>
      </c>
      <c r="K38" s="7">
        <f>'V-FTE Apr'!K38/2</f>
        <v>24.741937034402302</v>
      </c>
      <c r="L38" s="7">
        <f>'V-FTE Apr'!L38/2</f>
        <v>9.4884366861052456</v>
      </c>
      <c r="M38" s="7">
        <f>'V-FTE Apr'!M38/2</f>
        <v>0</v>
      </c>
      <c r="N38" s="7">
        <f>'V-FTE Apr'!N38/2</f>
        <v>31.098795084500875</v>
      </c>
      <c r="O38" s="7">
        <f>'V-FTE Apr'!O38/2</f>
        <v>27.266926422804527</v>
      </c>
      <c r="P38" s="7">
        <f>'V-FTE Apr'!P38/2</f>
        <v>25.989636868905745</v>
      </c>
      <c r="Q38" s="7">
        <f>'V-FTE Apr'!Q38/2</f>
        <v>23.844382212743692</v>
      </c>
      <c r="R38" s="7">
        <f>'V-FTE Apr'!R38/2</f>
        <v>24.224116944983873</v>
      </c>
      <c r="S38" s="7">
        <f>'V-FTE Apr'!S38/2</f>
        <v>9.2319924513456435</v>
      </c>
      <c r="T38" s="7">
        <f>'V-FTE Apr'!T38/2</f>
        <v>0</v>
      </c>
      <c r="U38" s="7">
        <f>'V-FTE Apr'!U38/2</f>
        <v>31.355239319260477</v>
      </c>
      <c r="V38" s="7">
        <f>'V-FTE Apr'!V38/2</f>
        <v>26.773764432882217</v>
      </c>
      <c r="W38" s="7">
        <f>'V-FTE Apr'!W38/2</f>
        <v>25.989636868905745</v>
      </c>
      <c r="X38" s="7">
        <f>'V-FTE Apr'!X38/2</f>
        <v>24.100826447503291</v>
      </c>
      <c r="Y38" s="7">
        <f>'V-FTE Apr'!Y38/2</f>
        <v>24.741937034402302</v>
      </c>
      <c r="Z38" s="7">
        <f>'V-FTE Apr'!Z38/2</f>
        <v>9.2319924513456435</v>
      </c>
      <c r="AA38" s="7">
        <f>'V-FTE Apr'!AA38/2</f>
        <v>0</v>
      </c>
      <c r="AB38" s="7">
        <f>'V-FTE Apr'!AB38/2</f>
        <v>31.873059408678902</v>
      </c>
      <c r="AC38" s="7">
        <f>'V-FTE Apr'!AC38/2</f>
        <v>27.02034542784337</v>
      </c>
      <c r="AD38" s="7">
        <f>'V-FTE Apr'!AD38/2</f>
        <v>24.209322085286203</v>
      </c>
      <c r="AE38" s="7">
        <f>'V-FTE Apr'!AE38/2</f>
        <v>21.053085349783416</v>
      </c>
      <c r="AF38" s="7">
        <f>'V-FTE Apr'!AF38/2</f>
        <v>0</v>
      </c>
    </row>
    <row r="39" spans="1:32" x14ac:dyDescent="0.25">
      <c r="A39" s="3" t="s">
        <v>44</v>
      </c>
      <c r="B39" s="7">
        <f>'V-FTE Apr'!B39/2</f>
        <v>27.000618948246476</v>
      </c>
      <c r="C39" s="7">
        <f>'V-FTE Apr'!C39/2</f>
        <v>24.534808998634926</v>
      </c>
      <c r="D39" s="7">
        <f>'V-FTE Apr'!D39/2</f>
        <v>25.466885159588095</v>
      </c>
      <c r="E39" s="7">
        <f>'V-FTE Apr'!E39/2</f>
        <v>8.8029415201132348</v>
      </c>
      <c r="F39" s="7">
        <f>'V-FTE Apr'!F39/2</f>
        <v>0</v>
      </c>
      <c r="G39" s="7">
        <f>'V-FTE Apr'!G39/2</f>
        <v>30.847282469640493</v>
      </c>
      <c r="H39" s="7">
        <f>'V-FTE Apr'!H39/2</f>
        <v>26.408824560339703</v>
      </c>
      <c r="I39" s="7">
        <f>'V-FTE Apr'!I39/2</f>
        <v>24.426313360852021</v>
      </c>
      <c r="J39" s="7">
        <f>'V-FTE Apr'!J39/2</f>
        <v>22.986280350278875</v>
      </c>
      <c r="K39" s="7">
        <f>'V-FTE Apr'!K39/2</f>
        <v>23.07504950846489</v>
      </c>
      <c r="L39" s="7">
        <f>'V-FTE Apr'!L39/2</f>
        <v>8.3048479102917021</v>
      </c>
      <c r="M39" s="7">
        <f>'V-FTE Apr'!M39/2</f>
        <v>0</v>
      </c>
      <c r="N39" s="7">
        <f>'V-FTE Apr'!N39/2</f>
        <v>29.017651487028729</v>
      </c>
      <c r="O39" s="7">
        <f>'V-FTE Apr'!O39/2</f>
        <v>25.654286715758573</v>
      </c>
      <c r="P39" s="7">
        <f>'V-FTE Apr'!P39/2</f>
        <v>24.169869126092415</v>
      </c>
      <c r="Q39" s="7">
        <f>'V-FTE Apr'!Q39/2</f>
        <v>22.729836115519277</v>
      </c>
      <c r="R39" s="7">
        <f>'V-FTE Apr'!R39/2</f>
        <v>22.276127084790748</v>
      </c>
      <c r="S39" s="7">
        <f>'V-FTE Apr'!S39/2</f>
        <v>8.3048479102917021</v>
      </c>
      <c r="T39" s="7">
        <f>'V-FTE Apr'!T39/2</f>
        <v>0</v>
      </c>
      <c r="U39" s="7">
        <f>'V-FTE Apr'!U39/2</f>
        <v>29.279027341687552</v>
      </c>
      <c r="V39" s="7">
        <f>'V-FTE Apr'!V39/2</f>
        <v>25.151261486037818</v>
      </c>
      <c r="W39" s="7">
        <f>'V-FTE Apr'!W39/2</f>
        <v>24.169869126092415</v>
      </c>
      <c r="X39" s="7">
        <f>'V-FTE Apr'!X39/2</f>
        <v>22.729836115519277</v>
      </c>
      <c r="Y39" s="7">
        <f>'V-FTE Apr'!Y39/2</f>
        <v>22.808742033906842</v>
      </c>
      <c r="Z39" s="7">
        <f>'V-FTE Apr'!Z39/2</f>
        <v>8.3048479102917021</v>
      </c>
      <c r="AA39" s="7">
        <f>'V-FTE Apr'!AA39/2</f>
        <v>0</v>
      </c>
      <c r="AB39" s="7">
        <f>'V-FTE Apr'!AB39/2</f>
        <v>29.801779051005198</v>
      </c>
      <c r="AC39" s="7">
        <f>'V-FTE Apr'!AC39/2</f>
        <v>25.151261486037818</v>
      </c>
      <c r="AD39" s="7">
        <f>'V-FTE Apr'!AD39/2</f>
        <v>22.626272097635589</v>
      </c>
      <c r="AE39" s="7">
        <f>'V-FTE Apr'!AE39/2</f>
        <v>20.140735668427144</v>
      </c>
      <c r="AF39" s="7">
        <f>'V-FTE Apr'!AF39/2</f>
        <v>0</v>
      </c>
    </row>
    <row r="40" spans="1:32" x14ac:dyDescent="0.25">
      <c r="A40" s="3" t="s">
        <v>45</v>
      </c>
      <c r="B40" s="7">
        <f>'V-FTE Apr'!B40/2</f>
        <v>24.421381740952796</v>
      </c>
      <c r="C40" s="7">
        <f>'V-FTE Apr'!C40/2</f>
        <v>21.585700298899514</v>
      </c>
      <c r="D40" s="7">
        <f>'V-FTE Apr'!D40/2</f>
        <v>22.655861817030924</v>
      </c>
      <c r="E40" s="7">
        <f>'V-FTE Apr'!E40/2</f>
        <v>7.5700365453074596</v>
      </c>
      <c r="F40" s="7">
        <f>'V-FTE Apr'!F40/2</f>
        <v>0</v>
      </c>
      <c r="G40" s="7">
        <f>'V-FTE Apr'!G40/2</f>
        <v>27.488849318269565</v>
      </c>
      <c r="H40" s="7">
        <f>'V-FTE Apr'!H40/2</f>
        <v>24.120552927100185</v>
      </c>
      <c r="I40" s="7">
        <f>'V-FTE Apr'!I40/2</f>
        <v>22.340238143480644</v>
      </c>
      <c r="J40" s="7">
        <f>'V-FTE Apr'!J40/2</f>
        <v>20.278821025605392</v>
      </c>
      <c r="K40" s="7">
        <f>'V-FTE Apr'!K40/2</f>
        <v>20.520470400667325</v>
      </c>
      <c r="L40" s="7">
        <f>'V-FTE Apr'!L40/2</f>
        <v>7.318523930447081</v>
      </c>
      <c r="M40" s="7">
        <f>'V-FTE Apr'!M40/2</f>
        <v>0</v>
      </c>
      <c r="N40" s="7">
        <f>'V-FTE Apr'!N40/2</f>
        <v>25.674013195355464</v>
      </c>
      <c r="O40" s="7">
        <f>'V-FTE Apr'!O40/2</f>
        <v>23.351220222821386</v>
      </c>
      <c r="P40" s="7">
        <f>'V-FTE Apr'!P40/2</f>
        <v>22.083793908721045</v>
      </c>
      <c r="Q40" s="7">
        <f>'V-FTE Apr'!Q40/2</f>
        <v>20.02237679084579</v>
      </c>
      <c r="R40" s="7">
        <f>'V-FTE Apr'!R40/2</f>
        <v>19.982923831652009</v>
      </c>
      <c r="S40" s="7">
        <f>'V-FTE Apr'!S40/2</f>
        <v>7.0670113155867043</v>
      </c>
      <c r="T40" s="7">
        <f>'V-FTE Apr'!T40/2</f>
        <v>0</v>
      </c>
      <c r="U40" s="7">
        <f>'V-FTE Apr'!U40/2</f>
        <v>25.930457430115062</v>
      </c>
      <c r="V40" s="7">
        <f>'V-FTE Apr'!V40/2</f>
        <v>22.838331753302182</v>
      </c>
      <c r="W40" s="7">
        <f>'V-FTE Apr'!W40/2</f>
        <v>22.083793908721045</v>
      </c>
      <c r="X40" s="7">
        <f>'V-FTE Apr'!X40/2</f>
        <v>20.02237679084579</v>
      </c>
      <c r="Y40" s="7">
        <f>'V-FTE Apr'!Y40/2</f>
        <v>20.254162926109274</v>
      </c>
      <c r="Z40" s="7">
        <f>'V-FTE Apr'!Z40/2</f>
        <v>7.0670113155867043</v>
      </c>
      <c r="AA40" s="7">
        <f>'V-FTE Apr'!AA40/2</f>
        <v>0</v>
      </c>
      <c r="AB40" s="7">
        <f>'V-FTE Apr'!AB40/2</f>
        <v>26.453209139432715</v>
      </c>
      <c r="AC40" s="7">
        <f>'V-FTE Apr'!AC40/2</f>
        <v>22.838331753302182</v>
      </c>
      <c r="AD40" s="7">
        <f>'V-FTE Apr'!AD40/2</f>
        <v>20.520470400667325</v>
      </c>
      <c r="AE40" s="7">
        <f>'V-FTE Apr'!AE40/2</f>
        <v>17.669994098916369</v>
      </c>
      <c r="AF40" s="7">
        <f>'V-FTE Apr'!AF40/2</f>
        <v>0</v>
      </c>
    </row>
    <row r="41" spans="1:32" x14ac:dyDescent="0.25">
      <c r="A41" s="3" t="s">
        <v>46</v>
      </c>
      <c r="B41" s="7">
        <f>'V-FTE Apr'!B41/2</f>
        <v>22.128178487814054</v>
      </c>
      <c r="C41" s="7">
        <f>'V-FTE Apr'!C41/2</f>
        <v>19.203727887574754</v>
      </c>
      <c r="D41" s="7">
        <f>'V-FTE Apr'!D41/2</f>
        <v>20.224573206713938</v>
      </c>
      <c r="E41" s="7">
        <f>'V-FTE Apr'!E41/2</f>
        <v>6.6034390450597327</v>
      </c>
      <c r="F41" s="7">
        <f>'V-FTE Apr'!F41/2</f>
        <v>0</v>
      </c>
      <c r="G41" s="7">
        <f>'V-FTE Apr'!G41/2</f>
        <v>24.672894355813177</v>
      </c>
      <c r="H41" s="7">
        <f>'V-FTE Apr'!H41/2</f>
        <v>21.921050452046686</v>
      </c>
      <c r="I41" s="7">
        <f>'V-FTE Apr'!I41/2</f>
        <v>20.042103270442684</v>
      </c>
      <c r="J41" s="7">
        <f>'V-FTE Apr'!J41/2</f>
        <v>17.901780234179856</v>
      </c>
      <c r="K41" s="7">
        <f>'V-FTE Apr'!K41/2</f>
        <v>18.113839889846449</v>
      </c>
      <c r="L41" s="7">
        <f>'V-FTE Apr'!L41/2</f>
        <v>6.3469948103001306</v>
      </c>
      <c r="M41" s="7">
        <f>'V-FTE Apr'!M41/2</f>
        <v>0</v>
      </c>
      <c r="N41" s="7">
        <f>'V-FTE Apr'!N41/2</f>
        <v>23.079981128364111</v>
      </c>
      <c r="O41" s="7">
        <f>'V-FTE Apr'!O41/2</f>
        <v>21.146786127868658</v>
      </c>
      <c r="P41" s="7">
        <f>'V-FTE Apr'!P41/2</f>
        <v>19.780727415783858</v>
      </c>
      <c r="Q41" s="7">
        <f>'V-FTE Apr'!Q41/2</f>
        <v>17.640404379521033</v>
      </c>
      <c r="R41" s="7">
        <f>'V-FTE Apr'!R41/2</f>
        <v>17.586156560629576</v>
      </c>
      <c r="S41" s="7">
        <f>'V-FTE Apr'!S41/2</f>
        <v>6.0905505755405294</v>
      </c>
      <c r="T41" s="7">
        <f>'V-FTE Apr'!T41/2</f>
        <v>0</v>
      </c>
      <c r="U41" s="7">
        <f>'V-FTE Apr'!U41/2</f>
        <v>23.346288602922161</v>
      </c>
      <c r="V41" s="7">
        <f>'V-FTE Apr'!V41/2</f>
        <v>20.885410273209835</v>
      </c>
      <c r="W41" s="7">
        <f>'V-FTE Apr'!W41/2</f>
        <v>20.042103270442684</v>
      </c>
      <c r="X41" s="7">
        <f>'V-FTE Apr'!X41/2</f>
        <v>17.901780234179856</v>
      </c>
      <c r="Y41" s="7">
        <f>'V-FTE Apr'!Y41/2</f>
        <v>18.113839889846449</v>
      </c>
      <c r="Z41" s="7">
        <f>'V-FTE Apr'!Z41/2</f>
        <v>6.0905505755405294</v>
      </c>
      <c r="AA41" s="7">
        <f>'V-FTE Apr'!AA41/2</f>
        <v>0</v>
      </c>
      <c r="AB41" s="7">
        <f>'V-FTE Apr'!AB41/2</f>
        <v>23.878903552038256</v>
      </c>
      <c r="AC41" s="7">
        <f>'V-FTE Apr'!AC41/2</f>
        <v>20.885410273209835</v>
      </c>
      <c r="AD41" s="7">
        <f>'V-FTE Apr'!AD41/2</f>
        <v>18.473848142489739</v>
      </c>
      <c r="AE41" s="7">
        <f>'V-FTE Apr'!AE41/2</f>
        <v>15.554329162149662</v>
      </c>
      <c r="AF41" s="7">
        <f>'V-FTE Apr'!AF41/2</f>
        <v>0</v>
      </c>
    </row>
    <row r="42" spans="1:32" x14ac:dyDescent="0.25">
      <c r="A42" s="3" t="s">
        <v>47</v>
      </c>
      <c r="B42" s="7">
        <f>'V-FTE Apr'!B42/2</f>
        <v>20.229504826613162</v>
      </c>
      <c r="C42" s="7">
        <f>'V-FTE Apr'!C42/2</f>
        <v>16.831618716048446</v>
      </c>
      <c r="D42" s="7">
        <f>'V-FTE Apr'!D42/2</f>
        <v>17.176832108994059</v>
      </c>
      <c r="E42" s="7">
        <f>'V-FTE Apr'!E42/2</f>
        <v>5.3014913916648334</v>
      </c>
      <c r="F42" s="7">
        <f>'V-FTE Apr'!F42/2</f>
        <v>0</v>
      </c>
      <c r="G42" s="7">
        <f>'V-FTE Apr'!G42/2</f>
        <v>21.758306995372319</v>
      </c>
      <c r="H42" s="7">
        <f>'V-FTE Apr'!H42/2</f>
        <v>19.854701714272203</v>
      </c>
      <c r="I42" s="7">
        <f>'V-FTE Apr'!I42/2</f>
        <v>18.385078984303721</v>
      </c>
      <c r="J42" s="7">
        <f>'V-FTE Apr'!J42/2</f>
        <v>15.529671062653545</v>
      </c>
      <c r="K42" s="7">
        <f>'V-FTE Apr'!K42/2</f>
        <v>15.578987261645777</v>
      </c>
      <c r="L42" s="7">
        <f>'V-FTE Apr'!L42/2</f>
        <v>5.0549103967036784</v>
      </c>
      <c r="M42" s="7">
        <f>'V-FTE Apr'!M42/2</f>
        <v>0</v>
      </c>
      <c r="N42" s="7">
        <f>'V-FTE Apr'!N42/2</f>
        <v>20.411974762884416</v>
      </c>
      <c r="O42" s="7">
        <f>'V-FTE Apr'!O42/2</f>
        <v>19.085369009993403</v>
      </c>
      <c r="P42" s="7">
        <f>'V-FTE Apr'!P42/2</f>
        <v>18.123703129644895</v>
      </c>
      <c r="Q42" s="7">
        <f>'V-FTE Apr'!Q42/2</f>
        <v>15.529671062653545</v>
      </c>
      <c r="R42" s="7">
        <f>'V-FTE Apr'!R42/2</f>
        <v>15.046372312529682</v>
      </c>
      <c r="S42" s="7">
        <f>'V-FTE Apr'!S42/2</f>
        <v>5.0549103967036784</v>
      </c>
      <c r="T42" s="7">
        <f>'V-FTE Apr'!T42/2</f>
        <v>0</v>
      </c>
      <c r="U42" s="7">
        <f>'V-FTE Apr'!U42/2</f>
        <v>20.411974762884416</v>
      </c>
      <c r="V42" s="7">
        <f>'V-FTE Apr'!V42/2</f>
        <v>18.833856395133022</v>
      </c>
      <c r="W42" s="7">
        <f>'V-FTE Apr'!W42/2</f>
        <v>18.123703129644895</v>
      </c>
      <c r="X42" s="7">
        <f>'V-FTE Apr'!X42/2</f>
        <v>15.529671062653545</v>
      </c>
      <c r="Y42" s="7">
        <f>'V-FTE Apr'!Y42/2</f>
        <v>15.578987261645777</v>
      </c>
      <c r="Z42" s="7">
        <f>'V-FTE Apr'!Z42/2</f>
        <v>5.0549103967036784</v>
      </c>
      <c r="AA42" s="7">
        <f>'V-FTE Apr'!AA42/2</f>
        <v>0</v>
      </c>
      <c r="AB42" s="7">
        <f>'V-FTE Apr'!AB42/2</f>
        <v>20.949521331899732</v>
      </c>
      <c r="AC42" s="7">
        <f>'V-FTE Apr'!AC42/2</f>
        <v>18.833856395133022</v>
      </c>
      <c r="AD42" s="7">
        <f>'V-FTE Apr'!AD42/2</f>
        <v>17.06340485131193</v>
      </c>
      <c r="AE42" s="7">
        <f>'V-FTE Apr'!AE42/2</f>
        <v>13.700040080041774</v>
      </c>
      <c r="AF42" s="7">
        <f>'V-FTE Apr'!AF42/2</f>
        <v>0</v>
      </c>
    </row>
    <row r="43" spans="1:32" x14ac:dyDescent="0.25">
      <c r="A43" s="3" t="s">
        <v>48</v>
      </c>
      <c r="B43" s="7">
        <f>'V-FTE Apr'!B43/2</f>
        <v>17.374096904962983</v>
      </c>
      <c r="C43" s="7">
        <f>'V-FTE Apr'!C43/2</f>
        <v>14.370740386336117</v>
      </c>
      <c r="D43" s="7">
        <f>'V-FTE Apr'!D43/2</f>
        <v>13.862783536716135</v>
      </c>
      <c r="E43" s="7">
        <f>'V-FTE Apr'!E43/2</f>
        <v>4.5272270674868071</v>
      </c>
      <c r="F43" s="7">
        <f>'V-FTE Apr'!F43/2</f>
        <v>0</v>
      </c>
      <c r="G43" s="7">
        <f>'V-FTE Apr'!G43/2</f>
        <v>17.990549392365871</v>
      </c>
      <c r="H43" s="7">
        <f>'V-FTE Apr'!H43/2</f>
        <v>16.752712797660873</v>
      </c>
      <c r="I43" s="7">
        <f>'V-FTE Apr'!I43/2</f>
        <v>15.98338009338207</v>
      </c>
      <c r="J43" s="7">
        <f>'V-FTE Apr'!J43/2</f>
        <v>13.295647248305482</v>
      </c>
      <c r="K43" s="7">
        <f>'V-FTE Apr'!K43/2</f>
        <v>12.481929964933668</v>
      </c>
      <c r="L43" s="7">
        <f>'V-FTE Apr'!L43/2</f>
        <v>4.2855776924248747</v>
      </c>
      <c r="M43" s="7">
        <f>'V-FTE Apr'!M43/2</f>
        <v>0</v>
      </c>
      <c r="N43" s="7">
        <f>'V-FTE Apr'!N43/2</f>
        <v>16.890798154839121</v>
      </c>
      <c r="O43" s="7">
        <f>'V-FTE Apr'!O43/2</f>
        <v>16.229961088343224</v>
      </c>
      <c r="P43" s="7">
        <f>'V-FTE Apr'!P43/2</f>
        <v>15.707209379025578</v>
      </c>
      <c r="Q43" s="7">
        <f>'V-FTE Apr'!Q43/2</f>
        <v>13.295647248305482</v>
      </c>
      <c r="R43" s="7">
        <f>'V-FTE Apr'!R43/2</f>
        <v>12.205759250577175</v>
      </c>
      <c r="S43" s="7">
        <f>'V-FTE Apr'!S43/2</f>
        <v>4.2855776924248747</v>
      </c>
      <c r="T43" s="7">
        <f>'V-FTE Apr'!T43/2</f>
        <v>0</v>
      </c>
      <c r="U43" s="7">
        <f>'V-FTE Apr'!U43/2</f>
        <v>17.166968869195614</v>
      </c>
      <c r="V43" s="7">
        <f>'V-FTE Apr'!V43/2</f>
        <v>15.973516853583625</v>
      </c>
      <c r="W43" s="7">
        <f>'V-FTE Apr'!W43/2</f>
        <v>15.707209379025578</v>
      </c>
      <c r="X43" s="7">
        <f>'V-FTE Apr'!X43/2</f>
        <v>13.295647248305482</v>
      </c>
      <c r="Y43" s="7">
        <f>'V-FTE Apr'!Y43/2</f>
        <v>12.481929964933668</v>
      </c>
      <c r="Z43" s="7">
        <f>'V-FTE Apr'!Z43/2</f>
        <v>4.2855776924248747</v>
      </c>
      <c r="AA43" s="7">
        <f>'V-FTE Apr'!AA43/2</f>
        <v>0</v>
      </c>
      <c r="AB43" s="7">
        <f>'V-FTE Apr'!AB43/2</f>
        <v>17.443139583552107</v>
      </c>
      <c r="AC43" s="7">
        <f>'V-FTE Apr'!AC43/2</f>
        <v>15.973516853583625</v>
      </c>
      <c r="AD43" s="7">
        <f>'V-FTE Apr'!AD43/2</f>
        <v>14.587731661901934</v>
      </c>
      <c r="AE43" s="7">
        <f>'V-FTE Apr'!AE43/2</f>
        <v>11.673144301461081</v>
      </c>
      <c r="AF43" s="7">
        <f>'V-FTE Apr'!AF43/2</f>
        <v>0</v>
      </c>
    </row>
    <row r="44" spans="1:32" x14ac:dyDescent="0.25">
      <c r="A44" s="3" t="s">
        <v>49</v>
      </c>
      <c r="B44" s="7">
        <f>'V-FTE Apr'!B44/2</f>
        <v>13.581681202460421</v>
      </c>
      <c r="C44" s="7">
        <f>'V-FTE Apr'!C44/2</f>
        <v>11.73725536015098</v>
      </c>
      <c r="D44" s="7">
        <f>'V-FTE Apr'!D44/2</f>
        <v>10.548734964438212</v>
      </c>
      <c r="E44" s="7">
        <f>'V-FTE Apr'!E44/2</f>
        <v>4.4581843888976831</v>
      </c>
      <c r="F44" s="7">
        <f>'V-FTE Apr'!F44/2</f>
        <v>0</v>
      </c>
      <c r="G44" s="7">
        <f>'V-FTE Apr'!G44/2</f>
        <v>14.444714684824463</v>
      </c>
      <c r="H44" s="7">
        <f>'V-FTE Apr'!H44/2</f>
        <v>13.078655972739664</v>
      </c>
      <c r="I44" s="7">
        <f>'V-FTE Apr'!I44/2</f>
        <v>12.171237911282613</v>
      </c>
      <c r="J44" s="7">
        <f>'V-FTE Apr'!J44/2</f>
        <v>10.898879977283054</v>
      </c>
      <c r="K44" s="7">
        <f>'V-FTE Apr'!K44/2</f>
        <v>9.4391204871130157</v>
      </c>
      <c r="L44" s="7">
        <f>'V-FTE Apr'!L44/2</f>
        <v>4.2066717740373054</v>
      </c>
      <c r="M44" s="7">
        <f>'V-FTE Apr'!M44/2</f>
        <v>0</v>
      </c>
      <c r="N44" s="7">
        <f>'V-FTE Apr'!N44/2</f>
        <v>13.601407682057314</v>
      </c>
      <c r="O44" s="7">
        <f>'V-FTE Apr'!O44/2</f>
        <v>12.807416878282393</v>
      </c>
      <c r="P44" s="7">
        <f>'V-FTE Apr'!P44/2</f>
        <v>12.171237911282613</v>
      </c>
      <c r="Q44" s="7">
        <f>'V-FTE Apr'!Q44/2</f>
        <v>10.898879977283054</v>
      </c>
      <c r="R44" s="7">
        <f>'V-FTE Apr'!R44/2</f>
        <v>9.1629497727565212</v>
      </c>
      <c r="S44" s="7">
        <f>'V-FTE Apr'!S44/2</f>
        <v>4.2066717740373054</v>
      </c>
      <c r="T44" s="7">
        <f>'V-FTE Apr'!T44/2</f>
        <v>0</v>
      </c>
      <c r="U44" s="7">
        <f>'V-FTE Apr'!U44/2</f>
        <v>13.601407682057314</v>
      </c>
      <c r="V44" s="7">
        <f>'V-FTE Apr'!V44/2</f>
        <v>12.536177783825124</v>
      </c>
      <c r="W44" s="7">
        <f>'V-FTE Apr'!W44/2</f>
        <v>12.171237911282613</v>
      </c>
      <c r="X44" s="7">
        <f>'V-FTE Apr'!X44/2</f>
        <v>10.898879977283054</v>
      </c>
      <c r="Y44" s="7">
        <f>'V-FTE Apr'!Y44/2</f>
        <v>9.4391204871130157</v>
      </c>
      <c r="Z44" s="7">
        <f>'V-FTE Apr'!Z44/2</f>
        <v>4.2066717740373054</v>
      </c>
      <c r="AA44" s="7">
        <f>'V-FTE Apr'!AA44/2</f>
        <v>0</v>
      </c>
      <c r="AB44" s="7">
        <f>'V-FTE Apr'!AB44/2</f>
        <v>13.882510016313027</v>
      </c>
      <c r="AC44" s="7">
        <f>'V-FTE Apr'!AC44/2</f>
        <v>12.536177783825124</v>
      </c>
      <c r="AD44" s="7">
        <f>'V-FTE Apr'!AD44/2</f>
        <v>11.327930908515462</v>
      </c>
      <c r="AE44" s="7">
        <f>'V-FTE Apr'!AE44/2</f>
        <v>9.5032315458029153</v>
      </c>
      <c r="AF44" s="7">
        <f>'V-FTE Apr'!AF44/2</f>
        <v>0</v>
      </c>
    </row>
    <row r="45" spans="1:32" x14ac:dyDescent="0.25">
      <c r="A45" s="3" t="s">
        <v>50</v>
      </c>
      <c r="B45" s="7">
        <f>'V-FTE Apr'!B45/2</f>
        <v>9.1530865329580742</v>
      </c>
      <c r="C45" s="7">
        <f>'V-FTE Apr'!C45/2</f>
        <v>8.6303348236404265</v>
      </c>
      <c r="D45" s="7">
        <f>'V-FTE Apr'!D45/2</f>
        <v>7.3629085095400892</v>
      </c>
      <c r="E45" s="7">
        <f>'V-FTE Apr'!E45/2</f>
        <v>0</v>
      </c>
      <c r="F45" s="7">
        <f>'V-FTE Apr'!F45/2</f>
        <v>0</v>
      </c>
      <c r="G45" s="7">
        <f>'V-FTE Apr'!G45/2</f>
        <v>10.30708558937628</v>
      </c>
      <c r="H45" s="7">
        <f>'V-FTE Apr'!H45/2</f>
        <v>9.2418556911440906</v>
      </c>
      <c r="I45" s="7">
        <f>'V-FTE Apr'!I45/2</f>
        <v>8.5958134843458645</v>
      </c>
      <c r="J45" s="7">
        <f>'V-FTE Apr'!J45/2</f>
        <v>8.0730617750282168</v>
      </c>
      <c r="K45" s="7">
        <f>'V-FTE Apr'!K45/2</f>
        <v>6.5393279863698321</v>
      </c>
      <c r="L45" s="7">
        <f>'V-FTE Apr'!L45/2</f>
        <v>0</v>
      </c>
      <c r="M45" s="7">
        <f>'V-FTE Apr'!M45/2</f>
        <v>0</v>
      </c>
      <c r="N45" s="7">
        <f>'V-FTE Apr'!N45/2</f>
        <v>9.7498125407640703</v>
      </c>
      <c r="O45" s="7">
        <f>'V-FTE Apr'!O45/2</f>
        <v>8.9706165966868205</v>
      </c>
      <c r="P45" s="7">
        <f>'V-FTE Apr'!P45/2</f>
        <v>8.3147111500901474</v>
      </c>
      <c r="Q45" s="7">
        <f>'V-FTE Apr'!Q45/2</f>
        <v>8.0730617750282168</v>
      </c>
      <c r="R45" s="7">
        <f>'V-FTE Apr'!R45/2</f>
        <v>6.2631572720133377</v>
      </c>
      <c r="S45" s="7">
        <f>'V-FTE Apr'!S45/2</f>
        <v>0</v>
      </c>
      <c r="T45" s="7">
        <f>'V-FTE Apr'!T45/2</f>
        <v>0</v>
      </c>
      <c r="U45" s="7">
        <f>'V-FTE Apr'!U45/2</f>
        <v>9.7498125407640703</v>
      </c>
      <c r="V45" s="7">
        <f>'V-FTE Apr'!V45/2</f>
        <v>8.6993775022295505</v>
      </c>
      <c r="W45" s="7">
        <f>'V-FTE Apr'!W45/2</f>
        <v>8.3147111500901474</v>
      </c>
      <c r="X45" s="7">
        <f>'V-FTE Apr'!X45/2</f>
        <v>8.0730617750282168</v>
      </c>
      <c r="Y45" s="7">
        <f>'V-FTE Apr'!Y45/2</f>
        <v>6.5393279863698321</v>
      </c>
      <c r="Z45" s="7">
        <f>'V-FTE Apr'!Z45/2</f>
        <v>0</v>
      </c>
      <c r="AA45" s="7">
        <f>'V-FTE Apr'!AA45/2</f>
        <v>0</v>
      </c>
      <c r="AB45" s="7">
        <f>'V-FTE Apr'!AB45/2</f>
        <v>10.025983255120563</v>
      </c>
      <c r="AC45" s="7">
        <f>'V-FTE Apr'!AC45/2</f>
        <v>8.6993775022295505</v>
      </c>
      <c r="AD45" s="7">
        <f>'V-FTE Apr'!AD45/2</f>
        <v>7.7574381014779386</v>
      </c>
      <c r="AE45" s="7">
        <f>'V-FTE Apr'!AE45/2</f>
        <v>6.9486524380053494</v>
      </c>
      <c r="AF45" s="7">
        <f>'V-FTE Apr'!AF45/2</f>
        <v>0</v>
      </c>
    </row>
    <row r="46" spans="1:32" x14ac:dyDescent="0.25">
      <c r="A46" s="3" t="s">
        <v>51</v>
      </c>
      <c r="B46" s="7">
        <f>'V-FTE Apr'!B46/2</f>
        <v>5.9623284581607292</v>
      </c>
      <c r="C46" s="7">
        <f>'V-FTE Apr'!C46/2</f>
        <v>5.7256107029980203</v>
      </c>
      <c r="D46" s="7">
        <f>'V-FTE Apr'!D46/2</f>
        <v>4.5124322077891375</v>
      </c>
      <c r="E46" s="7">
        <f>'V-FTE Apr'!E46/2</f>
        <v>0</v>
      </c>
      <c r="F46" s="7">
        <f>'V-FTE Apr'!F46/2</f>
        <v>0</v>
      </c>
      <c r="G46" s="7">
        <f>'V-FTE Apr'!G46/2</f>
        <v>6.4604220679822628</v>
      </c>
      <c r="H46" s="7">
        <f>'V-FTE Apr'!H46/2</f>
        <v>6.1398667745327602</v>
      </c>
      <c r="I46" s="7">
        <f>'V-FTE Apr'!I46/2</f>
        <v>5.4346451289438571</v>
      </c>
      <c r="J46" s="7">
        <f>'V-FTE Apr'!J46/2</f>
        <v>5.4445083687423033</v>
      </c>
      <c r="K46" s="7">
        <f>'V-FTE Apr'!K46/2</f>
        <v>4.2510563531303127</v>
      </c>
      <c r="L46" s="7">
        <f>'V-FTE Apr'!L46/2</f>
        <v>0</v>
      </c>
      <c r="M46" s="7">
        <f>'V-FTE Apr'!M46/2</f>
        <v>0</v>
      </c>
      <c r="N46" s="7">
        <f>'V-FTE Apr'!N46/2</f>
        <v>6.1842513536257684</v>
      </c>
      <c r="O46" s="7">
        <f>'V-FTE Apr'!O46/2</f>
        <v>6.1398667745327602</v>
      </c>
      <c r="P46" s="7">
        <f>'V-FTE Apr'!P46/2</f>
        <v>5.4346451289438571</v>
      </c>
      <c r="Q46" s="7">
        <f>'V-FTE Apr'!Q46/2</f>
        <v>5.4445083687423033</v>
      </c>
      <c r="R46" s="7">
        <f>'V-FTE Apr'!R46/2</f>
        <v>3.9946121183707115</v>
      </c>
      <c r="S46" s="7">
        <f>'V-FTE Apr'!S46/2</f>
        <v>0</v>
      </c>
      <c r="T46" s="7">
        <f>'V-FTE Apr'!T46/2</f>
        <v>0</v>
      </c>
      <c r="U46" s="7">
        <f>'V-FTE Apr'!U46/2</f>
        <v>6.1842513536257684</v>
      </c>
      <c r="V46" s="7">
        <f>'V-FTE Apr'!V46/2</f>
        <v>5.8686276800754902</v>
      </c>
      <c r="W46" s="7">
        <f>'V-FTE Apr'!W46/2</f>
        <v>5.4346451289438571</v>
      </c>
      <c r="X46" s="7">
        <f>'V-FTE Apr'!X46/2</f>
        <v>5.4445083687423033</v>
      </c>
      <c r="Y46" s="7">
        <f>'V-FTE Apr'!Y46/2</f>
        <v>4.2510563531303127</v>
      </c>
      <c r="Z46" s="7">
        <f>'V-FTE Apr'!Z46/2</f>
        <v>0</v>
      </c>
      <c r="AA46" s="7">
        <f>'V-FTE Apr'!AA46/2</f>
        <v>0</v>
      </c>
      <c r="AB46" s="7">
        <f>'V-FTE Apr'!AB46/2</f>
        <v>6.4604220679822628</v>
      </c>
      <c r="AC46" s="7">
        <f>'V-FTE Apr'!AC46/2</f>
        <v>5.8686276800754902</v>
      </c>
      <c r="AD46" s="7">
        <f>'V-FTE Apr'!AD46/2</f>
        <v>5.1732692742850332</v>
      </c>
      <c r="AE46" s="7">
        <f>'V-FTE Apr'!AE46/2</f>
        <v>4.8872353201300927</v>
      </c>
      <c r="AF46" s="7">
        <f>'V-FTE Apr'!AF46/2</f>
        <v>0</v>
      </c>
    </row>
    <row r="47" spans="1:32" x14ac:dyDescent="0.25">
      <c r="A47" s="3" t="s">
        <v>52</v>
      </c>
      <c r="B47" s="7">
        <f>'V-FTE Apr'!B47/2</f>
        <v>4.2313298735334204</v>
      </c>
      <c r="C47" s="7">
        <f>'V-FTE Apr'!C47/2</f>
        <v>3.9107745800839187</v>
      </c>
      <c r="D47" s="7">
        <f>'V-FTE Apr'!D47/2</f>
        <v>3.3239118120763704</v>
      </c>
      <c r="E47" s="7">
        <f>'V-FTE Apr'!E47/2</f>
        <v>0</v>
      </c>
      <c r="F47" s="7">
        <f>'V-FTE Apr'!F47/2</f>
        <v>0</v>
      </c>
      <c r="G47" s="7">
        <f>'V-FTE Apr'!G47/2</f>
        <v>4.694902144060392</v>
      </c>
      <c r="H47" s="7">
        <f>'V-FTE Apr'!H47/2</f>
        <v>4.517363827688361</v>
      </c>
      <c r="I47" s="7">
        <f>'V-FTE Apr'!I47/2</f>
        <v>3.9748856387738201</v>
      </c>
      <c r="J47" s="7">
        <f>'V-FTE Apr'!J47/2</f>
        <v>3.6592619652235405</v>
      </c>
      <c r="K47" s="7">
        <f>'V-FTE Apr'!K47/2</f>
        <v>3.0773308171152149</v>
      </c>
      <c r="L47" s="7">
        <f>'V-FTE Apr'!L47/2</f>
        <v>0</v>
      </c>
      <c r="M47" s="7">
        <f>'V-FTE Apr'!M47/2</f>
        <v>0</v>
      </c>
      <c r="N47" s="7">
        <f>'V-FTE Apr'!N47/2</f>
        <v>4.4285946695023446</v>
      </c>
      <c r="O47" s="7">
        <f>'V-FTE Apr'!O47/2</f>
        <v>4.2609195929287598</v>
      </c>
      <c r="P47" s="7">
        <f>'V-FTE Apr'!P47/2</f>
        <v>3.9748856387738201</v>
      </c>
      <c r="Q47" s="7">
        <f>'V-FTE Apr'!Q47/2</f>
        <v>3.6592619652235405</v>
      </c>
      <c r="R47" s="7">
        <f>'V-FTE Apr'!R47/2</f>
        <v>2.8307498221540603</v>
      </c>
      <c r="S47" s="7">
        <f>'V-FTE Apr'!S47/2</f>
        <v>0</v>
      </c>
      <c r="T47" s="7">
        <f>'V-FTE Apr'!T47/2</f>
        <v>0</v>
      </c>
      <c r="U47" s="7">
        <f>'V-FTE Apr'!U47/2</f>
        <v>4.4285946695023446</v>
      </c>
      <c r="V47" s="7">
        <f>'V-FTE Apr'!V47/2</f>
        <v>4.2609195929287598</v>
      </c>
      <c r="W47" s="7">
        <f>'V-FTE Apr'!W47/2</f>
        <v>3.9748856387738201</v>
      </c>
      <c r="X47" s="7">
        <f>'V-FTE Apr'!X47/2</f>
        <v>3.6592619652235405</v>
      </c>
      <c r="Y47" s="7">
        <f>'V-FTE Apr'!Y47/2</f>
        <v>3.0773308171152149</v>
      </c>
      <c r="Z47" s="7">
        <f>'V-FTE Apr'!Z47/2</f>
        <v>0</v>
      </c>
      <c r="AA47" s="7">
        <f>'V-FTE Apr'!AA47/2</f>
        <v>0</v>
      </c>
      <c r="AB47" s="7">
        <f>'V-FTE Apr'!AB47/2</f>
        <v>4.4285946695023446</v>
      </c>
      <c r="AC47" s="7">
        <f>'V-FTE Apr'!AC47/2</f>
        <v>4.2609195929287598</v>
      </c>
      <c r="AD47" s="7">
        <f>'V-FTE Apr'!AD47/2</f>
        <v>3.718441404014218</v>
      </c>
      <c r="AE47" s="7">
        <f>'V-FTE Apr'!AE47/2</f>
        <v>3.1513051156035612</v>
      </c>
      <c r="AF47" s="7">
        <f>'V-FTE Apr'!AF47/2</f>
        <v>0</v>
      </c>
    </row>
    <row r="48" spans="1:32" x14ac:dyDescent="0.25">
      <c r="A48" s="3" t="s">
        <v>53</v>
      </c>
      <c r="B48" s="7">
        <f>'V-FTE Apr'!B48/2</f>
        <v>3.5458347075414096</v>
      </c>
      <c r="C48" s="7">
        <f>'V-FTE Apr'!C48/2</f>
        <v>3.1858264548981232</v>
      </c>
      <c r="D48" s="7">
        <f>'V-FTE Apr'!D48/2</f>
        <v>2.7271858042703752</v>
      </c>
      <c r="E48" s="7">
        <f>'V-FTE Apr'!E48/2</f>
        <v>0</v>
      </c>
      <c r="F48" s="7">
        <f>'V-FTE Apr'!F48/2</f>
        <v>0</v>
      </c>
      <c r="G48" s="7">
        <f>'V-FTE Apr'!G48/2</f>
        <v>3.5409030876421865</v>
      </c>
      <c r="H48" s="7">
        <f>'V-FTE Apr'!H48/2</f>
        <v>3.723373023913441</v>
      </c>
      <c r="I48" s="7">
        <f>'V-FTE Apr'!I48/2</f>
        <v>3.2795272329833622</v>
      </c>
      <c r="J48" s="7">
        <f>'V-FTE Apr'!J48/2</f>
        <v>2.9491086997354148</v>
      </c>
      <c r="K48" s="7">
        <f>'V-FTE Apr'!K48/2</f>
        <v>2.4855364292084428</v>
      </c>
      <c r="L48" s="7">
        <f>'V-FTE Apr'!L48/2</f>
        <v>0</v>
      </c>
      <c r="M48" s="7">
        <f>'V-FTE Apr'!M48/2</f>
        <v>0</v>
      </c>
      <c r="N48" s="7">
        <f>'V-FTE Apr'!N48/2</f>
        <v>3.2795272329833622</v>
      </c>
      <c r="O48" s="7">
        <f>'V-FTE Apr'!O48/2</f>
        <v>3.723373023913441</v>
      </c>
      <c r="P48" s="7">
        <f>'V-FTE Apr'!P48/2</f>
        <v>3.2795272329833622</v>
      </c>
      <c r="Q48" s="7">
        <f>'V-FTE Apr'!Q48/2</f>
        <v>2.9491086997354148</v>
      </c>
      <c r="R48" s="7">
        <f>'V-FTE Apr'!R48/2</f>
        <v>2.4855364292084428</v>
      </c>
      <c r="S48" s="7">
        <f>'V-FTE Apr'!S48/2</f>
        <v>0</v>
      </c>
      <c r="T48" s="7">
        <f>'V-FTE Apr'!T48/2</f>
        <v>0</v>
      </c>
      <c r="U48" s="7">
        <f>'V-FTE Apr'!U48/2</f>
        <v>3.2795272329833622</v>
      </c>
      <c r="V48" s="7">
        <f>'V-FTE Apr'!V48/2</f>
        <v>3.723373023913441</v>
      </c>
      <c r="W48" s="7">
        <f>'V-FTE Apr'!W48/2</f>
        <v>3.2795272329833622</v>
      </c>
      <c r="X48" s="7">
        <f>'V-FTE Apr'!X48/2</f>
        <v>2.9491086997354148</v>
      </c>
      <c r="Y48" s="7">
        <f>'V-FTE Apr'!Y48/2</f>
        <v>2.4855364292084428</v>
      </c>
      <c r="Z48" s="7">
        <f>'V-FTE Apr'!Z48/2</f>
        <v>0</v>
      </c>
      <c r="AA48" s="7">
        <f>'V-FTE Apr'!AA48/2</f>
        <v>0</v>
      </c>
      <c r="AB48" s="7">
        <f>'V-FTE Apr'!AB48/2</f>
        <v>3.5409030876421865</v>
      </c>
      <c r="AC48" s="7">
        <f>'V-FTE Apr'!AC48/2</f>
        <v>3.723373023913441</v>
      </c>
      <c r="AD48" s="7">
        <f>'V-FTE Apr'!AD48/2</f>
        <v>3.0132197584253149</v>
      </c>
      <c r="AE48" s="7">
        <f>'V-FTE Apr'!AE48/2</f>
        <v>2.4756731894099966</v>
      </c>
      <c r="AF48" s="7">
        <f>'V-FTE Apr'!AF48/2</f>
        <v>0</v>
      </c>
    </row>
    <row r="49" spans="1:33" x14ac:dyDescent="0.25">
      <c r="A49" s="3" t="s">
        <v>54</v>
      </c>
      <c r="B49" s="7">
        <f>'V-FTE Apr'!B49/2</f>
        <v>0</v>
      </c>
      <c r="C49" s="7">
        <f>'V-FTE Apr'!C49/2</f>
        <v>0</v>
      </c>
      <c r="D49" s="7">
        <f>'V-FTE Apr'!D49/2</f>
        <v>0</v>
      </c>
      <c r="E49" s="7">
        <f>'V-FTE Apr'!E49/2</f>
        <v>0</v>
      </c>
      <c r="F49" s="7">
        <f>'V-FTE Apr'!F49/2</f>
        <v>0</v>
      </c>
      <c r="G49" s="7">
        <f>'V-FTE Apr'!G49/2</f>
        <v>0</v>
      </c>
      <c r="H49" s="7">
        <f>'V-FTE Apr'!H49/2</f>
        <v>0</v>
      </c>
      <c r="I49" s="7">
        <f>'V-FTE Apr'!I49/2</f>
        <v>0</v>
      </c>
      <c r="J49" s="7">
        <f>'V-FTE Apr'!J49/2</f>
        <v>0</v>
      </c>
      <c r="K49" s="7">
        <f>'V-FTE Apr'!K49/2</f>
        <v>0</v>
      </c>
      <c r="L49" s="7">
        <f>'V-FTE Apr'!L49/2</f>
        <v>0</v>
      </c>
      <c r="M49" s="7">
        <f>'V-FTE Apr'!M49/2</f>
        <v>0</v>
      </c>
      <c r="N49" s="7">
        <f>'V-FTE Apr'!N49/2</f>
        <v>0</v>
      </c>
      <c r="O49" s="7">
        <f>'V-FTE Apr'!O49/2</f>
        <v>0</v>
      </c>
      <c r="P49" s="7">
        <f>'V-FTE Apr'!P49/2</f>
        <v>0</v>
      </c>
      <c r="Q49" s="7">
        <f>'V-FTE Apr'!Q49/2</f>
        <v>0</v>
      </c>
      <c r="R49" s="7">
        <f>'V-FTE Apr'!R49/2</f>
        <v>0</v>
      </c>
      <c r="S49" s="7">
        <f>'V-FTE Apr'!S49/2</f>
        <v>0</v>
      </c>
      <c r="T49" s="7">
        <f>'V-FTE Apr'!T49/2</f>
        <v>0</v>
      </c>
      <c r="U49" s="7">
        <f>'V-FTE Apr'!U49/2</f>
        <v>0</v>
      </c>
      <c r="V49" s="7">
        <f>'V-FTE Apr'!V49/2</f>
        <v>0</v>
      </c>
      <c r="W49" s="7">
        <f>'V-FTE Apr'!W49/2</f>
        <v>0</v>
      </c>
      <c r="X49" s="7">
        <f>'V-FTE Apr'!X49/2</f>
        <v>0</v>
      </c>
      <c r="Y49" s="7">
        <f>'V-FTE Apr'!Y49/2</f>
        <v>0</v>
      </c>
      <c r="Z49" s="7">
        <f>'V-FTE Apr'!Z49/2</f>
        <v>0</v>
      </c>
      <c r="AA49" s="7">
        <f>'V-FTE Apr'!AA49/2</f>
        <v>0</v>
      </c>
      <c r="AB49" s="7">
        <f>'V-FTE Apr'!AB49/2</f>
        <v>0</v>
      </c>
      <c r="AC49" s="7">
        <f>'V-FTE Apr'!AC49/2</f>
        <v>0</v>
      </c>
      <c r="AD49" s="7">
        <f>'V-FTE Apr'!AD49/2</f>
        <v>0</v>
      </c>
      <c r="AE49" s="7">
        <f>'V-FTE Apr'!AE49/2</f>
        <v>0</v>
      </c>
      <c r="AF49" s="7">
        <f>'V-FTE Apr'!AF49/2</f>
        <v>0</v>
      </c>
    </row>
    <row r="50" spans="1:33" x14ac:dyDescent="0.25">
      <c r="A50" s="3" t="s">
        <v>55</v>
      </c>
      <c r="B50" s="7">
        <f>'V-FTE Apr'!B50/2</f>
        <v>0</v>
      </c>
      <c r="C50" s="7">
        <f>'V-FTE Apr'!C50/2</f>
        <v>0</v>
      </c>
      <c r="D50" s="7">
        <f>'V-FTE Apr'!D50/2</f>
        <v>0</v>
      </c>
      <c r="E50" s="7">
        <f>'V-FTE Apr'!E50/2</f>
        <v>0</v>
      </c>
      <c r="F50" s="7">
        <f>'V-FTE Apr'!F50/2</f>
        <v>0</v>
      </c>
      <c r="G50" s="7">
        <f>'V-FTE Apr'!G50/2</f>
        <v>0</v>
      </c>
      <c r="H50" s="7">
        <f>'V-FTE Apr'!H50/2</f>
        <v>0</v>
      </c>
      <c r="I50" s="7">
        <f>'V-FTE Apr'!I50/2</f>
        <v>0</v>
      </c>
      <c r="J50" s="7">
        <f>'V-FTE Apr'!J50/2</f>
        <v>0</v>
      </c>
      <c r="K50" s="7">
        <f>'V-FTE Apr'!K50/2</f>
        <v>0</v>
      </c>
      <c r="L50" s="7">
        <f>'V-FTE Apr'!L50/2</f>
        <v>0</v>
      </c>
      <c r="M50" s="7">
        <f>'V-FTE Apr'!M50/2</f>
        <v>0</v>
      </c>
      <c r="N50" s="7">
        <f>'V-FTE Apr'!N50/2</f>
        <v>0</v>
      </c>
      <c r="O50" s="7">
        <f>'V-FTE Apr'!O50/2</f>
        <v>0</v>
      </c>
      <c r="P50" s="7">
        <f>'V-FTE Apr'!P50/2</f>
        <v>0</v>
      </c>
      <c r="Q50" s="7">
        <f>'V-FTE Apr'!Q50/2</f>
        <v>0</v>
      </c>
      <c r="R50" s="7">
        <f>'V-FTE Apr'!R50/2</f>
        <v>0</v>
      </c>
      <c r="S50" s="7">
        <f>'V-FTE Apr'!S50/2</f>
        <v>0</v>
      </c>
      <c r="T50" s="7">
        <f>'V-FTE Apr'!T50/2</f>
        <v>0</v>
      </c>
      <c r="U50" s="7">
        <f>'V-FTE Apr'!U50/2</f>
        <v>0</v>
      </c>
      <c r="V50" s="7">
        <f>'V-FTE Apr'!V50/2</f>
        <v>0</v>
      </c>
      <c r="W50" s="7">
        <f>'V-FTE Apr'!W50/2</f>
        <v>0</v>
      </c>
      <c r="X50" s="7">
        <f>'V-FTE Apr'!X50/2</f>
        <v>0</v>
      </c>
      <c r="Y50" s="7">
        <f>'V-FTE Apr'!Y50/2</f>
        <v>0</v>
      </c>
      <c r="Z50" s="7">
        <f>'V-FTE Apr'!Z50/2</f>
        <v>0</v>
      </c>
      <c r="AA50" s="7">
        <f>'V-FTE Apr'!AA50/2</f>
        <v>0</v>
      </c>
      <c r="AB50" s="7">
        <f>'V-FTE Apr'!AB50/2</f>
        <v>0</v>
      </c>
      <c r="AC50" s="7">
        <f>'V-FTE Apr'!AC50/2</f>
        <v>0</v>
      </c>
      <c r="AD50" s="7">
        <f>'V-FTE Apr'!AD50/2</f>
        <v>0</v>
      </c>
      <c r="AE50" s="7">
        <f>'V-FTE Apr'!AE50/2</f>
        <v>0</v>
      </c>
      <c r="AF50" s="7">
        <f>'V-FTE Apr'!AF50/2</f>
        <v>0</v>
      </c>
    </row>
    <row r="51" spans="1:33" s="12" customFormat="1" x14ac:dyDescent="0.25">
      <c r="A51" s="12" t="s">
        <v>59</v>
      </c>
      <c r="B51" s="13">
        <f>SUM(B3:B50)</f>
        <v>616.55111980087224</v>
      </c>
      <c r="C51" s="13">
        <f t="shared" ref="C51:AF51" si="1">SUM(C3:C50)</f>
        <v>552.38088167218109</v>
      </c>
      <c r="D51" s="13">
        <f t="shared" si="1"/>
        <v>567.94507407412925</v>
      </c>
      <c r="E51" s="13">
        <f t="shared" si="1"/>
        <v>197.61000936186963</v>
      </c>
      <c r="F51" s="13">
        <f t="shared" si="1"/>
        <v>0</v>
      </c>
      <c r="G51" s="13">
        <f t="shared" si="1"/>
        <v>746.29710772953251</v>
      </c>
      <c r="H51" s="13">
        <f t="shared" si="1"/>
        <v>587.14387034180459</v>
      </c>
      <c r="I51" s="13">
        <f t="shared" si="1"/>
        <v>560.2616102711396</v>
      </c>
      <c r="J51" s="13">
        <f t="shared" si="1"/>
        <v>513.81068244035725</v>
      </c>
      <c r="K51" s="13">
        <f t="shared" si="1"/>
        <v>511.60131672550534</v>
      </c>
      <c r="L51" s="13">
        <f t="shared" si="1"/>
        <v>188.77254650246186</v>
      </c>
      <c r="M51" s="13">
        <f t="shared" si="1"/>
        <v>0</v>
      </c>
      <c r="N51" s="13">
        <f t="shared" si="1"/>
        <v>701.64128954206751</v>
      </c>
      <c r="O51" s="13">
        <f t="shared" si="1"/>
        <v>566.79600663761028</v>
      </c>
      <c r="P51" s="13">
        <f t="shared" si="1"/>
        <v>554.10201701700987</v>
      </c>
      <c r="Q51" s="13">
        <f t="shared" si="1"/>
        <v>509.76182250309506</v>
      </c>
      <c r="R51" s="13">
        <f t="shared" si="1"/>
        <v>497.27496091826202</v>
      </c>
      <c r="S51" s="13">
        <f t="shared" si="1"/>
        <v>186.41030057073402</v>
      </c>
      <c r="T51" s="13">
        <f t="shared" si="1"/>
        <v>0</v>
      </c>
      <c r="U51" s="13">
        <f t="shared" si="1"/>
        <v>706.86880663524414</v>
      </c>
      <c r="V51" s="13">
        <f t="shared" si="1"/>
        <v>558.51088520691553</v>
      </c>
      <c r="W51" s="13">
        <f t="shared" si="1"/>
        <v>556.53330562732685</v>
      </c>
      <c r="X51" s="13">
        <f t="shared" si="1"/>
        <v>512.88353789930329</v>
      </c>
      <c r="Y51" s="13">
        <f t="shared" si="1"/>
        <v>510.13169399553692</v>
      </c>
      <c r="Z51" s="13">
        <f t="shared" si="1"/>
        <v>184.98999403975776</v>
      </c>
      <c r="AA51" s="13">
        <f t="shared" si="1"/>
        <v>0</v>
      </c>
      <c r="AB51" s="13">
        <f t="shared" si="1"/>
        <v>722.16669156263401</v>
      </c>
      <c r="AC51" s="13">
        <f t="shared" si="1"/>
        <v>559.3985767887757</v>
      </c>
      <c r="AD51" s="13">
        <f t="shared" si="1"/>
        <v>518.15543957157274</v>
      </c>
      <c r="AE51" s="13">
        <f t="shared" si="1"/>
        <v>450.00045256430963</v>
      </c>
      <c r="AF51" s="13">
        <f t="shared" si="1"/>
        <v>0</v>
      </c>
      <c r="AG51" s="13">
        <f>SUM(B51:AF51)</f>
        <v>13338.000000000004</v>
      </c>
    </row>
    <row r="53" spans="1:33" x14ac:dyDescent="0.25">
      <c r="B53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C532-5497-4629-AEAF-FA9A74AFF4BE}">
  <sheetPr>
    <tabColor rgb="FF00B0F0"/>
  </sheetPr>
  <dimension ref="A1:AO51"/>
  <sheetViews>
    <sheetView zoomScale="75" zoomScaleNormal="75" workbookViewId="0">
      <pane xSplit="1" ySplit="2" topLeftCell="B3" activePane="bottomRight" state="frozen"/>
      <selection activeCell="I28" sqref="I28"/>
      <selection pane="topRight" activeCell="I28" sqref="I28"/>
      <selection pane="bottomLeft" activeCell="I28" sqref="I28"/>
      <selection pane="bottomRight" activeCell="I28" sqref="I28"/>
    </sheetView>
  </sheetViews>
  <sheetFormatPr defaultColWidth="9.140625" defaultRowHeight="15" x14ac:dyDescent="0.25"/>
  <cols>
    <col min="1" max="1" width="9.7109375" style="3" bestFit="1" customWidth="1"/>
    <col min="2" max="10" width="7.7109375" style="3" bestFit="1" customWidth="1"/>
    <col min="11" max="32" width="8.85546875" style="3" bestFit="1" customWidth="1"/>
    <col min="33" max="34" width="9.140625" style="3"/>
    <col min="35" max="35" width="5.42578125" style="3" bestFit="1" customWidth="1"/>
    <col min="36" max="36" width="4.5703125" style="3" bestFit="1" customWidth="1"/>
    <col min="37" max="37" width="5.42578125" style="3" bestFit="1" customWidth="1"/>
    <col min="38" max="38" width="4.5703125" style="3" bestFit="1" customWidth="1"/>
    <col min="39" max="39" width="3.5703125" style="3" bestFit="1" customWidth="1"/>
    <col min="40" max="40" width="4" style="3" bestFit="1" customWidth="1"/>
    <col min="41" max="41" width="4.5703125" style="3" bestFit="1" customWidth="1"/>
    <col min="42" max="16384" width="9.140625" style="3"/>
  </cols>
  <sheetData>
    <row r="1" spans="1:41" x14ac:dyDescent="0.25">
      <c r="A1" s="1" t="s">
        <v>57</v>
      </c>
      <c r="B1" s="2">
        <f>'V-FTE Mar'!B1</f>
        <v>46082</v>
      </c>
      <c r="C1" s="2">
        <f>B1+1</f>
        <v>46083</v>
      </c>
      <c r="D1" s="2">
        <f t="shared" ref="D1:AC1" si="0">C1+1</f>
        <v>46084</v>
      </c>
      <c r="E1" s="2">
        <f t="shared" si="0"/>
        <v>46085</v>
      </c>
      <c r="F1" s="2">
        <f t="shared" si="0"/>
        <v>46086</v>
      </c>
      <c r="G1" s="2">
        <f t="shared" si="0"/>
        <v>46087</v>
      </c>
      <c r="H1" s="2">
        <f t="shared" si="0"/>
        <v>46088</v>
      </c>
      <c r="I1" s="2">
        <f t="shared" si="0"/>
        <v>46089</v>
      </c>
      <c r="J1" s="2">
        <f t="shared" si="0"/>
        <v>46090</v>
      </c>
      <c r="K1" s="2">
        <f t="shared" si="0"/>
        <v>46091</v>
      </c>
      <c r="L1" s="2">
        <f t="shared" si="0"/>
        <v>46092</v>
      </c>
      <c r="M1" s="2">
        <f t="shared" si="0"/>
        <v>46093</v>
      </c>
      <c r="N1" s="2">
        <f t="shared" si="0"/>
        <v>46094</v>
      </c>
      <c r="O1" s="2">
        <f t="shared" si="0"/>
        <v>46095</v>
      </c>
      <c r="P1" s="2">
        <f t="shared" si="0"/>
        <v>46096</v>
      </c>
      <c r="Q1" s="2">
        <f t="shared" si="0"/>
        <v>46097</v>
      </c>
      <c r="R1" s="2">
        <f t="shared" si="0"/>
        <v>46098</v>
      </c>
      <c r="S1" s="2">
        <f t="shared" si="0"/>
        <v>46099</v>
      </c>
      <c r="T1" s="2">
        <f t="shared" si="0"/>
        <v>46100</v>
      </c>
      <c r="U1" s="2">
        <f t="shared" si="0"/>
        <v>46101</v>
      </c>
      <c r="V1" s="2">
        <f t="shared" si="0"/>
        <v>46102</v>
      </c>
      <c r="W1" s="2">
        <f t="shared" si="0"/>
        <v>46103</v>
      </c>
      <c r="X1" s="2">
        <f t="shared" si="0"/>
        <v>46104</v>
      </c>
      <c r="Y1" s="2">
        <f t="shared" si="0"/>
        <v>46105</v>
      </c>
      <c r="Z1" s="2">
        <f t="shared" si="0"/>
        <v>46106</v>
      </c>
      <c r="AA1" s="2">
        <f t="shared" si="0"/>
        <v>46107</v>
      </c>
      <c r="AB1" s="2">
        <f t="shared" si="0"/>
        <v>46108</v>
      </c>
      <c r="AC1" s="2">
        <f t="shared" si="0"/>
        <v>46109</v>
      </c>
      <c r="AD1" s="2">
        <f t="shared" ref="AD1" si="1">AC1+1</f>
        <v>46110</v>
      </c>
      <c r="AE1" s="2">
        <f t="shared" ref="AE1" si="2">AD1+1</f>
        <v>46111</v>
      </c>
      <c r="AF1" s="2">
        <f t="shared" ref="AF1" si="3">AE1+1</f>
        <v>46112</v>
      </c>
      <c r="AI1" s="22" t="s">
        <v>61</v>
      </c>
      <c r="AJ1" s="22"/>
      <c r="AK1" s="22"/>
      <c r="AL1" s="22"/>
      <c r="AM1" s="22"/>
      <c r="AN1" s="22"/>
      <c r="AO1" s="22"/>
    </row>
    <row r="2" spans="1:41" x14ac:dyDescent="0.25">
      <c r="A2" s="4"/>
      <c r="B2" s="5" t="str">
        <f>TEXT(B1,"ddd")</f>
        <v>Sun</v>
      </c>
      <c r="C2" s="5" t="str">
        <f t="shared" ref="C2:AF2" si="4">TEXT(C1,"ddd")</f>
        <v>Mon</v>
      </c>
      <c r="D2" s="5" t="str">
        <f t="shared" si="4"/>
        <v>Tue</v>
      </c>
      <c r="E2" s="5" t="str">
        <f t="shared" si="4"/>
        <v>Wed</v>
      </c>
      <c r="F2" s="5" t="str">
        <f t="shared" si="4"/>
        <v>Thu</v>
      </c>
      <c r="G2" s="5" t="str">
        <f t="shared" si="4"/>
        <v>Fri</v>
      </c>
      <c r="H2" s="5" t="str">
        <f t="shared" si="4"/>
        <v>Sat</v>
      </c>
      <c r="I2" s="5" t="str">
        <f t="shared" si="4"/>
        <v>Sun</v>
      </c>
      <c r="J2" s="5" t="str">
        <f t="shared" si="4"/>
        <v>Mon</v>
      </c>
      <c r="K2" s="5" t="str">
        <f t="shared" si="4"/>
        <v>Tue</v>
      </c>
      <c r="L2" s="5" t="str">
        <f t="shared" si="4"/>
        <v>Wed</v>
      </c>
      <c r="M2" s="5" t="str">
        <f t="shared" si="4"/>
        <v>Thu</v>
      </c>
      <c r="N2" s="5" t="str">
        <f t="shared" si="4"/>
        <v>Fri</v>
      </c>
      <c r="O2" s="5" t="str">
        <f t="shared" si="4"/>
        <v>Sat</v>
      </c>
      <c r="P2" s="5" t="str">
        <f t="shared" si="4"/>
        <v>Sun</v>
      </c>
      <c r="Q2" s="5" t="str">
        <f t="shared" si="4"/>
        <v>Mon</v>
      </c>
      <c r="R2" s="5" t="str">
        <f t="shared" si="4"/>
        <v>Tue</v>
      </c>
      <c r="S2" s="5" t="str">
        <f t="shared" si="4"/>
        <v>Wed</v>
      </c>
      <c r="T2" s="5" t="str">
        <f t="shared" si="4"/>
        <v>Thu</v>
      </c>
      <c r="U2" s="5" t="str">
        <f t="shared" si="4"/>
        <v>Fri</v>
      </c>
      <c r="V2" s="5" t="str">
        <f t="shared" si="4"/>
        <v>Sat</v>
      </c>
      <c r="W2" s="5" t="str">
        <f t="shared" si="4"/>
        <v>Sun</v>
      </c>
      <c r="X2" s="5" t="str">
        <f t="shared" si="4"/>
        <v>Mon</v>
      </c>
      <c r="Y2" s="5" t="str">
        <f t="shared" si="4"/>
        <v>Tue</v>
      </c>
      <c r="Z2" s="5" t="str">
        <f t="shared" si="4"/>
        <v>Wed</v>
      </c>
      <c r="AA2" s="5" t="str">
        <f t="shared" si="4"/>
        <v>Thu</v>
      </c>
      <c r="AB2" s="5" t="str">
        <f t="shared" si="4"/>
        <v>Fri</v>
      </c>
      <c r="AC2" s="5" t="str">
        <f t="shared" si="4"/>
        <v>Sat</v>
      </c>
      <c r="AD2" s="5" t="str">
        <f t="shared" si="4"/>
        <v>Sun</v>
      </c>
      <c r="AE2" s="5" t="str">
        <f t="shared" si="4"/>
        <v>Mon</v>
      </c>
      <c r="AF2" s="5" t="str">
        <f t="shared" si="4"/>
        <v>Tue</v>
      </c>
      <c r="AI2" s="6" t="s">
        <v>1</v>
      </c>
      <c r="AJ2" s="6" t="s">
        <v>2</v>
      </c>
      <c r="AK2" s="6" t="s">
        <v>3</v>
      </c>
      <c r="AL2" s="6" t="s">
        <v>4</v>
      </c>
      <c r="AM2" s="6" t="s">
        <v>5</v>
      </c>
      <c r="AN2" s="6" t="s">
        <v>6</v>
      </c>
      <c r="AO2" s="6" t="s">
        <v>7</v>
      </c>
    </row>
    <row r="3" spans="1:41" x14ac:dyDescent="0.25">
      <c r="A3" s="3" t="s">
        <v>8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I3" s="8"/>
      <c r="AJ3" s="8"/>
      <c r="AK3" s="8"/>
      <c r="AL3" s="8"/>
      <c r="AM3" s="8"/>
      <c r="AN3" s="8"/>
      <c r="AO3" s="8"/>
    </row>
    <row r="4" spans="1:41" x14ac:dyDescent="0.25">
      <c r="A4" s="3" t="s">
        <v>9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I4" s="8"/>
      <c r="AJ4" s="8"/>
      <c r="AK4" s="8"/>
      <c r="AL4" s="8"/>
      <c r="AM4" s="8"/>
      <c r="AN4" s="8"/>
      <c r="AO4" s="8"/>
    </row>
    <row r="5" spans="1:41" x14ac:dyDescent="0.25">
      <c r="A5" s="3" t="s">
        <v>10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I5" s="8"/>
      <c r="AJ5" s="8"/>
      <c r="AK5" s="8"/>
      <c r="AL5" s="8"/>
      <c r="AM5" s="8"/>
      <c r="AN5" s="8"/>
      <c r="AO5" s="8"/>
    </row>
    <row r="6" spans="1:41" x14ac:dyDescent="0.25">
      <c r="A6" s="3" t="s">
        <v>11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I6" s="8"/>
      <c r="AJ6" s="8"/>
      <c r="AK6" s="8"/>
      <c r="AL6" s="8"/>
      <c r="AM6" s="8"/>
      <c r="AN6" s="8"/>
      <c r="AO6" s="8"/>
    </row>
    <row r="7" spans="1:41" x14ac:dyDescent="0.25">
      <c r="A7" s="3" t="s">
        <v>12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I7" s="8"/>
      <c r="AJ7" s="8"/>
      <c r="AK7" s="8"/>
      <c r="AL7" s="8"/>
      <c r="AM7" s="8"/>
      <c r="AN7" s="8"/>
      <c r="AO7" s="8"/>
    </row>
    <row r="8" spans="1:41" x14ac:dyDescent="0.25">
      <c r="A8" s="3" t="s">
        <v>13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I8" s="8"/>
      <c r="AJ8" s="8"/>
      <c r="AK8" s="8"/>
      <c r="AL8" s="8"/>
      <c r="AM8" s="8"/>
      <c r="AN8" s="8"/>
      <c r="AO8" s="8"/>
    </row>
    <row r="9" spans="1:41" x14ac:dyDescent="0.25">
      <c r="A9" s="3" t="s">
        <v>14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I9" s="8"/>
      <c r="AJ9" s="8"/>
      <c r="AK9" s="8"/>
      <c r="AL9" s="8"/>
      <c r="AM9" s="8"/>
      <c r="AN9" s="8"/>
      <c r="AO9" s="8"/>
    </row>
    <row r="10" spans="1:41" x14ac:dyDescent="0.25">
      <c r="A10" s="3" t="s">
        <v>15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I10" s="8"/>
      <c r="AJ10" s="8"/>
      <c r="AK10" s="8"/>
      <c r="AL10" s="8"/>
      <c r="AM10" s="8"/>
      <c r="AN10" s="8"/>
      <c r="AO10" s="8"/>
    </row>
    <row r="11" spans="1:41" x14ac:dyDescent="0.25">
      <c r="A11" s="3" t="s">
        <v>16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I11" s="8"/>
      <c r="AJ11" s="8"/>
      <c r="AK11" s="8"/>
      <c r="AL11" s="8"/>
      <c r="AM11" s="8"/>
      <c r="AN11" s="8"/>
      <c r="AO11" s="8"/>
    </row>
    <row r="12" spans="1:41" x14ac:dyDescent="0.25">
      <c r="A12" s="3" t="s">
        <v>17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I12" s="8"/>
      <c r="AJ12" s="8"/>
      <c r="AK12" s="8"/>
      <c r="AL12" s="8"/>
      <c r="AM12" s="8"/>
      <c r="AN12" s="8"/>
      <c r="AO12" s="8"/>
    </row>
    <row r="13" spans="1:41" x14ac:dyDescent="0.25">
      <c r="A13" s="3" t="s">
        <v>18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I13" s="8"/>
      <c r="AJ13" s="8"/>
      <c r="AK13" s="8"/>
      <c r="AL13" s="8"/>
      <c r="AM13" s="8"/>
      <c r="AN13" s="8"/>
      <c r="AO13" s="8"/>
    </row>
    <row r="14" spans="1:41" x14ac:dyDescent="0.25">
      <c r="A14" s="3" t="s">
        <v>19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I14" s="8"/>
      <c r="AJ14" s="8"/>
      <c r="AK14" s="8"/>
      <c r="AL14" s="8"/>
      <c r="AM14" s="8"/>
      <c r="AN14" s="8"/>
      <c r="AO14" s="8"/>
    </row>
    <row r="15" spans="1:41" x14ac:dyDescent="0.25">
      <c r="A15" s="3" t="s">
        <v>20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I15" s="8"/>
      <c r="AJ15" s="8"/>
      <c r="AK15" s="8"/>
      <c r="AL15" s="8"/>
      <c r="AM15" s="8"/>
      <c r="AN15" s="8"/>
      <c r="AO15" s="8"/>
    </row>
    <row r="16" spans="1:41" x14ac:dyDescent="0.25">
      <c r="A16" s="3" t="s">
        <v>21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I16" s="8"/>
      <c r="AJ16" s="8"/>
      <c r="AK16" s="8"/>
      <c r="AL16" s="8"/>
      <c r="AM16" s="8"/>
      <c r="AN16" s="8"/>
      <c r="AO16" s="8"/>
    </row>
    <row r="17" spans="1:41" x14ac:dyDescent="0.25">
      <c r="A17" s="3" t="s">
        <v>22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I17" s="8"/>
      <c r="AJ17" s="8"/>
      <c r="AK17" s="8"/>
      <c r="AL17" s="8"/>
      <c r="AM17" s="8"/>
      <c r="AN17" s="8"/>
      <c r="AO17" s="8"/>
    </row>
    <row r="18" spans="1:41" x14ac:dyDescent="0.25">
      <c r="A18" s="3" t="s">
        <v>23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I18" s="8"/>
      <c r="AJ18" s="8"/>
      <c r="AK18" s="8"/>
      <c r="AL18" s="8"/>
      <c r="AM18" s="8"/>
      <c r="AN18" s="8"/>
      <c r="AO18" s="8"/>
    </row>
    <row r="19" spans="1:41" x14ac:dyDescent="0.25">
      <c r="A19" s="3" t="s">
        <v>24</v>
      </c>
      <c r="B19" s="7">
        <v>4.7139324705371983</v>
      </c>
      <c r="C19" s="7">
        <v>8.8732846504229617</v>
      </c>
      <c r="D19" s="7">
        <v>8.5959945050972451</v>
      </c>
      <c r="E19" s="7">
        <v>7.4868339237943751</v>
      </c>
      <c r="F19" s="7">
        <v>7.4868339237943751</v>
      </c>
      <c r="G19" s="7">
        <v>7.7641240691200926</v>
      </c>
      <c r="H19" s="7">
        <v>6.1003831971657867</v>
      </c>
      <c r="I19" s="7">
        <v>4.4366423252114808</v>
      </c>
      <c r="J19" s="7">
        <v>8.3187043597715267</v>
      </c>
      <c r="K19" s="7">
        <v>8.3187043597715284</v>
      </c>
      <c r="L19" s="7">
        <v>7.2095437784686567</v>
      </c>
      <c r="M19" s="7">
        <v>7.2095437784686558</v>
      </c>
      <c r="N19" s="7">
        <v>7.4868339237943751</v>
      </c>
      <c r="O19" s="7">
        <v>5.8230930518400692</v>
      </c>
      <c r="P19" s="7">
        <v>4.4366423252114817</v>
      </c>
      <c r="Q19" s="7">
        <v>8.0414142144458101</v>
      </c>
      <c r="R19" s="7">
        <v>8.0414142144458101</v>
      </c>
      <c r="S19" s="7">
        <v>6.9322536331429392</v>
      </c>
      <c r="T19" s="7">
        <v>7.2095437784686567</v>
      </c>
      <c r="U19" s="7">
        <v>7.486833923794376</v>
      </c>
      <c r="V19" s="7">
        <v>5.8230930518400692</v>
      </c>
      <c r="W19" s="7">
        <v>4.1593521798857633</v>
      </c>
      <c r="X19" s="7">
        <v>8.0414142144458101</v>
      </c>
      <c r="Y19" s="7">
        <v>8.0414142144458118</v>
      </c>
      <c r="Z19" s="7">
        <v>6.9322536331429401</v>
      </c>
      <c r="AA19" s="7">
        <v>7.2095437784686576</v>
      </c>
      <c r="AB19" s="7">
        <v>7.486833923794376</v>
      </c>
      <c r="AC19" s="7">
        <v>5.8230930518400692</v>
      </c>
      <c r="AD19" s="7">
        <v>4.4366423252114817</v>
      </c>
      <c r="AE19" s="7">
        <v>8.3187043597715267</v>
      </c>
      <c r="AF19" s="7">
        <v>8.0414142144458101</v>
      </c>
      <c r="AI19" s="9" cm="1">
        <f t="array" ref="AI19">MAX(_xlfn._xlws.FILTER($D19:$AF19, $D$2:$AF$2=AI$2))</f>
        <v>8.3187043597715267</v>
      </c>
      <c r="AJ19" s="9" cm="1">
        <f t="array" ref="AJ19">MAX(_xlfn._xlws.FILTER($B19:$AF19, $B$2:$AF$2=AJ$2))</f>
        <v>8.5959945050972451</v>
      </c>
      <c r="AK19" s="9" cm="1">
        <f t="array" ref="AK19">MAX(_xlfn._xlws.FILTER($B19:$AF19, $B$2:$AF$2=AK$2))</f>
        <v>7.4868339237943751</v>
      </c>
      <c r="AL19" s="9" cm="1">
        <f t="array" ref="AL19">MAX(_xlfn._xlws.FILTER($B19:$AF19, $B$2:$AF$2=AL$2))</f>
        <v>7.4868339237943751</v>
      </c>
      <c r="AM19" s="9" cm="1">
        <f t="array" ref="AM19">MAX(_xlfn._xlws.FILTER($B19:$AF19, $B$2:$AF$2=AM$2))</f>
        <v>7.7641240691200926</v>
      </c>
      <c r="AN19" s="9" cm="1">
        <f t="array" ref="AN19">MAX(_xlfn._xlws.FILTER($B19:$AF19, $B$2:$AF$2=AN$2))</f>
        <v>6.1003831971657867</v>
      </c>
      <c r="AO19" s="9" cm="1">
        <f t="array" ref="AO19">MAX(_xlfn._xlws.FILTER($B19:$AF19, $B$2:$AF$2=AO$2))</f>
        <v>4.7139324705371983</v>
      </c>
    </row>
    <row r="20" spans="1:41" x14ac:dyDescent="0.25">
      <c r="A20" s="3" t="s">
        <v>25</v>
      </c>
      <c r="B20" s="7">
        <v>5.8230930518400692</v>
      </c>
      <c r="C20" s="7">
        <v>11.091605813028703</v>
      </c>
      <c r="D20" s="7">
        <v>10.814315667702987</v>
      </c>
      <c r="E20" s="7">
        <v>9.4278649410743984</v>
      </c>
      <c r="F20" s="7">
        <v>9.4278649410743984</v>
      </c>
      <c r="G20" s="7">
        <v>9.15057479574868</v>
      </c>
      <c r="H20" s="7">
        <v>6.9322536331429401</v>
      </c>
      <c r="I20" s="7">
        <v>5.5458029065143517</v>
      </c>
      <c r="J20" s="7">
        <v>10.537025522377267</v>
      </c>
      <c r="K20" s="7">
        <v>10.259735377051552</v>
      </c>
      <c r="L20" s="7">
        <v>8.8732846504229617</v>
      </c>
      <c r="M20" s="7">
        <v>9.15057479574868</v>
      </c>
      <c r="N20" s="7">
        <v>8.8732846504229634</v>
      </c>
      <c r="O20" s="7">
        <v>6.6549634878172217</v>
      </c>
      <c r="P20" s="7">
        <v>5.2685127611886342</v>
      </c>
      <c r="Q20" s="7">
        <v>10.259735377051552</v>
      </c>
      <c r="R20" s="7">
        <v>9.9824452317258334</v>
      </c>
      <c r="S20" s="7">
        <v>8.8732846504229634</v>
      </c>
      <c r="T20" s="7">
        <v>8.8732846504229617</v>
      </c>
      <c r="U20" s="7">
        <v>8.5959945050972468</v>
      </c>
      <c r="V20" s="7">
        <v>6.6549634878172226</v>
      </c>
      <c r="W20" s="7">
        <v>5.2685127611886333</v>
      </c>
      <c r="X20" s="7">
        <v>10.25973537705155</v>
      </c>
      <c r="Y20" s="7">
        <v>9.9824452317258352</v>
      </c>
      <c r="Z20" s="7">
        <v>8.8732846504229634</v>
      </c>
      <c r="AA20" s="7">
        <v>8.8732846504229634</v>
      </c>
      <c r="AB20" s="7">
        <v>8.5959945050972468</v>
      </c>
      <c r="AC20" s="7">
        <v>6.6549634878172217</v>
      </c>
      <c r="AD20" s="7">
        <v>5.2685127611886342</v>
      </c>
      <c r="AE20" s="7">
        <v>10.537025522377268</v>
      </c>
      <c r="AF20" s="7">
        <v>10.259735377051552</v>
      </c>
      <c r="AI20" s="9" cm="1">
        <f t="array" ref="AI20">MAX(_xlfn._xlws.FILTER($D20:$AF20, $D$2:$AF$2=AI$2))</f>
        <v>10.537025522377268</v>
      </c>
      <c r="AJ20" s="9" cm="1">
        <f t="array" ref="AJ20">MAX(_xlfn._xlws.FILTER($B20:$AF20, $B$2:$AF$2=AJ$2))</f>
        <v>10.814315667702987</v>
      </c>
      <c r="AK20" s="9" cm="1">
        <f t="array" ref="AK20">MAX(_xlfn._xlws.FILTER($B20:$AF20, $B$2:$AF$2=AK$2))</f>
        <v>9.4278649410743984</v>
      </c>
      <c r="AL20" s="9" cm="1">
        <f t="array" ref="AL20">MAX(_xlfn._xlws.FILTER($B20:$AF20, $B$2:$AF$2=AL$2))</f>
        <v>9.4278649410743984</v>
      </c>
      <c r="AM20" s="9" cm="1">
        <f t="array" ref="AM20">MAX(_xlfn._xlws.FILTER($B20:$AF20, $B$2:$AF$2=AM$2))</f>
        <v>9.15057479574868</v>
      </c>
      <c r="AN20" s="9" cm="1">
        <f t="array" ref="AN20">MAX(_xlfn._xlws.FILTER($B20:$AF20, $B$2:$AF$2=AN$2))</f>
        <v>6.9322536331429401</v>
      </c>
      <c r="AO20" s="9" cm="1">
        <f t="array" ref="AO20">MAX(_xlfn._xlws.FILTER($B20:$AF20, $B$2:$AF$2=AO$2))</f>
        <v>5.8230930518400692</v>
      </c>
    </row>
    <row r="21" spans="1:41" x14ac:dyDescent="0.25">
      <c r="A21" s="3" t="s">
        <v>26</v>
      </c>
      <c r="B21" s="7">
        <v>7.2095437784686576</v>
      </c>
      <c r="C21" s="7">
        <v>15.805538283565904</v>
      </c>
      <c r="D21" s="7">
        <v>14.419087556937315</v>
      </c>
      <c r="E21" s="7">
        <v>12.478056539657292</v>
      </c>
      <c r="F21" s="7">
        <v>12.478056539657292</v>
      </c>
      <c r="G21" s="7">
        <v>11.923476249005857</v>
      </c>
      <c r="H21" s="7">
        <v>8.8732846504229634</v>
      </c>
      <c r="I21" s="7">
        <v>6.6549634878172208</v>
      </c>
      <c r="J21" s="7">
        <v>14.973667847588748</v>
      </c>
      <c r="K21" s="7">
        <v>13.864507266285882</v>
      </c>
      <c r="L21" s="7">
        <v>11.923476249005855</v>
      </c>
      <c r="M21" s="7">
        <v>12.200766394331573</v>
      </c>
      <c r="N21" s="7">
        <v>11.368895958354422</v>
      </c>
      <c r="O21" s="7">
        <v>8.5959945050972451</v>
      </c>
      <c r="P21" s="7">
        <v>6.6549634878172226</v>
      </c>
      <c r="Q21" s="7">
        <v>14.696377702263032</v>
      </c>
      <c r="R21" s="7">
        <v>13.587217120960164</v>
      </c>
      <c r="S21" s="7">
        <v>11.64618610368014</v>
      </c>
      <c r="T21" s="7">
        <v>11.923476249005855</v>
      </c>
      <c r="U21" s="7">
        <v>11.368895958354422</v>
      </c>
      <c r="V21" s="7">
        <v>8.3187043597715267</v>
      </c>
      <c r="W21" s="7">
        <v>6.3776733424915042</v>
      </c>
      <c r="X21" s="7">
        <v>14.419087556937315</v>
      </c>
      <c r="Y21" s="7">
        <v>13.309926975634445</v>
      </c>
      <c r="Z21" s="7">
        <v>11.64618610368014</v>
      </c>
      <c r="AA21" s="7">
        <v>11.923476249005857</v>
      </c>
      <c r="AB21" s="7">
        <v>11.368895958354424</v>
      </c>
      <c r="AC21" s="7">
        <v>8.5959945050972451</v>
      </c>
      <c r="AD21" s="7">
        <v>6.6549634878172217</v>
      </c>
      <c r="AE21" s="7">
        <v>14.69637770226303</v>
      </c>
      <c r="AF21" s="7">
        <v>13.587217120960162</v>
      </c>
      <c r="AI21" s="9" cm="1">
        <f t="array" ref="AI21">MAX(_xlfn._xlws.FILTER($D21:$AF21, $D$2:$AF$2=AI$2))</f>
        <v>14.973667847588748</v>
      </c>
      <c r="AJ21" s="9" cm="1">
        <f t="array" ref="AJ21">MAX(_xlfn._xlws.FILTER($B21:$AF21, $B$2:$AF$2=AJ$2))</f>
        <v>14.419087556937315</v>
      </c>
      <c r="AK21" s="9" cm="1">
        <f t="array" ref="AK21">MAX(_xlfn._xlws.FILTER($B21:$AF21, $B$2:$AF$2=AK$2))</f>
        <v>12.478056539657292</v>
      </c>
      <c r="AL21" s="9" cm="1">
        <f t="array" ref="AL21">MAX(_xlfn._xlws.FILTER($B21:$AF21, $B$2:$AF$2=AL$2))</f>
        <v>12.478056539657292</v>
      </c>
      <c r="AM21" s="9" cm="1">
        <f t="array" ref="AM21">MAX(_xlfn._xlws.FILTER($B21:$AF21, $B$2:$AF$2=AM$2))</f>
        <v>11.923476249005857</v>
      </c>
      <c r="AN21" s="9" cm="1">
        <f t="array" ref="AN21">MAX(_xlfn._xlws.FILTER($B21:$AF21, $B$2:$AF$2=AN$2))</f>
        <v>8.8732846504229634</v>
      </c>
      <c r="AO21" s="9" cm="1">
        <f t="array" ref="AO21">MAX(_xlfn._xlws.FILTER($B21:$AF21, $B$2:$AF$2=AO$2))</f>
        <v>7.2095437784686576</v>
      </c>
    </row>
    <row r="22" spans="1:41" x14ac:dyDescent="0.25">
      <c r="A22" s="3" t="s">
        <v>27</v>
      </c>
      <c r="B22" s="7">
        <v>8.5959945050972433</v>
      </c>
      <c r="C22" s="7">
        <v>20.242180608777385</v>
      </c>
      <c r="D22" s="7">
        <v>18.578439736823082</v>
      </c>
      <c r="E22" s="7">
        <v>15.528248138240185</v>
      </c>
      <c r="F22" s="7">
        <v>16.08282842889162</v>
      </c>
      <c r="G22" s="7">
        <v>15.250957992914467</v>
      </c>
      <c r="H22" s="7">
        <v>11.091605813028703</v>
      </c>
      <c r="I22" s="7">
        <v>8.0414142144458083</v>
      </c>
      <c r="J22" s="7">
        <v>19.41031017280023</v>
      </c>
      <c r="K22" s="7">
        <v>17.746569300845927</v>
      </c>
      <c r="L22" s="7">
        <v>14.69637770226303</v>
      </c>
      <c r="M22" s="7">
        <v>15.250957992914465</v>
      </c>
      <c r="N22" s="7">
        <v>14.696377702263034</v>
      </c>
      <c r="O22" s="7">
        <v>10.814315667702985</v>
      </c>
      <c r="P22" s="7">
        <v>8.0414142144458101</v>
      </c>
      <c r="Q22" s="7">
        <v>18.855729882148797</v>
      </c>
      <c r="R22" s="7">
        <v>17.469279155520208</v>
      </c>
      <c r="S22" s="7">
        <v>14.419087556937315</v>
      </c>
      <c r="T22" s="7">
        <v>14.973667847588748</v>
      </c>
      <c r="U22" s="7">
        <v>14.419087556937315</v>
      </c>
      <c r="V22" s="7">
        <v>10.537025522377268</v>
      </c>
      <c r="W22" s="7">
        <v>7.7641240691200926</v>
      </c>
      <c r="X22" s="7">
        <v>18.578439736823078</v>
      </c>
      <c r="Y22" s="7">
        <v>17.191989010194494</v>
      </c>
      <c r="Z22" s="7">
        <v>14.419087556937315</v>
      </c>
      <c r="AA22" s="7">
        <v>14.973667847588752</v>
      </c>
      <c r="AB22" s="7">
        <v>14.419087556937315</v>
      </c>
      <c r="AC22" s="7">
        <v>10.814315667702985</v>
      </c>
      <c r="AD22" s="7">
        <v>7.7641240691200926</v>
      </c>
      <c r="AE22" s="7">
        <v>18.855729882148797</v>
      </c>
      <c r="AF22" s="7">
        <v>17.469279155520208</v>
      </c>
      <c r="AI22" s="9" cm="1">
        <f t="array" ref="AI22">MAX(_xlfn._xlws.FILTER($D22:$AF22, $D$2:$AF$2=AI$2))</f>
        <v>19.41031017280023</v>
      </c>
      <c r="AJ22" s="9" cm="1">
        <f t="array" ref="AJ22">MAX(_xlfn._xlws.FILTER($B22:$AF22, $B$2:$AF$2=AJ$2))</f>
        <v>18.578439736823082</v>
      </c>
      <c r="AK22" s="9" cm="1">
        <f t="array" ref="AK22">MAX(_xlfn._xlws.FILTER($B22:$AF22, $B$2:$AF$2=AK$2))</f>
        <v>15.528248138240185</v>
      </c>
      <c r="AL22" s="9" cm="1">
        <f t="array" ref="AL22">MAX(_xlfn._xlws.FILTER($B22:$AF22, $B$2:$AF$2=AL$2))</f>
        <v>16.08282842889162</v>
      </c>
      <c r="AM22" s="9" cm="1">
        <f t="array" ref="AM22">MAX(_xlfn._xlws.FILTER($B22:$AF22, $B$2:$AF$2=AM$2))</f>
        <v>15.250957992914467</v>
      </c>
      <c r="AN22" s="9" cm="1">
        <f t="array" ref="AN22">MAX(_xlfn._xlws.FILTER($B22:$AF22, $B$2:$AF$2=AN$2))</f>
        <v>11.091605813028703</v>
      </c>
      <c r="AO22" s="9" cm="1">
        <f t="array" ref="AO22">MAX(_xlfn._xlws.FILTER($B22:$AF22, $B$2:$AF$2=AO$2))</f>
        <v>8.5959945050972433</v>
      </c>
    </row>
    <row r="23" spans="1:41" x14ac:dyDescent="0.25">
      <c r="A23" s="3" t="s">
        <v>28</v>
      </c>
      <c r="B23" s="7">
        <v>10.814315667702987</v>
      </c>
      <c r="C23" s="7">
        <v>23.569662352685995</v>
      </c>
      <c r="D23" s="7">
        <v>22.460501771383125</v>
      </c>
      <c r="E23" s="7">
        <v>18.30114959149736</v>
      </c>
      <c r="F23" s="7">
        <v>18.578439736823078</v>
      </c>
      <c r="G23" s="7">
        <v>18.855729882148797</v>
      </c>
      <c r="H23" s="7">
        <v>13.86450726628588</v>
      </c>
      <c r="I23" s="7">
        <v>10.25973537705155</v>
      </c>
      <c r="J23" s="7">
        <v>22.460501771383122</v>
      </c>
      <c r="K23" s="7">
        <v>21.351341190080255</v>
      </c>
      <c r="L23" s="7">
        <v>17.469279155520205</v>
      </c>
      <c r="M23" s="7">
        <v>18.023859446171642</v>
      </c>
      <c r="N23" s="7">
        <v>18.023859446171645</v>
      </c>
      <c r="O23" s="7">
        <v>13.309926975634443</v>
      </c>
      <c r="P23" s="7">
        <v>9.9824452317258334</v>
      </c>
      <c r="Q23" s="7">
        <v>21.905921480731692</v>
      </c>
      <c r="R23" s="7">
        <v>20.796760899428818</v>
      </c>
      <c r="S23" s="7">
        <v>17.19198901019449</v>
      </c>
      <c r="T23" s="7">
        <v>17.469279155520205</v>
      </c>
      <c r="U23" s="7">
        <v>17.746569300845927</v>
      </c>
      <c r="V23" s="7">
        <v>13.032636830308727</v>
      </c>
      <c r="W23" s="7">
        <v>9.705155086400115</v>
      </c>
      <c r="X23" s="7">
        <v>21.62863133540597</v>
      </c>
      <c r="Y23" s="7">
        <v>20.796760899428822</v>
      </c>
      <c r="Z23" s="7">
        <v>17.191989010194494</v>
      </c>
      <c r="AA23" s="7">
        <v>17.469279155520208</v>
      </c>
      <c r="AB23" s="7">
        <v>17.746569300845927</v>
      </c>
      <c r="AC23" s="7">
        <v>13.032636830308727</v>
      </c>
      <c r="AD23" s="7">
        <v>9.9824452317258334</v>
      </c>
      <c r="AE23" s="7">
        <v>21.905921480731688</v>
      </c>
      <c r="AF23" s="7">
        <v>21.074051044754537</v>
      </c>
      <c r="AI23" s="9" cm="1">
        <f t="array" ref="AI23">MAX(_xlfn._xlws.FILTER($D23:$AF23, $D$2:$AF$2=AI$2))</f>
        <v>22.460501771383122</v>
      </c>
      <c r="AJ23" s="9" cm="1">
        <f t="array" ref="AJ23">MAX(_xlfn._xlws.FILTER($B23:$AF23, $B$2:$AF$2=AJ$2))</f>
        <v>22.460501771383125</v>
      </c>
      <c r="AK23" s="9" cm="1">
        <f t="array" ref="AK23">MAX(_xlfn._xlws.FILTER($B23:$AF23, $B$2:$AF$2=AK$2))</f>
        <v>18.30114959149736</v>
      </c>
      <c r="AL23" s="9" cm="1">
        <f t="array" ref="AL23">MAX(_xlfn._xlws.FILTER($B23:$AF23, $B$2:$AF$2=AL$2))</f>
        <v>18.578439736823078</v>
      </c>
      <c r="AM23" s="9" cm="1">
        <f t="array" ref="AM23">MAX(_xlfn._xlws.FILTER($B23:$AF23, $B$2:$AF$2=AM$2))</f>
        <v>18.855729882148797</v>
      </c>
      <c r="AN23" s="9" cm="1">
        <f t="array" ref="AN23">MAX(_xlfn._xlws.FILTER($B23:$AF23, $B$2:$AF$2=AN$2))</f>
        <v>13.86450726628588</v>
      </c>
      <c r="AO23" s="9" cm="1">
        <f t="array" ref="AO23">MAX(_xlfn._xlws.FILTER($B23:$AF23, $B$2:$AF$2=AO$2))</f>
        <v>10.814315667702987</v>
      </c>
    </row>
    <row r="24" spans="1:41" x14ac:dyDescent="0.25">
      <c r="A24" s="3" t="s">
        <v>29</v>
      </c>
      <c r="B24" s="7">
        <v>13.309926975634443</v>
      </c>
      <c r="C24" s="7">
        <v>27.174434241920324</v>
      </c>
      <c r="D24" s="7">
        <v>25.787983515291739</v>
      </c>
      <c r="E24" s="7">
        <v>20.796760899428818</v>
      </c>
      <c r="F24" s="7">
        <v>21.351341190080255</v>
      </c>
      <c r="G24" s="7">
        <v>22.183211626057407</v>
      </c>
      <c r="H24" s="7">
        <v>16.360118574217339</v>
      </c>
      <c r="I24" s="7">
        <v>12.755346684983008</v>
      </c>
      <c r="J24" s="7">
        <v>25.787983515291732</v>
      </c>
      <c r="K24" s="7">
        <v>24.678822933988869</v>
      </c>
      <c r="L24" s="7">
        <v>19.964890463451667</v>
      </c>
      <c r="M24" s="7">
        <v>20.519470754103097</v>
      </c>
      <c r="N24" s="7">
        <v>21.351341190080255</v>
      </c>
      <c r="O24" s="7">
        <v>15.805538283565902</v>
      </c>
      <c r="P24" s="7">
        <v>12.200766394331575</v>
      </c>
      <c r="Q24" s="7">
        <v>25.233403224640302</v>
      </c>
      <c r="R24" s="7">
        <v>24.124242643337428</v>
      </c>
      <c r="S24" s="7">
        <v>19.41031017280023</v>
      </c>
      <c r="T24" s="7">
        <v>19.964890463451667</v>
      </c>
      <c r="U24" s="7">
        <v>20.796760899428818</v>
      </c>
      <c r="V24" s="7">
        <v>15.528248138240185</v>
      </c>
      <c r="W24" s="7">
        <v>12.200766394331573</v>
      </c>
      <c r="X24" s="7">
        <v>24.956113079314584</v>
      </c>
      <c r="Y24" s="7">
        <v>23.846952498011717</v>
      </c>
      <c r="Z24" s="7">
        <v>19.410310172800234</v>
      </c>
      <c r="AA24" s="7">
        <v>19.96489046345167</v>
      </c>
      <c r="AB24" s="7">
        <v>21.074051044754537</v>
      </c>
      <c r="AC24" s="7">
        <v>15.805538283565902</v>
      </c>
      <c r="AD24" s="7">
        <v>12.200766394331573</v>
      </c>
      <c r="AE24" s="7">
        <v>25.233403224640302</v>
      </c>
      <c r="AF24" s="7">
        <v>24.40153278866315</v>
      </c>
      <c r="AI24" s="9" cm="1">
        <f t="array" ref="AI24">MAX(_xlfn._xlws.FILTER($D24:$AF24, $D$2:$AF$2=AI$2))</f>
        <v>25.787983515291732</v>
      </c>
      <c r="AJ24" s="9" cm="1">
        <f t="array" ref="AJ24">MAX(_xlfn._xlws.FILTER($B24:$AF24, $B$2:$AF$2=AJ$2))</f>
        <v>25.787983515291739</v>
      </c>
      <c r="AK24" s="9" cm="1">
        <f t="array" ref="AK24">MAX(_xlfn._xlws.FILTER($B24:$AF24, $B$2:$AF$2=AK$2))</f>
        <v>20.796760899428818</v>
      </c>
      <c r="AL24" s="9" cm="1">
        <f t="array" ref="AL24">MAX(_xlfn._xlws.FILTER($B24:$AF24, $B$2:$AF$2=AL$2))</f>
        <v>21.351341190080255</v>
      </c>
      <c r="AM24" s="9" cm="1">
        <f t="array" ref="AM24">MAX(_xlfn._xlws.FILTER($B24:$AF24, $B$2:$AF$2=AM$2))</f>
        <v>22.183211626057407</v>
      </c>
      <c r="AN24" s="9" cm="1">
        <f t="array" ref="AN24">MAX(_xlfn._xlws.FILTER($B24:$AF24, $B$2:$AF$2=AN$2))</f>
        <v>16.360118574217339</v>
      </c>
      <c r="AO24" s="9" cm="1">
        <f t="array" ref="AO24">MAX(_xlfn._xlws.FILTER($B24:$AF24, $B$2:$AF$2=AO$2))</f>
        <v>13.309926975634443</v>
      </c>
    </row>
    <row r="25" spans="1:41" x14ac:dyDescent="0.25">
      <c r="A25" s="3" t="s">
        <v>30</v>
      </c>
      <c r="B25" s="7">
        <v>14.69637770226303</v>
      </c>
      <c r="C25" s="7">
        <v>30.779206131154648</v>
      </c>
      <c r="D25" s="7">
        <v>28.83817511387463</v>
      </c>
      <c r="E25" s="7">
        <v>22.460501771383125</v>
      </c>
      <c r="F25" s="7">
        <v>23.846952498011714</v>
      </c>
      <c r="G25" s="7">
        <v>23.846952498011714</v>
      </c>
      <c r="H25" s="7">
        <v>18.30114959149736</v>
      </c>
      <c r="I25" s="7">
        <v>13.864507266285878</v>
      </c>
      <c r="J25" s="7">
        <v>29.115465259200345</v>
      </c>
      <c r="K25" s="7">
        <v>27.451724387246042</v>
      </c>
      <c r="L25" s="7">
        <v>21.351341190080252</v>
      </c>
      <c r="M25" s="7">
        <v>22.737791916708836</v>
      </c>
      <c r="N25" s="7">
        <v>23.015082062034562</v>
      </c>
      <c r="O25" s="7">
        <v>17.746569300845927</v>
      </c>
      <c r="P25" s="7">
        <v>13.587217120960162</v>
      </c>
      <c r="Q25" s="7">
        <v>28.283594823223201</v>
      </c>
      <c r="R25" s="7">
        <v>26.61985395126889</v>
      </c>
      <c r="S25" s="7">
        <v>21.074051044754537</v>
      </c>
      <c r="T25" s="7">
        <v>22.183211626057407</v>
      </c>
      <c r="U25" s="7">
        <v>22.737791916708844</v>
      </c>
      <c r="V25" s="7">
        <v>17.469279155520205</v>
      </c>
      <c r="W25" s="7">
        <v>13.309926975634443</v>
      </c>
      <c r="X25" s="7">
        <v>28.283594823223194</v>
      </c>
      <c r="Y25" s="7">
        <v>26.61985395126889</v>
      </c>
      <c r="Z25" s="7">
        <v>20.796760899428822</v>
      </c>
      <c r="AA25" s="7">
        <v>22.460501771383129</v>
      </c>
      <c r="AB25" s="7">
        <v>22.737791916708847</v>
      </c>
      <c r="AC25" s="7">
        <v>17.469279155520208</v>
      </c>
      <c r="AD25" s="7">
        <v>13.587217120960164</v>
      </c>
      <c r="AE25" s="7">
        <v>28.560884968548912</v>
      </c>
      <c r="AF25" s="7">
        <v>26.897144096594605</v>
      </c>
      <c r="AI25" s="9" cm="1">
        <f t="array" ref="AI25">MAX(_xlfn._xlws.FILTER($D25:$AF25, $D$2:$AF$2=AI$2))</f>
        <v>29.115465259200345</v>
      </c>
      <c r="AJ25" s="9" cm="1">
        <f t="array" ref="AJ25">MAX(_xlfn._xlws.FILTER($B25:$AF25, $B$2:$AF$2=AJ$2))</f>
        <v>28.83817511387463</v>
      </c>
      <c r="AK25" s="9" cm="1">
        <f t="array" ref="AK25">MAX(_xlfn._xlws.FILTER($B25:$AF25, $B$2:$AF$2=AK$2))</f>
        <v>22.460501771383125</v>
      </c>
      <c r="AL25" s="9" cm="1">
        <f t="array" ref="AL25">MAX(_xlfn._xlws.FILTER($B25:$AF25, $B$2:$AF$2=AL$2))</f>
        <v>23.846952498011714</v>
      </c>
      <c r="AM25" s="9" cm="1">
        <f t="array" ref="AM25">MAX(_xlfn._xlws.FILTER($B25:$AF25, $B$2:$AF$2=AM$2))</f>
        <v>23.846952498011714</v>
      </c>
      <c r="AN25" s="9" cm="1">
        <f t="array" ref="AN25">MAX(_xlfn._xlws.FILTER($B25:$AF25, $B$2:$AF$2=AN$2))</f>
        <v>18.30114959149736</v>
      </c>
      <c r="AO25" s="9" cm="1">
        <f t="array" ref="AO25">MAX(_xlfn._xlws.FILTER($B25:$AF25, $B$2:$AF$2=AO$2))</f>
        <v>14.69637770226303</v>
      </c>
    </row>
    <row r="26" spans="1:41" x14ac:dyDescent="0.25">
      <c r="A26" s="3" t="s">
        <v>31</v>
      </c>
      <c r="B26" s="7">
        <v>15.528248138240185</v>
      </c>
      <c r="C26" s="7">
        <v>32.997527293760392</v>
      </c>
      <c r="D26" s="7">
        <v>30.779206131154655</v>
      </c>
      <c r="E26" s="7">
        <v>23.569662352685995</v>
      </c>
      <c r="F26" s="7">
        <v>24.678822933988865</v>
      </c>
      <c r="G26" s="7">
        <v>25.233403224640302</v>
      </c>
      <c r="H26" s="7">
        <v>19.687600318125948</v>
      </c>
      <c r="I26" s="7">
        <v>14.696377702263032</v>
      </c>
      <c r="J26" s="7">
        <v>31.611076567131803</v>
      </c>
      <c r="K26" s="7">
        <v>29.392755404526071</v>
      </c>
      <c r="L26" s="7">
        <v>22.73779191670884</v>
      </c>
      <c r="M26" s="7">
        <v>23.569662352685992</v>
      </c>
      <c r="N26" s="7">
        <v>24.40153278866315</v>
      </c>
      <c r="O26" s="7">
        <v>19.133020027474512</v>
      </c>
      <c r="P26" s="7">
        <v>14.1417974116116</v>
      </c>
      <c r="Q26" s="7">
        <v>30.501915985828933</v>
      </c>
      <c r="R26" s="7">
        <v>28.838175113874627</v>
      </c>
      <c r="S26" s="7">
        <v>22.183211626057407</v>
      </c>
      <c r="T26" s="7">
        <v>23.015082062034555</v>
      </c>
      <c r="U26" s="7">
        <v>23.846952498011717</v>
      </c>
      <c r="V26" s="7">
        <v>18.855729882148797</v>
      </c>
      <c r="W26" s="7">
        <v>14.141797411611595</v>
      </c>
      <c r="X26" s="7">
        <v>30.501915985828937</v>
      </c>
      <c r="Y26" s="7">
        <v>28.560884968548915</v>
      </c>
      <c r="Z26" s="7">
        <v>22.18321162605741</v>
      </c>
      <c r="AA26" s="7">
        <v>23.015082062034562</v>
      </c>
      <c r="AB26" s="7">
        <v>24.124242643337432</v>
      </c>
      <c r="AC26" s="7">
        <v>18.855729882148793</v>
      </c>
      <c r="AD26" s="7">
        <v>14.141797411611597</v>
      </c>
      <c r="AE26" s="7">
        <v>30.779206131154652</v>
      </c>
      <c r="AF26" s="7">
        <v>29.115465259200345</v>
      </c>
      <c r="AI26" s="9" cm="1">
        <f t="array" ref="AI26">MAX(_xlfn._xlws.FILTER($D26:$AF26, $D$2:$AF$2=AI$2))</f>
        <v>31.611076567131803</v>
      </c>
      <c r="AJ26" s="9" cm="1">
        <f t="array" ref="AJ26">MAX(_xlfn._xlws.FILTER($B26:$AF26, $B$2:$AF$2=AJ$2))</f>
        <v>30.779206131154655</v>
      </c>
      <c r="AK26" s="9" cm="1">
        <f t="array" ref="AK26">MAX(_xlfn._xlws.FILTER($B26:$AF26, $B$2:$AF$2=AK$2))</f>
        <v>23.569662352685995</v>
      </c>
      <c r="AL26" s="9" cm="1">
        <f t="array" ref="AL26">MAX(_xlfn._xlws.FILTER($B26:$AF26, $B$2:$AF$2=AL$2))</f>
        <v>24.678822933988865</v>
      </c>
      <c r="AM26" s="9" cm="1">
        <f t="array" ref="AM26">MAX(_xlfn._xlws.FILTER($B26:$AF26, $B$2:$AF$2=AM$2))</f>
        <v>25.233403224640302</v>
      </c>
      <c r="AN26" s="9" cm="1">
        <f t="array" ref="AN26">MAX(_xlfn._xlws.FILTER($B26:$AF26, $B$2:$AF$2=AN$2))</f>
        <v>19.687600318125948</v>
      </c>
      <c r="AO26" s="9" cm="1">
        <f t="array" ref="AO26">MAX(_xlfn._xlws.FILTER($B26:$AF26, $B$2:$AF$2=AO$2))</f>
        <v>15.528248138240185</v>
      </c>
    </row>
    <row r="27" spans="1:41" x14ac:dyDescent="0.25">
      <c r="A27" s="3" t="s">
        <v>32</v>
      </c>
      <c r="B27" s="7">
        <v>16.082828428891617</v>
      </c>
      <c r="C27" s="7">
        <v>33.274817439086107</v>
      </c>
      <c r="D27" s="7">
        <v>32.16565685778324</v>
      </c>
      <c r="E27" s="7">
        <v>25.233403224640298</v>
      </c>
      <c r="F27" s="7">
        <v>24.40153278866315</v>
      </c>
      <c r="G27" s="7">
        <v>26.342563805943172</v>
      </c>
      <c r="H27" s="7">
        <v>20.242180608777382</v>
      </c>
      <c r="I27" s="7">
        <v>15.250957992914467</v>
      </c>
      <c r="J27" s="7">
        <v>31.611076567131803</v>
      </c>
      <c r="K27" s="7">
        <v>30.501915985828937</v>
      </c>
      <c r="L27" s="7">
        <v>24.124242643337428</v>
      </c>
      <c r="M27" s="7">
        <v>23.292372207360273</v>
      </c>
      <c r="N27" s="7">
        <v>25.233403224640298</v>
      </c>
      <c r="O27" s="7">
        <v>19.41031017280023</v>
      </c>
      <c r="P27" s="7">
        <v>14.696377702263035</v>
      </c>
      <c r="Q27" s="7">
        <v>30.779206131154655</v>
      </c>
      <c r="R27" s="7">
        <v>29.9473356951775</v>
      </c>
      <c r="S27" s="7">
        <v>23.569662352685999</v>
      </c>
      <c r="T27" s="7">
        <v>23.015082062034555</v>
      </c>
      <c r="U27" s="7">
        <v>24.956113079314587</v>
      </c>
      <c r="V27" s="7">
        <v>19.410310172800234</v>
      </c>
      <c r="W27" s="7">
        <v>14.696377702263034</v>
      </c>
      <c r="X27" s="7">
        <v>30.501915985828937</v>
      </c>
      <c r="Y27" s="7">
        <v>29.670045549851785</v>
      </c>
      <c r="Z27" s="7">
        <v>23.569662352685999</v>
      </c>
      <c r="AA27" s="7">
        <v>23.015082062034562</v>
      </c>
      <c r="AB27" s="7">
        <v>24.956113079314584</v>
      </c>
      <c r="AC27" s="7">
        <v>19.41031017280023</v>
      </c>
      <c r="AD27" s="7">
        <v>14.69637770226303</v>
      </c>
      <c r="AE27" s="7">
        <v>31.05649627648037</v>
      </c>
      <c r="AF27" s="7">
        <v>30.224625840503219</v>
      </c>
      <c r="AI27" s="9" cm="1">
        <f t="array" ref="AI27">MAX(_xlfn._xlws.FILTER($D27:$AF27, $D$2:$AF$2=AI$2))</f>
        <v>31.611076567131803</v>
      </c>
      <c r="AJ27" s="9" cm="1">
        <f t="array" ref="AJ27">MAX(_xlfn._xlws.FILTER($B27:$AF27, $B$2:$AF$2=AJ$2))</f>
        <v>32.16565685778324</v>
      </c>
      <c r="AK27" s="9" cm="1">
        <f t="array" ref="AK27">MAX(_xlfn._xlws.FILTER($B27:$AF27, $B$2:$AF$2=AK$2))</f>
        <v>25.233403224640298</v>
      </c>
      <c r="AL27" s="9" cm="1">
        <f t="array" ref="AL27">MAX(_xlfn._xlws.FILTER($B27:$AF27, $B$2:$AF$2=AL$2))</f>
        <v>24.40153278866315</v>
      </c>
      <c r="AM27" s="9" cm="1">
        <f t="array" ref="AM27">MAX(_xlfn._xlws.FILTER($B27:$AF27, $B$2:$AF$2=AM$2))</f>
        <v>26.342563805943172</v>
      </c>
      <c r="AN27" s="9" cm="1">
        <f t="array" ref="AN27">MAX(_xlfn._xlws.FILTER($B27:$AF27, $B$2:$AF$2=AN$2))</f>
        <v>20.242180608777382</v>
      </c>
      <c r="AO27" s="9" cm="1">
        <f t="array" ref="AO27">MAX(_xlfn._xlws.FILTER($B27:$AF27, $B$2:$AF$2=AO$2))</f>
        <v>16.082828428891617</v>
      </c>
    </row>
    <row r="28" spans="1:41" x14ac:dyDescent="0.25">
      <c r="A28" s="3" t="s">
        <v>33</v>
      </c>
      <c r="B28" s="7">
        <v>17.191989010194487</v>
      </c>
      <c r="C28" s="7">
        <v>34.106687875063258</v>
      </c>
      <c r="D28" s="7">
        <v>32.720237148434677</v>
      </c>
      <c r="E28" s="7">
        <v>28.283594823223194</v>
      </c>
      <c r="F28" s="7">
        <v>25.233403224640302</v>
      </c>
      <c r="G28" s="7">
        <v>26.342563805943172</v>
      </c>
      <c r="H28" s="7">
        <v>21.074051044754537</v>
      </c>
      <c r="I28" s="7">
        <v>16.360118574217335</v>
      </c>
      <c r="J28" s="7">
        <v>32.442947003108955</v>
      </c>
      <c r="K28" s="7">
        <v>31.333786421806092</v>
      </c>
      <c r="L28" s="7">
        <v>27.174434241920324</v>
      </c>
      <c r="M28" s="7">
        <v>24.401532788663147</v>
      </c>
      <c r="N28" s="7">
        <v>25.233403224640298</v>
      </c>
      <c r="O28" s="7">
        <v>20.242180608777385</v>
      </c>
      <c r="P28" s="7">
        <v>15.805538283565904</v>
      </c>
      <c r="Q28" s="7">
        <v>31.611076567131807</v>
      </c>
      <c r="R28" s="7">
        <v>30.501915985828933</v>
      </c>
      <c r="S28" s="7">
        <v>26.342563805943172</v>
      </c>
      <c r="T28" s="7">
        <v>23.84695249801171</v>
      </c>
      <c r="U28" s="7">
        <v>24.956113079314587</v>
      </c>
      <c r="V28" s="7">
        <v>20.242180608777385</v>
      </c>
      <c r="W28" s="7">
        <v>15.805538283565902</v>
      </c>
      <c r="X28" s="7">
        <v>31.333786421806085</v>
      </c>
      <c r="Y28" s="7">
        <v>30.224625840503219</v>
      </c>
      <c r="Z28" s="7">
        <v>26.342563805943172</v>
      </c>
      <c r="AA28" s="7">
        <v>23.846952498011714</v>
      </c>
      <c r="AB28" s="7">
        <v>24.956113079314584</v>
      </c>
      <c r="AC28" s="7">
        <v>20.242180608777385</v>
      </c>
      <c r="AD28" s="7">
        <v>15.805538283565902</v>
      </c>
      <c r="AE28" s="7">
        <v>31.888366712457522</v>
      </c>
      <c r="AF28" s="7">
        <v>30.779206131154652</v>
      </c>
      <c r="AI28" s="9" cm="1">
        <f t="array" ref="AI28">MAX(_xlfn._xlws.FILTER($D28:$AF28, $D$2:$AF$2=AI$2))</f>
        <v>32.442947003108955</v>
      </c>
      <c r="AJ28" s="9" cm="1">
        <f t="array" ref="AJ28">MAX(_xlfn._xlws.FILTER($B28:$AF28, $B$2:$AF$2=AJ$2))</f>
        <v>32.720237148434677</v>
      </c>
      <c r="AK28" s="9" cm="1">
        <f t="array" ref="AK28">MAX(_xlfn._xlws.FILTER($B28:$AF28, $B$2:$AF$2=AK$2))</f>
        <v>28.283594823223194</v>
      </c>
      <c r="AL28" s="9" cm="1">
        <f t="array" ref="AL28">MAX(_xlfn._xlws.FILTER($B28:$AF28, $B$2:$AF$2=AL$2))</f>
        <v>25.233403224640302</v>
      </c>
      <c r="AM28" s="9" cm="1">
        <f t="array" ref="AM28">MAX(_xlfn._xlws.FILTER($B28:$AF28, $B$2:$AF$2=AM$2))</f>
        <v>26.342563805943172</v>
      </c>
      <c r="AN28" s="9" cm="1">
        <f t="array" ref="AN28">MAX(_xlfn._xlws.FILTER($B28:$AF28, $B$2:$AF$2=AN$2))</f>
        <v>21.074051044754537</v>
      </c>
      <c r="AO28" s="9" cm="1">
        <f t="array" ref="AO28">MAX(_xlfn._xlws.FILTER($B28:$AF28, $B$2:$AF$2=AO$2))</f>
        <v>17.191989010194487</v>
      </c>
    </row>
    <row r="29" spans="1:41" x14ac:dyDescent="0.25">
      <c r="A29" s="3" t="s">
        <v>34</v>
      </c>
      <c r="B29" s="7">
        <v>19.687600318125948</v>
      </c>
      <c r="C29" s="7">
        <v>37.711459764297587</v>
      </c>
      <c r="D29" s="7">
        <v>33.829397729737551</v>
      </c>
      <c r="E29" s="7">
        <v>31.888366712457525</v>
      </c>
      <c r="F29" s="7">
        <v>28.283594823223197</v>
      </c>
      <c r="G29" s="7">
        <v>27.451724387246042</v>
      </c>
      <c r="H29" s="7">
        <v>23.292372207360277</v>
      </c>
      <c r="I29" s="7">
        <v>18.855729882148793</v>
      </c>
      <c r="J29" s="7">
        <v>36.047718892343283</v>
      </c>
      <c r="K29" s="7">
        <v>32.16565685778324</v>
      </c>
      <c r="L29" s="7">
        <v>30.501915985828933</v>
      </c>
      <c r="M29" s="7">
        <v>27.17443424192032</v>
      </c>
      <c r="N29" s="7">
        <v>26.342563805943172</v>
      </c>
      <c r="O29" s="7">
        <v>22.460501771383125</v>
      </c>
      <c r="P29" s="7">
        <v>18.301149591497364</v>
      </c>
      <c r="Q29" s="7">
        <v>34.938558311040417</v>
      </c>
      <c r="R29" s="7">
        <v>31.333786421806092</v>
      </c>
      <c r="S29" s="7">
        <v>29.670045549851782</v>
      </c>
      <c r="T29" s="7">
        <v>26.619853951268883</v>
      </c>
      <c r="U29" s="7">
        <v>26.065273660617457</v>
      </c>
      <c r="V29" s="7">
        <v>22.183211626057407</v>
      </c>
      <c r="W29" s="7">
        <v>18.023859446171645</v>
      </c>
      <c r="X29" s="7">
        <v>34.661268165714702</v>
      </c>
      <c r="Y29" s="7">
        <v>31.333786421806092</v>
      </c>
      <c r="Z29" s="7">
        <v>29.670045549851785</v>
      </c>
      <c r="AA29" s="7">
        <v>26.619853951268894</v>
      </c>
      <c r="AB29" s="7">
        <v>26.065273660617457</v>
      </c>
      <c r="AC29" s="7">
        <v>22.183211626057407</v>
      </c>
      <c r="AD29" s="7">
        <v>18.30114959149736</v>
      </c>
      <c r="AE29" s="7">
        <v>34.93855831104041</v>
      </c>
      <c r="AF29" s="7">
        <v>31.888366712457522</v>
      </c>
      <c r="AI29" s="9" cm="1">
        <f t="array" ref="AI29">MAX(_xlfn._xlws.FILTER($D29:$AF29, $D$2:$AF$2=AI$2))</f>
        <v>36.047718892343283</v>
      </c>
      <c r="AJ29" s="9" cm="1">
        <f t="array" ref="AJ29">MAX(_xlfn._xlws.FILTER($B29:$AF29, $B$2:$AF$2=AJ$2))</f>
        <v>33.829397729737551</v>
      </c>
      <c r="AK29" s="9" cm="1">
        <f t="array" ref="AK29">MAX(_xlfn._xlws.FILTER($B29:$AF29, $B$2:$AF$2=AK$2))</f>
        <v>31.888366712457525</v>
      </c>
      <c r="AL29" s="9" cm="1">
        <f t="array" ref="AL29">MAX(_xlfn._xlws.FILTER($B29:$AF29, $B$2:$AF$2=AL$2))</f>
        <v>28.283594823223197</v>
      </c>
      <c r="AM29" s="9" cm="1">
        <f t="array" ref="AM29">MAX(_xlfn._xlws.FILTER($B29:$AF29, $B$2:$AF$2=AM$2))</f>
        <v>27.451724387246042</v>
      </c>
      <c r="AN29" s="9" cm="1">
        <f t="array" ref="AN29">MAX(_xlfn._xlws.FILTER($B29:$AF29, $B$2:$AF$2=AN$2))</f>
        <v>23.292372207360277</v>
      </c>
      <c r="AO29" s="9" cm="1">
        <f t="array" ref="AO29">MAX(_xlfn._xlws.FILTER($B29:$AF29, $B$2:$AF$2=AO$2))</f>
        <v>19.687600318125948</v>
      </c>
    </row>
    <row r="30" spans="1:41" x14ac:dyDescent="0.25">
      <c r="A30" s="3" t="s">
        <v>35</v>
      </c>
      <c r="B30" s="7">
        <v>21.351341190080255</v>
      </c>
      <c r="C30" s="7">
        <v>40.207071072229049</v>
      </c>
      <c r="D30" s="7">
        <v>34.661268165714702</v>
      </c>
      <c r="E30" s="7">
        <v>33.552107584411829</v>
      </c>
      <c r="F30" s="7">
        <v>30.224625840503219</v>
      </c>
      <c r="G30" s="7">
        <v>29.670045549851782</v>
      </c>
      <c r="H30" s="7">
        <v>24.124242643337432</v>
      </c>
      <c r="I30" s="7">
        <v>20.242180608777382</v>
      </c>
      <c r="J30" s="7">
        <v>38.266040054949023</v>
      </c>
      <c r="K30" s="7">
        <v>32.997527293760399</v>
      </c>
      <c r="L30" s="7">
        <v>32.16565685778324</v>
      </c>
      <c r="M30" s="7">
        <v>28.838175113874623</v>
      </c>
      <c r="N30" s="7">
        <v>28.560884968548912</v>
      </c>
      <c r="O30" s="7">
        <v>23.292372207360277</v>
      </c>
      <c r="P30" s="7">
        <v>19.687600318125952</v>
      </c>
      <c r="Q30" s="7">
        <v>37.156879473646157</v>
      </c>
      <c r="R30" s="7">
        <v>32.16565685778324</v>
      </c>
      <c r="S30" s="7">
        <v>31.333786421806085</v>
      </c>
      <c r="T30" s="7">
        <v>28.283594823223194</v>
      </c>
      <c r="U30" s="7">
        <v>28.006304677897479</v>
      </c>
      <c r="V30" s="7">
        <v>23.015082062034558</v>
      </c>
      <c r="W30" s="7">
        <v>19.41031017280023</v>
      </c>
      <c r="X30" s="7">
        <v>36.879589328320435</v>
      </c>
      <c r="Y30" s="7">
        <v>32.165656857783247</v>
      </c>
      <c r="Z30" s="7">
        <v>31.333786421806089</v>
      </c>
      <c r="AA30" s="7">
        <v>28.283594823223197</v>
      </c>
      <c r="AB30" s="7">
        <v>28.283594823223197</v>
      </c>
      <c r="AC30" s="7">
        <v>23.292372207360277</v>
      </c>
      <c r="AD30" s="7">
        <v>19.687600318125948</v>
      </c>
      <c r="AE30" s="7">
        <v>37.434169618971872</v>
      </c>
      <c r="AF30" s="7">
        <v>32.720237148434677</v>
      </c>
      <c r="AI30" s="9" cm="1">
        <f t="array" ref="AI30">MAX(_xlfn._xlws.FILTER($D30:$AF30, $D$2:$AF$2=AI$2))</f>
        <v>38.266040054949023</v>
      </c>
      <c r="AJ30" s="9" cm="1">
        <f t="array" ref="AJ30">MAX(_xlfn._xlws.FILTER($B30:$AF30, $B$2:$AF$2=AJ$2))</f>
        <v>34.661268165714702</v>
      </c>
      <c r="AK30" s="9" cm="1">
        <f t="array" ref="AK30">MAX(_xlfn._xlws.FILTER($B30:$AF30, $B$2:$AF$2=AK$2))</f>
        <v>33.552107584411829</v>
      </c>
      <c r="AL30" s="9" cm="1">
        <f t="array" ref="AL30">MAX(_xlfn._xlws.FILTER($B30:$AF30, $B$2:$AF$2=AL$2))</f>
        <v>30.224625840503219</v>
      </c>
      <c r="AM30" s="9" cm="1">
        <f t="array" ref="AM30">MAX(_xlfn._xlws.FILTER($B30:$AF30, $B$2:$AF$2=AM$2))</f>
        <v>29.670045549851782</v>
      </c>
      <c r="AN30" s="9" cm="1">
        <f t="array" ref="AN30">MAX(_xlfn._xlws.FILTER($B30:$AF30, $B$2:$AF$2=AN$2))</f>
        <v>24.124242643337432</v>
      </c>
      <c r="AO30" s="9" cm="1">
        <f t="array" ref="AO30">MAX(_xlfn._xlws.FILTER($B30:$AF30, $B$2:$AF$2=AO$2))</f>
        <v>21.351341190080255</v>
      </c>
    </row>
    <row r="31" spans="1:41" x14ac:dyDescent="0.25">
      <c r="A31" s="3" t="s">
        <v>36</v>
      </c>
      <c r="B31" s="7">
        <v>20.796760899428818</v>
      </c>
      <c r="C31" s="7">
        <v>40.761651362880478</v>
      </c>
      <c r="D31" s="7">
        <v>34.661268165714702</v>
      </c>
      <c r="E31" s="7">
        <v>32.442947003108962</v>
      </c>
      <c r="F31" s="7">
        <v>30.224625840503219</v>
      </c>
      <c r="G31" s="7">
        <v>29.9473356951775</v>
      </c>
      <c r="H31" s="7">
        <v>23.846952498011714</v>
      </c>
      <c r="I31" s="7">
        <v>19.687600318125945</v>
      </c>
      <c r="J31" s="7">
        <v>38.82062034560046</v>
      </c>
      <c r="K31" s="7">
        <v>32.997527293760399</v>
      </c>
      <c r="L31" s="7">
        <v>31.056496276480367</v>
      </c>
      <c r="M31" s="7">
        <v>29.115465259200342</v>
      </c>
      <c r="N31" s="7">
        <v>28.83817511387463</v>
      </c>
      <c r="O31" s="7">
        <v>23.015082062034558</v>
      </c>
      <c r="P31" s="7">
        <v>19.133020027474515</v>
      </c>
      <c r="Q31" s="7">
        <v>37.711459764297594</v>
      </c>
      <c r="R31" s="7">
        <v>32.16565685778324</v>
      </c>
      <c r="S31" s="7">
        <v>30.501915985828937</v>
      </c>
      <c r="T31" s="7">
        <v>28.560884968548908</v>
      </c>
      <c r="U31" s="7">
        <v>28.283594823223197</v>
      </c>
      <c r="V31" s="7">
        <v>22.73779191670884</v>
      </c>
      <c r="W31" s="7">
        <v>18.855729882148797</v>
      </c>
      <c r="X31" s="7">
        <v>37.434169618971872</v>
      </c>
      <c r="Y31" s="7">
        <v>32.165656857783247</v>
      </c>
      <c r="Z31" s="7">
        <v>30.501915985828941</v>
      </c>
      <c r="AA31" s="7">
        <v>28.560884968548915</v>
      </c>
      <c r="AB31" s="7">
        <v>28.560884968548915</v>
      </c>
      <c r="AC31" s="7">
        <v>22.737791916708844</v>
      </c>
      <c r="AD31" s="7">
        <v>19.133020027474515</v>
      </c>
      <c r="AE31" s="7">
        <v>37.711459764297594</v>
      </c>
      <c r="AF31" s="7">
        <v>32.442947003108962</v>
      </c>
      <c r="AI31" s="9" cm="1">
        <f t="array" ref="AI31">MAX(_xlfn._xlws.FILTER($D31:$AF31, $D$2:$AF$2=AI$2))</f>
        <v>38.82062034560046</v>
      </c>
      <c r="AJ31" s="9" cm="1">
        <f t="array" ref="AJ31">MAX(_xlfn._xlws.FILTER($B31:$AF31, $B$2:$AF$2=AJ$2))</f>
        <v>34.661268165714702</v>
      </c>
      <c r="AK31" s="9" cm="1">
        <f t="array" ref="AK31">MAX(_xlfn._xlws.FILTER($B31:$AF31, $B$2:$AF$2=AK$2))</f>
        <v>32.442947003108962</v>
      </c>
      <c r="AL31" s="9" cm="1">
        <f t="array" ref="AL31">MAX(_xlfn._xlws.FILTER($B31:$AF31, $B$2:$AF$2=AL$2))</f>
        <v>30.224625840503219</v>
      </c>
      <c r="AM31" s="9" cm="1">
        <f t="array" ref="AM31">MAX(_xlfn._xlws.FILTER($B31:$AF31, $B$2:$AF$2=AM$2))</f>
        <v>29.9473356951775</v>
      </c>
      <c r="AN31" s="9" cm="1">
        <f t="array" ref="AN31">MAX(_xlfn._xlws.FILTER($B31:$AF31, $B$2:$AF$2=AN$2))</f>
        <v>23.846952498011714</v>
      </c>
      <c r="AO31" s="9" cm="1">
        <f t="array" ref="AO31">MAX(_xlfn._xlws.FILTER($B31:$AF31, $B$2:$AF$2=AO$2))</f>
        <v>20.796760899428818</v>
      </c>
    </row>
    <row r="32" spans="1:41" x14ac:dyDescent="0.25">
      <c r="A32" s="3" t="s">
        <v>37</v>
      </c>
      <c r="B32" s="7">
        <v>19.964890463451667</v>
      </c>
      <c r="C32" s="7">
        <v>40.207071072229049</v>
      </c>
      <c r="D32" s="7">
        <v>33.274817439086114</v>
      </c>
      <c r="E32" s="7">
        <v>30.501915985828933</v>
      </c>
      <c r="F32" s="7">
        <v>29.115465259200349</v>
      </c>
      <c r="G32" s="7">
        <v>28.83817511387463</v>
      </c>
      <c r="H32" s="7">
        <v>22.73779191670884</v>
      </c>
      <c r="I32" s="7">
        <v>18.855729882148793</v>
      </c>
      <c r="J32" s="7">
        <v>38.266040054949023</v>
      </c>
      <c r="K32" s="7">
        <v>31.611076567131807</v>
      </c>
      <c r="L32" s="7">
        <v>29.115465259200345</v>
      </c>
      <c r="M32" s="7">
        <v>28.006304677897475</v>
      </c>
      <c r="N32" s="7">
        <v>27.72901453257176</v>
      </c>
      <c r="O32" s="7">
        <v>21.905921480731688</v>
      </c>
      <c r="P32" s="7">
        <v>18.301149591497364</v>
      </c>
      <c r="Q32" s="7">
        <v>37.156879473646157</v>
      </c>
      <c r="R32" s="7">
        <v>30.779206131154655</v>
      </c>
      <c r="S32" s="7">
        <v>28.560884968548912</v>
      </c>
      <c r="T32" s="7">
        <v>27.451724387246038</v>
      </c>
      <c r="U32" s="7">
        <v>27.174434241920324</v>
      </c>
      <c r="V32" s="7">
        <v>21.62863133540597</v>
      </c>
      <c r="W32" s="7">
        <v>18.023859446171645</v>
      </c>
      <c r="X32" s="7">
        <v>36.60229918299472</v>
      </c>
      <c r="Y32" s="7">
        <v>30.779206131154655</v>
      </c>
      <c r="Z32" s="7">
        <v>28.283594823223197</v>
      </c>
      <c r="AA32" s="7">
        <v>27.451724387246045</v>
      </c>
      <c r="AB32" s="7">
        <v>27.174434241920327</v>
      </c>
      <c r="AC32" s="7">
        <v>21.62863133540597</v>
      </c>
      <c r="AD32" s="7">
        <v>18.30114959149736</v>
      </c>
      <c r="AE32" s="7">
        <v>37.15687947364615</v>
      </c>
      <c r="AF32" s="7">
        <v>31.333786421806085</v>
      </c>
      <c r="AI32" s="9" cm="1">
        <f t="array" ref="AI32">MAX(_xlfn._xlws.FILTER($D32:$AF32, $D$2:$AF$2=AI$2))</f>
        <v>38.266040054949023</v>
      </c>
      <c r="AJ32" s="9" cm="1">
        <f t="array" ref="AJ32">MAX(_xlfn._xlws.FILTER($B32:$AF32, $B$2:$AF$2=AJ$2))</f>
        <v>33.274817439086114</v>
      </c>
      <c r="AK32" s="9" cm="1">
        <f t="array" ref="AK32">MAX(_xlfn._xlws.FILTER($B32:$AF32, $B$2:$AF$2=AK$2))</f>
        <v>30.501915985828933</v>
      </c>
      <c r="AL32" s="9" cm="1">
        <f t="array" ref="AL32">MAX(_xlfn._xlws.FILTER($B32:$AF32, $B$2:$AF$2=AL$2))</f>
        <v>29.115465259200349</v>
      </c>
      <c r="AM32" s="9" cm="1">
        <f t="array" ref="AM32">MAX(_xlfn._xlws.FILTER($B32:$AF32, $B$2:$AF$2=AM$2))</f>
        <v>28.83817511387463</v>
      </c>
      <c r="AN32" s="9" cm="1">
        <f t="array" ref="AN32">MAX(_xlfn._xlws.FILTER($B32:$AF32, $B$2:$AF$2=AN$2))</f>
        <v>22.73779191670884</v>
      </c>
      <c r="AO32" s="9" cm="1">
        <f t="array" ref="AO32">MAX(_xlfn._xlws.FILTER($B32:$AF32, $B$2:$AF$2=AO$2))</f>
        <v>19.964890463451667</v>
      </c>
    </row>
    <row r="33" spans="1:41" x14ac:dyDescent="0.25">
      <c r="A33" s="3" t="s">
        <v>38</v>
      </c>
      <c r="B33" s="7">
        <v>19.964890463451667</v>
      </c>
      <c r="C33" s="7">
        <v>38.26604005494903</v>
      </c>
      <c r="D33" s="7">
        <v>31.888366712457525</v>
      </c>
      <c r="E33" s="7">
        <v>29.115465259200349</v>
      </c>
      <c r="F33" s="7">
        <v>27.174434241920327</v>
      </c>
      <c r="G33" s="7">
        <v>27.729014532571757</v>
      </c>
      <c r="H33" s="7">
        <v>21.628631335405974</v>
      </c>
      <c r="I33" s="7">
        <v>18.855729882148793</v>
      </c>
      <c r="J33" s="7">
        <v>36.325009037668998</v>
      </c>
      <c r="K33" s="7">
        <v>30.501915985828937</v>
      </c>
      <c r="L33" s="7">
        <v>28.006304677897472</v>
      </c>
      <c r="M33" s="7">
        <v>26.06527366061745</v>
      </c>
      <c r="N33" s="7">
        <v>26.61985395126889</v>
      </c>
      <c r="O33" s="7">
        <v>20.796760899428818</v>
      </c>
      <c r="P33" s="7">
        <v>18.301149591497364</v>
      </c>
      <c r="Q33" s="7">
        <v>35.215848456366139</v>
      </c>
      <c r="R33" s="7">
        <v>29.670045549851785</v>
      </c>
      <c r="S33" s="7">
        <v>27.451724387246038</v>
      </c>
      <c r="T33" s="7">
        <v>25.510693369966013</v>
      </c>
      <c r="U33" s="7">
        <v>26.065273660617457</v>
      </c>
      <c r="V33" s="7">
        <v>20.519470754103104</v>
      </c>
      <c r="W33" s="7">
        <v>18.023859446171645</v>
      </c>
      <c r="X33" s="7">
        <v>34.938558311040417</v>
      </c>
      <c r="Y33" s="7">
        <v>29.670045549851785</v>
      </c>
      <c r="Z33" s="7">
        <v>27.451724387246042</v>
      </c>
      <c r="AA33" s="7">
        <v>25.51069336996602</v>
      </c>
      <c r="AB33" s="7">
        <v>26.342563805943175</v>
      </c>
      <c r="AC33" s="7">
        <v>20.796760899428818</v>
      </c>
      <c r="AD33" s="7">
        <v>18.30114959149736</v>
      </c>
      <c r="AE33" s="7">
        <v>35.493138601691847</v>
      </c>
      <c r="AF33" s="7">
        <v>30.224625840503219</v>
      </c>
      <c r="AI33" s="9" cm="1">
        <f t="array" ref="AI33">MAX(_xlfn._xlws.FILTER($D33:$AF33, $D$2:$AF$2=AI$2))</f>
        <v>36.325009037668998</v>
      </c>
      <c r="AJ33" s="9" cm="1">
        <f t="array" ref="AJ33">MAX(_xlfn._xlws.FILTER($B33:$AF33, $B$2:$AF$2=AJ$2))</f>
        <v>31.888366712457525</v>
      </c>
      <c r="AK33" s="9" cm="1">
        <f t="array" ref="AK33">MAX(_xlfn._xlws.FILTER($B33:$AF33, $B$2:$AF$2=AK$2))</f>
        <v>29.115465259200349</v>
      </c>
      <c r="AL33" s="9" cm="1">
        <f t="array" ref="AL33">MAX(_xlfn._xlws.FILTER($B33:$AF33, $B$2:$AF$2=AL$2))</f>
        <v>27.174434241920327</v>
      </c>
      <c r="AM33" s="9" cm="1">
        <f t="array" ref="AM33">MAX(_xlfn._xlws.FILTER($B33:$AF33, $B$2:$AF$2=AM$2))</f>
        <v>27.729014532571757</v>
      </c>
      <c r="AN33" s="9" cm="1">
        <f t="array" ref="AN33">MAX(_xlfn._xlws.FILTER($B33:$AF33, $B$2:$AF$2=AN$2))</f>
        <v>21.628631335405974</v>
      </c>
      <c r="AO33" s="9" cm="1">
        <f t="array" ref="AO33">MAX(_xlfn._xlws.FILTER($B33:$AF33, $B$2:$AF$2=AO$2))</f>
        <v>19.964890463451667</v>
      </c>
    </row>
    <row r="34" spans="1:41" x14ac:dyDescent="0.25">
      <c r="A34" s="3" t="s">
        <v>39</v>
      </c>
      <c r="B34" s="7">
        <v>20.5194707541031</v>
      </c>
      <c r="C34" s="7">
        <v>38.543330200274738</v>
      </c>
      <c r="D34" s="7">
        <v>32.442947003108955</v>
      </c>
      <c r="E34" s="7">
        <v>29.392755404526064</v>
      </c>
      <c r="F34" s="7">
        <v>27.174434241920327</v>
      </c>
      <c r="G34" s="7">
        <v>28.006304677897479</v>
      </c>
      <c r="H34" s="7">
        <v>21.628631335405974</v>
      </c>
      <c r="I34" s="7">
        <v>19.410310172800227</v>
      </c>
      <c r="J34" s="7">
        <v>36.879589328320435</v>
      </c>
      <c r="K34" s="7">
        <v>31.05649627648037</v>
      </c>
      <c r="L34" s="7">
        <v>28.28359482322319</v>
      </c>
      <c r="M34" s="7">
        <v>26.06527366061745</v>
      </c>
      <c r="N34" s="7">
        <v>26.897144096594609</v>
      </c>
      <c r="O34" s="7">
        <v>20.796760899428818</v>
      </c>
      <c r="P34" s="7">
        <v>18.855729882148797</v>
      </c>
      <c r="Q34" s="7">
        <v>35.770428747017569</v>
      </c>
      <c r="R34" s="7">
        <v>30.224625840503219</v>
      </c>
      <c r="S34" s="7">
        <v>27.451724387246038</v>
      </c>
      <c r="T34" s="7">
        <v>25.510693369966013</v>
      </c>
      <c r="U34" s="7">
        <v>26.342563805943172</v>
      </c>
      <c r="V34" s="7">
        <v>20.519470754103104</v>
      </c>
      <c r="W34" s="7">
        <v>18.578439736823078</v>
      </c>
      <c r="X34" s="7">
        <v>35.493138601691854</v>
      </c>
      <c r="Y34" s="7">
        <v>29.9473356951775</v>
      </c>
      <c r="Z34" s="7">
        <v>27.451724387246042</v>
      </c>
      <c r="AA34" s="7">
        <v>25.51069336996602</v>
      </c>
      <c r="AB34" s="7">
        <v>26.619853951268894</v>
      </c>
      <c r="AC34" s="7">
        <v>20.796760899428818</v>
      </c>
      <c r="AD34" s="7">
        <v>18.855729882148797</v>
      </c>
      <c r="AE34" s="7">
        <v>35.770428747017569</v>
      </c>
      <c r="AF34" s="7">
        <v>30.501915985828937</v>
      </c>
      <c r="AI34" s="9" cm="1">
        <f t="array" ref="AI34">MAX(_xlfn._xlws.FILTER($D34:$AF34, $D$2:$AF$2=AI$2))</f>
        <v>36.879589328320435</v>
      </c>
      <c r="AJ34" s="9" cm="1">
        <f t="array" ref="AJ34">MAX(_xlfn._xlws.FILTER($B34:$AF34, $B$2:$AF$2=AJ$2))</f>
        <v>32.442947003108955</v>
      </c>
      <c r="AK34" s="9" cm="1">
        <f t="array" ref="AK34">MAX(_xlfn._xlws.FILTER($B34:$AF34, $B$2:$AF$2=AK$2))</f>
        <v>29.392755404526064</v>
      </c>
      <c r="AL34" s="9" cm="1">
        <f t="array" ref="AL34">MAX(_xlfn._xlws.FILTER($B34:$AF34, $B$2:$AF$2=AL$2))</f>
        <v>27.174434241920327</v>
      </c>
      <c r="AM34" s="9" cm="1">
        <f t="array" ref="AM34">MAX(_xlfn._xlws.FILTER($B34:$AF34, $B$2:$AF$2=AM$2))</f>
        <v>28.006304677897479</v>
      </c>
      <c r="AN34" s="9" cm="1">
        <f t="array" ref="AN34">MAX(_xlfn._xlws.FILTER($B34:$AF34, $B$2:$AF$2=AN$2))</f>
        <v>21.628631335405974</v>
      </c>
      <c r="AO34" s="9" cm="1">
        <f t="array" ref="AO34">MAX(_xlfn._xlws.FILTER($B34:$AF34, $B$2:$AF$2=AO$2))</f>
        <v>20.5194707541031</v>
      </c>
    </row>
    <row r="35" spans="1:41" x14ac:dyDescent="0.25">
      <c r="A35" s="3" t="s">
        <v>40</v>
      </c>
      <c r="B35" s="7">
        <v>21.628631335405974</v>
      </c>
      <c r="C35" s="7">
        <v>40.48436121755477</v>
      </c>
      <c r="D35" s="7">
        <v>33.552107584411836</v>
      </c>
      <c r="E35" s="7">
        <v>29.670045549851785</v>
      </c>
      <c r="F35" s="7">
        <v>28.83817511387463</v>
      </c>
      <c r="G35" s="7">
        <v>29.115465259200349</v>
      </c>
      <c r="H35" s="7">
        <v>21.905921480731688</v>
      </c>
      <c r="I35" s="7">
        <v>20.5194707541031</v>
      </c>
      <c r="J35" s="7">
        <v>38.543330200274738</v>
      </c>
      <c r="K35" s="7">
        <v>31.888366712457525</v>
      </c>
      <c r="L35" s="7">
        <v>28.560884968548912</v>
      </c>
      <c r="M35" s="7">
        <v>27.451724387246038</v>
      </c>
      <c r="N35" s="7">
        <v>28.006304677897479</v>
      </c>
      <c r="O35" s="7">
        <v>21.074051044754537</v>
      </c>
      <c r="P35" s="7">
        <v>19.687600318125952</v>
      </c>
      <c r="Q35" s="7">
        <v>37.434169618971879</v>
      </c>
      <c r="R35" s="7">
        <v>31.05649627648037</v>
      </c>
      <c r="S35" s="7">
        <v>27.729014532571757</v>
      </c>
      <c r="T35" s="7">
        <v>26.897144096594602</v>
      </c>
      <c r="U35" s="7">
        <v>27.72901453257176</v>
      </c>
      <c r="V35" s="7">
        <v>20.796760899428818</v>
      </c>
      <c r="W35" s="7">
        <v>19.687600318125948</v>
      </c>
      <c r="X35" s="7">
        <v>37.156879473646157</v>
      </c>
      <c r="Y35" s="7">
        <v>30.779206131154655</v>
      </c>
      <c r="Z35" s="7">
        <v>27.72901453257176</v>
      </c>
      <c r="AA35" s="7">
        <v>26.897144096594609</v>
      </c>
      <c r="AB35" s="7">
        <v>27.72901453257176</v>
      </c>
      <c r="AC35" s="7">
        <v>21.074051044754537</v>
      </c>
      <c r="AD35" s="7">
        <v>19.687600318125948</v>
      </c>
      <c r="AE35" s="7">
        <v>37.711459764297594</v>
      </c>
      <c r="AF35" s="7">
        <v>31.333786421806085</v>
      </c>
      <c r="AI35" s="9" cm="1">
        <f t="array" ref="AI35">MAX(_xlfn._xlws.FILTER($D35:$AF35, $D$2:$AF$2=AI$2))</f>
        <v>38.543330200274738</v>
      </c>
      <c r="AJ35" s="9" cm="1">
        <f t="array" ref="AJ35">MAX(_xlfn._xlws.FILTER($B35:$AF35, $B$2:$AF$2=AJ$2))</f>
        <v>33.552107584411836</v>
      </c>
      <c r="AK35" s="9" cm="1">
        <f t="array" ref="AK35">MAX(_xlfn._xlws.FILTER($B35:$AF35, $B$2:$AF$2=AK$2))</f>
        <v>29.670045549851785</v>
      </c>
      <c r="AL35" s="9" cm="1">
        <f t="array" ref="AL35">MAX(_xlfn._xlws.FILTER($B35:$AF35, $B$2:$AF$2=AL$2))</f>
        <v>28.83817511387463</v>
      </c>
      <c r="AM35" s="9" cm="1">
        <f t="array" ref="AM35">MAX(_xlfn._xlws.FILTER($B35:$AF35, $B$2:$AF$2=AM$2))</f>
        <v>29.115465259200349</v>
      </c>
      <c r="AN35" s="9" cm="1">
        <f t="array" ref="AN35">MAX(_xlfn._xlws.FILTER($B35:$AF35, $B$2:$AF$2=AN$2))</f>
        <v>21.905921480731688</v>
      </c>
      <c r="AO35" s="9" cm="1">
        <f t="array" ref="AO35">MAX(_xlfn._xlws.FILTER($B35:$AF35, $B$2:$AF$2=AO$2))</f>
        <v>21.628631335405974</v>
      </c>
    </row>
    <row r="36" spans="1:41" x14ac:dyDescent="0.25">
      <c r="A36" s="3" t="s">
        <v>41</v>
      </c>
      <c r="B36" s="7">
        <v>21.351341190080255</v>
      </c>
      <c r="C36" s="7">
        <v>38.543330200274738</v>
      </c>
      <c r="D36" s="7">
        <v>32.997527293760399</v>
      </c>
      <c r="E36" s="7">
        <v>29.670045549851785</v>
      </c>
      <c r="F36" s="7">
        <v>27.72901453257176</v>
      </c>
      <c r="G36" s="7">
        <v>28.83817511387463</v>
      </c>
      <c r="H36" s="7">
        <v>21.628631335405974</v>
      </c>
      <c r="I36" s="7">
        <v>20.5194707541031</v>
      </c>
      <c r="J36" s="7">
        <v>36.879589328320435</v>
      </c>
      <c r="K36" s="7">
        <v>31.611076567131807</v>
      </c>
      <c r="L36" s="7">
        <v>28.560884968548912</v>
      </c>
      <c r="M36" s="7">
        <v>26.619853951268883</v>
      </c>
      <c r="N36" s="7">
        <v>28.006304677897479</v>
      </c>
      <c r="O36" s="7">
        <v>20.796760899428818</v>
      </c>
      <c r="P36" s="7">
        <v>19.687600318125952</v>
      </c>
      <c r="Q36" s="7">
        <v>35.770428747017569</v>
      </c>
      <c r="R36" s="7">
        <v>30.779206131154655</v>
      </c>
      <c r="S36" s="7">
        <v>27.729014532571757</v>
      </c>
      <c r="T36" s="7">
        <v>26.06527366061745</v>
      </c>
      <c r="U36" s="7">
        <v>27.451724387246042</v>
      </c>
      <c r="V36" s="7">
        <v>20.519470754103104</v>
      </c>
      <c r="W36" s="7">
        <v>19.41031017280023</v>
      </c>
      <c r="X36" s="7">
        <v>35.493138601691854</v>
      </c>
      <c r="Y36" s="7">
        <v>30.501915985828937</v>
      </c>
      <c r="Z36" s="7">
        <v>27.72901453257176</v>
      </c>
      <c r="AA36" s="7">
        <v>26.065273660617457</v>
      </c>
      <c r="AB36" s="7">
        <v>27.451724387246045</v>
      </c>
      <c r="AC36" s="7">
        <v>20.796760899428818</v>
      </c>
      <c r="AD36" s="7">
        <v>19.687600318125948</v>
      </c>
      <c r="AE36" s="7">
        <v>36.047718892343283</v>
      </c>
      <c r="AF36" s="7">
        <v>31.05649627648037</v>
      </c>
      <c r="AI36" s="9" cm="1">
        <f t="array" ref="AI36">MAX(_xlfn._xlws.FILTER($D36:$AF36, $D$2:$AF$2=AI$2))</f>
        <v>36.879589328320435</v>
      </c>
      <c r="AJ36" s="9" cm="1">
        <f t="array" ref="AJ36">MAX(_xlfn._xlws.FILTER($B36:$AF36, $B$2:$AF$2=AJ$2))</f>
        <v>32.997527293760399</v>
      </c>
      <c r="AK36" s="9" cm="1">
        <f t="array" ref="AK36">MAX(_xlfn._xlws.FILTER($B36:$AF36, $B$2:$AF$2=AK$2))</f>
        <v>29.670045549851785</v>
      </c>
      <c r="AL36" s="9" cm="1">
        <f t="array" ref="AL36">MAX(_xlfn._xlws.FILTER($B36:$AF36, $B$2:$AF$2=AL$2))</f>
        <v>27.72901453257176</v>
      </c>
      <c r="AM36" s="9" cm="1">
        <f t="array" ref="AM36">MAX(_xlfn._xlws.FILTER($B36:$AF36, $B$2:$AF$2=AM$2))</f>
        <v>28.83817511387463</v>
      </c>
      <c r="AN36" s="9" cm="1">
        <f t="array" ref="AN36">MAX(_xlfn._xlws.FILTER($B36:$AF36, $B$2:$AF$2=AN$2))</f>
        <v>21.628631335405974</v>
      </c>
      <c r="AO36" s="9" cm="1">
        <f t="array" ref="AO36">MAX(_xlfn._xlws.FILTER($B36:$AF36, $B$2:$AF$2=AO$2))</f>
        <v>21.351341190080255</v>
      </c>
    </row>
    <row r="37" spans="1:41" x14ac:dyDescent="0.25">
      <c r="A37" s="3" t="s">
        <v>42</v>
      </c>
      <c r="B37" s="7">
        <v>19.687600318125948</v>
      </c>
      <c r="C37" s="7">
        <v>35.493138601691847</v>
      </c>
      <c r="D37" s="7">
        <v>31.888366712457525</v>
      </c>
      <c r="E37" s="7">
        <v>29.115465259200349</v>
      </c>
      <c r="F37" s="7">
        <v>26.065273660617454</v>
      </c>
      <c r="G37" s="7">
        <v>27.174434241920324</v>
      </c>
      <c r="H37" s="7">
        <v>20.519470754103104</v>
      </c>
      <c r="I37" s="7">
        <v>18.855729882148793</v>
      </c>
      <c r="J37" s="7">
        <v>33.829397729737543</v>
      </c>
      <c r="K37" s="7">
        <v>30.501915985828937</v>
      </c>
      <c r="L37" s="7">
        <v>28.006304677897472</v>
      </c>
      <c r="M37" s="7">
        <v>24.95611307931458</v>
      </c>
      <c r="N37" s="7">
        <v>26.342563805943172</v>
      </c>
      <c r="O37" s="7">
        <v>19.687600318125948</v>
      </c>
      <c r="P37" s="7">
        <v>18.301149591497364</v>
      </c>
      <c r="Q37" s="7">
        <v>32.720237148434677</v>
      </c>
      <c r="R37" s="7">
        <v>29.670045549851785</v>
      </c>
      <c r="S37" s="7">
        <v>27.174434241920327</v>
      </c>
      <c r="T37" s="7">
        <v>24.678822933988865</v>
      </c>
      <c r="U37" s="7">
        <v>25.787983515291739</v>
      </c>
      <c r="V37" s="7">
        <v>19.410310172800234</v>
      </c>
      <c r="W37" s="7">
        <v>18.023859446171645</v>
      </c>
      <c r="X37" s="7">
        <v>32.442947003108955</v>
      </c>
      <c r="Y37" s="7">
        <v>29.392755404526067</v>
      </c>
      <c r="Z37" s="7">
        <v>27.174434241920327</v>
      </c>
      <c r="AA37" s="7">
        <v>24.678822933988865</v>
      </c>
      <c r="AB37" s="7">
        <v>26.065273660617457</v>
      </c>
      <c r="AC37" s="7">
        <v>19.687600318125948</v>
      </c>
      <c r="AD37" s="7">
        <v>18.30114959149736</v>
      </c>
      <c r="AE37" s="7">
        <v>32.997527293760392</v>
      </c>
      <c r="AF37" s="7">
        <v>29.947335695177497</v>
      </c>
      <c r="AI37" s="9" cm="1">
        <f t="array" ref="AI37">MAX(_xlfn._xlws.FILTER($D37:$AF37, $D$2:$AF$2=AI$2))</f>
        <v>33.829397729737543</v>
      </c>
      <c r="AJ37" s="9" cm="1">
        <f t="array" ref="AJ37">MAX(_xlfn._xlws.FILTER($B37:$AF37, $B$2:$AF$2=AJ$2))</f>
        <v>31.888366712457525</v>
      </c>
      <c r="AK37" s="9" cm="1">
        <f t="array" ref="AK37">MAX(_xlfn._xlws.FILTER($B37:$AF37, $B$2:$AF$2=AK$2))</f>
        <v>29.115465259200349</v>
      </c>
      <c r="AL37" s="9" cm="1">
        <f t="array" ref="AL37">MAX(_xlfn._xlws.FILTER($B37:$AF37, $B$2:$AF$2=AL$2))</f>
        <v>26.065273660617454</v>
      </c>
      <c r="AM37" s="9" cm="1">
        <f t="array" ref="AM37">MAX(_xlfn._xlws.FILTER($B37:$AF37, $B$2:$AF$2=AM$2))</f>
        <v>27.174434241920324</v>
      </c>
      <c r="AN37" s="9" cm="1">
        <f t="array" ref="AN37">MAX(_xlfn._xlws.FILTER($B37:$AF37, $B$2:$AF$2=AN$2))</f>
        <v>20.519470754103104</v>
      </c>
      <c r="AO37" s="9" cm="1">
        <f t="array" ref="AO37">MAX(_xlfn._xlws.FILTER($B37:$AF37, $B$2:$AF$2=AO$2))</f>
        <v>19.687600318125948</v>
      </c>
    </row>
    <row r="38" spans="1:41" x14ac:dyDescent="0.25">
      <c r="A38" s="3" t="s">
        <v>43</v>
      </c>
      <c r="B38" s="7">
        <v>17.191989010194487</v>
      </c>
      <c r="C38" s="7">
        <v>32.720237148434677</v>
      </c>
      <c r="D38" s="7">
        <v>30.224625840503219</v>
      </c>
      <c r="E38" s="7">
        <v>27.451724387246038</v>
      </c>
      <c r="F38" s="7">
        <v>24.956113079314584</v>
      </c>
      <c r="G38" s="7">
        <v>24.401532788663147</v>
      </c>
      <c r="H38" s="7">
        <v>19.133020027474512</v>
      </c>
      <c r="I38" s="7">
        <v>16.360118574217335</v>
      </c>
      <c r="J38" s="7">
        <v>31.056496276480367</v>
      </c>
      <c r="K38" s="7">
        <v>28.838175113874634</v>
      </c>
      <c r="L38" s="7">
        <v>26.06527366061745</v>
      </c>
      <c r="M38" s="7">
        <v>24.124242643337428</v>
      </c>
      <c r="N38" s="7">
        <v>23.29237220736028</v>
      </c>
      <c r="O38" s="7">
        <v>18.578439736823078</v>
      </c>
      <c r="P38" s="7">
        <v>15.805538283565904</v>
      </c>
      <c r="Q38" s="7">
        <v>30.224625840503222</v>
      </c>
      <c r="R38" s="7">
        <v>28.283594823223194</v>
      </c>
      <c r="S38" s="7">
        <v>25.510693369966017</v>
      </c>
      <c r="T38" s="7">
        <v>23.569662352685992</v>
      </c>
      <c r="U38" s="7">
        <v>23.015082062034562</v>
      </c>
      <c r="V38" s="7">
        <v>18.301149591497364</v>
      </c>
      <c r="W38" s="7">
        <v>15.528248138240185</v>
      </c>
      <c r="X38" s="7">
        <v>29.9473356951775</v>
      </c>
      <c r="Y38" s="7">
        <v>28.006304677897482</v>
      </c>
      <c r="Z38" s="7">
        <v>25.510693369966024</v>
      </c>
      <c r="AA38" s="7">
        <v>23.569662352685999</v>
      </c>
      <c r="AB38" s="7">
        <v>23.015082062034562</v>
      </c>
      <c r="AC38" s="7">
        <v>18.30114959149736</v>
      </c>
      <c r="AD38" s="7">
        <v>15.805538283565902</v>
      </c>
      <c r="AE38" s="7">
        <v>30.50191598582893</v>
      </c>
      <c r="AF38" s="7">
        <v>28.560884968548912</v>
      </c>
      <c r="AI38" s="9" cm="1">
        <f t="array" ref="AI38">MAX(_xlfn._xlws.FILTER($D38:$AF38, $D$2:$AF$2=AI$2))</f>
        <v>31.056496276480367</v>
      </c>
      <c r="AJ38" s="9" cm="1">
        <f t="array" ref="AJ38">MAX(_xlfn._xlws.FILTER($B38:$AF38, $B$2:$AF$2=AJ$2))</f>
        <v>30.224625840503219</v>
      </c>
      <c r="AK38" s="9" cm="1">
        <f t="array" ref="AK38">MAX(_xlfn._xlws.FILTER($B38:$AF38, $B$2:$AF$2=AK$2))</f>
        <v>27.451724387246038</v>
      </c>
      <c r="AL38" s="9" cm="1">
        <f t="array" ref="AL38">MAX(_xlfn._xlws.FILTER($B38:$AF38, $B$2:$AF$2=AL$2))</f>
        <v>24.956113079314584</v>
      </c>
      <c r="AM38" s="9" cm="1">
        <f t="array" ref="AM38">MAX(_xlfn._xlws.FILTER($B38:$AF38, $B$2:$AF$2=AM$2))</f>
        <v>24.401532788663147</v>
      </c>
      <c r="AN38" s="9" cm="1">
        <f t="array" ref="AN38">MAX(_xlfn._xlws.FILTER($B38:$AF38, $B$2:$AF$2=AN$2))</f>
        <v>19.133020027474512</v>
      </c>
      <c r="AO38" s="9" cm="1">
        <f t="array" ref="AO38">MAX(_xlfn._xlws.FILTER($B38:$AF38, $B$2:$AF$2=AO$2))</f>
        <v>17.191989010194487</v>
      </c>
    </row>
    <row r="39" spans="1:41" x14ac:dyDescent="0.25">
      <c r="A39" s="3" t="s">
        <v>44</v>
      </c>
      <c r="B39" s="7">
        <v>16.082828428891617</v>
      </c>
      <c r="C39" s="7">
        <v>29.670045549851778</v>
      </c>
      <c r="D39" s="7">
        <v>27.72901453257176</v>
      </c>
      <c r="E39" s="7">
        <v>24.678822933988865</v>
      </c>
      <c r="F39" s="7">
        <v>22.460501771383125</v>
      </c>
      <c r="G39" s="7">
        <v>20.5194707541031</v>
      </c>
      <c r="H39" s="7">
        <v>17.469279155520208</v>
      </c>
      <c r="I39" s="7">
        <v>15.250957992914467</v>
      </c>
      <c r="J39" s="7">
        <v>28.006304677897475</v>
      </c>
      <c r="K39" s="7">
        <v>26.61985395126889</v>
      </c>
      <c r="L39" s="7">
        <v>23.569662352685995</v>
      </c>
      <c r="M39" s="7">
        <v>21.62863133540597</v>
      </c>
      <c r="N39" s="7">
        <v>19.964890463451667</v>
      </c>
      <c r="O39" s="7">
        <v>16.914698864868772</v>
      </c>
      <c r="P39" s="7">
        <v>14.696377702263035</v>
      </c>
      <c r="Q39" s="7">
        <v>27.174434241920327</v>
      </c>
      <c r="R39" s="7">
        <v>25.787983515291735</v>
      </c>
      <c r="S39" s="7">
        <v>23.015082062034562</v>
      </c>
      <c r="T39" s="7">
        <v>21.074051044754537</v>
      </c>
      <c r="U39" s="7">
        <v>19.410310172800234</v>
      </c>
      <c r="V39" s="7">
        <v>16.637408719543053</v>
      </c>
      <c r="W39" s="7">
        <v>14.696377702263034</v>
      </c>
      <c r="X39" s="7">
        <v>27.174434241920324</v>
      </c>
      <c r="Y39" s="7">
        <v>25.787983515291739</v>
      </c>
      <c r="Z39" s="7">
        <v>23.015082062034566</v>
      </c>
      <c r="AA39" s="7">
        <v>21.351341190080255</v>
      </c>
      <c r="AB39" s="7">
        <v>19.687600318125952</v>
      </c>
      <c r="AC39" s="7">
        <v>16.637408719543053</v>
      </c>
      <c r="AD39" s="7">
        <v>14.69637770226303</v>
      </c>
      <c r="AE39" s="7">
        <v>27.451724387246042</v>
      </c>
      <c r="AF39" s="7">
        <v>26.065273660617454</v>
      </c>
      <c r="AI39" s="9" cm="1">
        <f t="array" ref="AI39">MAX(_xlfn._xlws.FILTER($D39:$AF39, $D$2:$AF$2=AI$2))</f>
        <v>28.006304677897475</v>
      </c>
      <c r="AJ39" s="9" cm="1">
        <f t="array" ref="AJ39">MAX(_xlfn._xlws.FILTER($B39:$AF39, $B$2:$AF$2=AJ$2))</f>
        <v>27.72901453257176</v>
      </c>
      <c r="AK39" s="9" cm="1">
        <f t="array" ref="AK39">MAX(_xlfn._xlws.FILTER($B39:$AF39, $B$2:$AF$2=AK$2))</f>
        <v>24.678822933988865</v>
      </c>
      <c r="AL39" s="9" cm="1">
        <f t="array" ref="AL39">MAX(_xlfn._xlws.FILTER($B39:$AF39, $B$2:$AF$2=AL$2))</f>
        <v>22.460501771383125</v>
      </c>
      <c r="AM39" s="9" cm="1">
        <f t="array" ref="AM39">MAX(_xlfn._xlws.FILTER($B39:$AF39, $B$2:$AF$2=AM$2))</f>
        <v>20.5194707541031</v>
      </c>
      <c r="AN39" s="9" cm="1">
        <f t="array" ref="AN39">MAX(_xlfn._xlws.FILTER($B39:$AF39, $B$2:$AF$2=AN$2))</f>
        <v>17.469279155520208</v>
      </c>
      <c r="AO39" s="9" cm="1">
        <f t="array" ref="AO39">MAX(_xlfn._xlws.FILTER($B39:$AF39, $B$2:$AF$2=AO$2))</f>
        <v>16.082828428891617</v>
      </c>
    </row>
    <row r="40" spans="1:41" x14ac:dyDescent="0.25">
      <c r="A40" s="3" t="s">
        <v>45</v>
      </c>
      <c r="B40" s="7">
        <v>16.360118574217335</v>
      </c>
      <c r="C40" s="7">
        <v>26.897144096594605</v>
      </c>
      <c r="D40" s="7">
        <v>24.956113079314584</v>
      </c>
      <c r="E40" s="7">
        <v>22.18321162605741</v>
      </c>
      <c r="F40" s="7">
        <v>20.796760899428818</v>
      </c>
      <c r="G40" s="7">
        <v>18.855729882148797</v>
      </c>
      <c r="H40" s="7">
        <v>15.528248138240183</v>
      </c>
      <c r="I40" s="7">
        <v>15.528248138240185</v>
      </c>
      <c r="J40" s="7">
        <v>25.787983515291732</v>
      </c>
      <c r="K40" s="7">
        <v>23.846952498011714</v>
      </c>
      <c r="L40" s="7">
        <v>21.074051044754533</v>
      </c>
      <c r="M40" s="7">
        <v>19.964890463451663</v>
      </c>
      <c r="N40" s="7">
        <v>18.30114959149736</v>
      </c>
      <c r="O40" s="7">
        <v>14.97366784758875</v>
      </c>
      <c r="P40" s="7">
        <v>14.973667847588752</v>
      </c>
      <c r="Q40" s="7">
        <v>24.956113079314587</v>
      </c>
      <c r="R40" s="7">
        <v>23.015082062034562</v>
      </c>
      <c r="S40" s="7">
        <v>20.796760899428818</v>
      </c>
      <c r="T40" s="7">
        <v>19.410310172800227</v>
      </c>
      <c r="U40" s="7">
        <v>18.023859446171645</v>
      </c>
      <c r="V40" s="7">
        <v>14.97366784758875</v>
      </c>
      <c r="W40" s="7">
        <v>14.97366784758875</v>
      </c>
      <c r="X40" s="7">
        <v>24.678822933988865</v>
      </c>
      <c r="Y40" s="7">
        <v>23.015082062034562</v>
      </c>
      <c r="Z40" s="7">
        <v>20.519470754103104</v>
      </c>
      <c r="AA40" s="7">
        <v>19.687600318125948</v>
      </c>
      <c r="AB40" s="7">
        <v>18.023859446171645</v>
      </c>
      <c r="AC40" s="7">
        <v>14.973667847588748</v>
      </c>
      <c r="AD40" s="7">
        <v>14.97366784758875</v>
      </c>
      <c r="AE40" s="7">
        <v>24.95611307931458</v>
      </c>
      <c r="AF40" s="7">
        <v>23.292372207360277</v>
      </c>
      <c r="AI40" s="9" cm="1">
        <f t="array" ref="AI40">MAX(_xlfn._xlws.FILTER($D40:$AF40, $D$2:$AF$2=AI$2))</f>
        <v>25.787983515291732</v>
      </c>
      <c r="AJ40" s="9" cm="1">
        <f t="array" ref="AJ40">MAX(_xlfn._xlws.FILTER($B40:$AF40, $B$2:$AF$2=AJ$2))</f>
        <v>24.956113079314584</v>
      </c>
      <c r="AK40" s="9" cm="1">
        <f t="array" ref="AK40">MAX(_xlfn._xlws.FILTER($B40:$AF40, $B$2:$AF$2=AK$2))</f>
        <v>22.18321162605741</v>
      </c>
      <c r="AL40" s="9" cm="1">
        <f t="array" ref="AL40">MAX(_xlfn._xlws.FILTER($B40:$AF40, $B$2:$AF$2=AL$2))</f>
        <v>20.796760899428818</v>
      </c>
      <c r="AM40" s="9" cm="1">
        <f t="array" ref="AM40">MAX(_xlfn._xlws.FILTER($B40:$AF40, $B$2:$AF$2=AM$2))</f>
        <v>18.855729882148797</v>
      </c>
      <c r="AN40" s="9" cm="1">
        <f t="array" ref="AN40">MAX(_xlfn._xlws.FILTER($B40:$AF40, $B$2:$AF$2=AN$2))</f>
        <v>15.528248138240183</v>
      </c>
      <c r="AO40" s="9" cm="1">
        <f t="array" ref="AO40">MAX(_xlfn._xlws.FILTER($B40:$AF40, $B$2:$AF$2=AO$2))</f>
        <v>16.360118574217335</v>
      </c>
    </row>
    <row r="41" spans="1:41" x14ac:dyDescent="0.25">
      <c r="A41" s="3" t="s">
        <v>46</v>
      </c>
      <c r="B41" s="7">
        <v>15.805538283565904</v>
      </c>
      <c r="C41" s="7">
        <v>24.401532788663147</v>
      </c>
      <c r="D41" s="7">
        <v>22.460501771383125</v>
      </c>
      <c r="E41" s="7">
        <v>19.964890463451667</v>
      </c>
      <c r="F41" s="7">
        <v>20.242180608777385</v>
      </c>
      <c r="G41" s="7">
        <v>18.023859446171642</v>
      </c>
      <c r="H41" s="7">
        <v>13.86450726628588</v>
      </c>
      <c r="I41" s="7">
        <v>14.973667847588748</v>
      </c>
      <c r="J41" s="7">
        <v>23.292372207360273</v>
      </c>
      <c r="K41" s="7">
        <v>21.351341190080255</v>
      </c>
      <c r="L41" s="7">
        <v>19.133020027474512</v>
      </c>
      <c r="M41" s="7">
        <v>19.41031017280023</v>
      </c>
      <c r="N41" s="7">
        <v>17.469279155520208</v>
      </c>
      <c r="O41" s="7">
        <v>13.309926975634443</v>
      </c>
      <c r="P41" s="7">
        <v>14.419087556937317</v>
      </c>
      <c r="Q41" s="7">
        <v>22.737791916708844</v>
      </c>
      <c r="R41" s="7">
        <v>20.796760899428818</v>
      </c>
      <c r="S41" s="7">
        <v>18.855729882148797</v>
      </c>
      <c r="T41" s="7">
        <v>19.133020027474512</v>
      </c>
      <c r="U41" s="7">
        <v>17.191989010194494</v>
      </c>
      <c r="V41" s="7">
        <v>13.032636830308727</v>
      </c>
      <c r="W41" s="7">
        <v>14.419087556937313</v>
      </c>
      <c r="X41" s="7">
        <v>22.460501771383125</v>
      </c>
      <c r="Y41" s="7">
        <v>20.796760899428822</v>
      </c>
      <c r="Z41" s="7">
        <v>18.855729882148797</v>
      </c>
      <c r="AA41" s="7">
        <v>19.133020027474515</v>
      </c>
      <c r="AB41" s="7">
        <v>17.191989010194494</v>
      </c>
      <c r="AC41" s="7">
        <v>13.309926975634443</v>
      </c>
      <c r="AD41" s="7">
        <v>14.419087556937313</v>
      </c>
      <c r="AE41" s="7">
        <v>22.73779191670884</v>
      </c>
      <c r="AF41" s="7">
        <v>21.074051044754537</v>
      </c>
      <c r="AI41" s="9" cm="1">
        <f t="array" ref="AI41">MAX(_xlfn._xlws.FILTER($D41:$AF41, $D$2:$AF$2=AI$2))</f>
        <v>23.292372207360273</v>
      </c>
      <c r="AJ41" s="9" cm="1">
        <f t="array" ref="AJ41">MAX(_xlfn._xlws.FILTER($B41:$AF41, $B$2:$AF$2=AJ$2))</f>
        <v>22.460501771383125</v>
      </c>
      <c r="AK41" s="9" cm="1">
        <f t="array" ref="AK41">MAX(_xlfn._xlws.FILTER($B41:$AF41, $B$2:$AF$2=AK$2))</f>
        <v>19.964890463451667</v>
      </c>
      <c r="AL41" s="9" cm="1">
        <f t="array" ref="AL41">MAX(_xlfn._xlws.FILTER($B41:$AF41, $B$2:$AF$2=AL$2))</f>
        <v>20.242180608777385</v>
      </c>
      <c r="AM41" s="9" cm="1">
        <f t="array" ref="AM41">MAX(_xlfn._xlws.FILTER($B41:$AF41, $B$2:$AF$2=AM$2))</f>
        <v>18.023859446171642</v>
      </c>
      <c r="AN41" s="9" cm="1">
        <f t="array" ref="AN41">MAX(_xlfn._xlws.FILTER($B41:$AF41, $B$2:$AF$2=AN$2))</f>
        <v>13.86450726628588</v>
      </c>
      <c r="AO41" s="9" cm="1">
        <f t="array" ref="AO41">MAX(_xlfn._xlws.FILTER($B41:$AF41, $B$2:$AF$2=AO$2))</f>
        <v>15.805538283565904</v>
      </c>
    </row>
    <row r="42" spans="1:41" x14ac:dyDescent="0.25">
      <c r="A42" s="3" t="s">
        <v>47</v>
      </c>
      <c r="B42" s="7">
        <v>13.587217120960162</v>
      </c>
      <c r="C42" s="7">
        <v>21.905921480731688</v>
      </c>
      <c r="D42" s="7">
        <v>20.242180608777385</v>
      </c>
      <c r="E42" s="7">
        <v>18.578439736823078</v>
      </c>
      <c r="F42" s="7">
        <v>18.578439736823078</v>
      </c>
      <c r="G42" s="7">
        <v>16.08282842889162</v>
      </c>
      <c r="H42" s="7">
        <v>12.478056539657292</v>
      </c>
      <c r="I42" s="7">
        <v>13.032636830308725</v>
      </c>
      <c r="J42" s="7">
        <v>20.796760899428818</v>
      </c>
      <c r="K42" s="7">
        <v>19.410310172800234</v>
      </c>
      <c r="L42" s="7">
        <v>17.746569300845923</v>
      </c>
      <c r="M42" s="7">
        <v>17.746569300845923</v>
      </c>
      <c r="N42" s="7">
        <v>15.528248138240185</v>
      </c>
      <c r="O42" s="7">
        <v>11.923476249005857</v>
      </c>
      <c r="P42" s="7">
        <v>12.478056539657292</v>
      </c>
      <c r="Q42" s="7">
        <v>20.242180608777385</v>
      </c>
      <c r="R42" s="7">
        <v>18.855729882148797</v>
      </c>
      <c r="S42" s="7">
        <v>17.19198901019449</v>
      </c>
      <c r="T42" s="7">
        <v>17.469279155520205</v>
      </c>
      <c r="U42" s="7">
        <v>15.25095799291447</v>
      </c>
      <c r="V42" s="7">
        <v>11.646186103680138</v>
      </c>
      <c r="W42" s="7">
        <v>12.478056539657292</v>
      </c>
      <c r="X42" s="7">
        <v>20.242180608777382</v>
      </c>
      <c r="Y42" s="7">
        <v>18.578439736823082</v>
      </c>
      <c r="Z42" s="7">
        <v>17.191989010194494</v>
      </c>
      <c r="AA42" s="7">
        <v>17.469279155520208</v>
      </c>
      <c r="AB42" s="7">
        <v>15.25095799291447</v>
      </c>
      <c r="AC42" s="7">
        <v>11.923476249005857</v>
      </c>
      <c r="AD42" s="7">
        <v>12.478056539657292</v>
      </c>
      <c r="AE42" s="7">
        <v>20.242180608777382</v>
      </c>
      <c r="AF42" s="7">
        <v>19.133020027474512</v>
      </c>
      <c r="AI42" s="9" cm="1">
        <f t="array" ref="AI42">MAX(_xlfn._xlws.FILTER($D42:$AF42, $D$2:$AF$2=AI$2))</f>
        <v>20.796760899428818</v>
      </c>
      <c r="AJ42" s="9" cm="1">
        <f t="array" ref="AJ42">MAX(_xlfn._xlws.FILTER($B42:$AF42, $B$2:$AF$2=AJ$2))</f>
        <v>20.242180608777385</v>
      </c>
      <c r="AK42" s="9" cm="1">
        <f t="array" ref="AK42">MAX(_xlfn._xlws.FILTER($B42:$AF42, $B$2:$AF$2=AK$2))</f>
        <v>18.578439736823078</v>
      </c>
      <c r="AL42" s="9" cm="1">
        <f t="array" ref="AL42">MAX(_xlfn._xlws.FILTER($B42:$AF42, $B$2:$AF$2=AL$2))</f>
        <v>18.578439736823078</v>
      </c>
      <c r="AM42" s="9" cm="1">
        <f t="array" ref="AM42">MAX(_xlfn._xlws.FILTER($B42:$AF42, $B$2:$AF$2=AM$2))</f>
        <v>16.08282842889162</v>
      </c>
      <c r="AN42" s="9" cm="1">
        <f t="array" ref="AN42">MAX(_xlfn._xlws.FILTER($B42:$AF42, $B$2:$AF$2=AN$2))</f>
        <v>12.478056539657292</v>
      </c>
      <c r="AO42" s="9" cm="1">
        <f t="array" ref="AO42">MAX(_xlfn._xlws.FILTER($B42:$AF42, $B$2:$AF$2=AO$2))</f>
        <v>13.587217120960162</v>
      </c>
    </row>
    <row r="43" spans="1:41" x14ac:dyDescent="0.25">
      <c r="A43" s="3" t="s">
        <v>48</v>
      </c>
      <c r="B43" s="7">
        <v>12.200766394331573</v>
      </c>
      <c r="C43" s="7">
        <v>19.964890463451663</v>
      </c>
      <c r="D43" s="7">
        <v>18.855729882148797</v>
      </c>
      <c r="E43" s="7">
        <v>16.637408719543053</v>
      </c>
      <c r="F43" s="7">
        <v>16.08282842889162</v>
      </c>
      <c r="G43" s="7">
        <v>13.864507266285878</v>
      </c>
      <c r="H43" s="7">
        <v>11.36889595835442</v>
      </c>
      <c r="I43" s="7">
        <v>11.646186103680137</v>
      </c>
      <c r="J43" s="7">
        <v>19.133020027474512</v>
      </c>
      <c r="K43" s="7">
        <v>18.023859446171645</v>
      </c>
      <c r="L43" s="7">
        <v>16.08282842889162</v>
      </c>
      <c r="M43" s="7">
        <v>15.528248138240183</v>
      </c>
      <c r="N43" s="7">
        <v>13.309926975634445</v>
      </c>
      <c r="O43" s="7">
        <v>11.091605813028703</v>
      </c>
      <c r="P43" s="7">
        <v>11.368895958354422</v>
      </c>
      <c r="Q43" s="7">
        <v>18.578439736823078</v>
      </c>
      <c r="R43" s="7">
        <v>17.469279155520208</v>
      </c>
      <c r="S43" s="7">
        <v>15.528248138240187</v>
      </c>
      <c r="T43" s="7">
        <v>15.250957992914465</v>
      </c>
      <c r="U43" s="7">
        <v>13.309926975634445</v>
      </c>
      <c r="V43" s="7">
        <v>10.814315667702985</v>
      </c>
      <c r="W43" s="7">
        <v>11.091605813028703</v>
      </c>
      <c r="X43" s="7">
        <v>18.30114959149736</v>
      </c>
      <c r="Y43" s="7">
        <v>17.469279155520208</v>
      </c>
      <c r="Z43" s="7">
        <v>15.528248138240187</v>
      </c>
      <c r="AA43" s="7">
        <v>15.25095799291447</v>
      </c>
      <c r="AB43" s="7">
        <v>13.309926975634447</v>
      </c>
      <c r="AC43" s="7">
        <v>11.091605813028703</v>
      </c>
      <c r="AD43" s="7">
        <v>11.368895958354422</v>
      </c>
      <c r="AE43" s="7">
        <v>18.578439736823075</v>
      </c>
      <c r="AF43" s="7">
        <v>17.746569300845927</v>
      </c>
      <c r="AI43" s="9" cm="1">
        <f t="array" ref="AI43">MAX(_xlfn._xlws.FILTER($D43:$AF43, $D$2:$AF$2=AI$2))</f>
        <v>19.133020027474512</v>
      </c>
      <c r="AJ43" s="9" cm="1">
        <f t="array" ref="AJ43">MAX(_xlfn._xlws.FILTER($B43:$AF43, $B$2:$AF$2=AJ$2))</f>
        <v>18.855729882148797</v>
      </c>
      <c r="AK43" s="9" cm="1">
        <f t="array" ref="AK43">MAX(_xlfn._xlws.FILTER($B43:$AF43, $B$2:$AF$2=AK$2))</f>
        <v>16.637408719543053</v>
      </c>
      <c r="AL43" s="9" cm="1">
        <f t="array" ref="AL43">MAX(_xlfn._xlws.FILTER($B43:$AF43, $B$2:$AF$2=AL$2))</f>
        <v>16.08282842889162</v>
      </c>
      <c r="AM43" s="9" cm="1">
        <f t="array" ref="AM43">MAX(_xlfn._xlws.FILTER($B43:$AF43, $B$2:$AF$2=AM$2))</f>
        <v>13.864507266285878</v>
      </c>
      <c r="AN43" s="9" cm="1">
        <f t="array" ref="AN43">MAX(_xlfn._xlws.FILTER($B43:$AF43, $B$2:$AF$2=AN$2))</f>
        <v>11.36889595835442</v>
      </c>
      <c r="AO43" s="9" cm="1">
        <f t="array" ref="AO43">MAX(_xlfn._xlws.FILTER($B43:$AF43, $B$2:$AF$2=AO$2))</f>
        <v>12.200766394331573</v>
      </c>
    </row>
    <row r="44" spans="1:41" x14ac:dyDescent="0.25">
      <c r="A44" s="3" t="s">
        <v>49</v>
      </c>
      <c r="B44" s="7">
        <v>11.923476249005857</v>
      </c>
      <c r="C44" s="7">
        <v>18.578439736823078</v>
      </c>
      <c r="D44" s="7">
        <v>17.746569300845927</v>
      </c>
      <c r="E44" s="7">
        <v>14.696377702263032</v>
      </c>
      <c r="F44" s="7">
        <v>15.250957992914467</v>
      </c>
      <c r="G44" s="7">
        <v>12.755346684983008</v>
      </c>
      <c r="H44" s="7">
        <v>10.537025522377268</v>
      </c>
      <c r="I44" s="7">
        <v>11.368895958354418</v>
      </c>
      <c r="J44" s="7">
        <v>17.746569300845923</v>
      </c>
      <c r="K44" s="7">
        <v>16.914698864868775</v>
      </c>
      <c r="L44" s="7">
        <v>14.141797411611595</v>
      </c>
      <c r="M44" s="7">
        <v>14.69637770226303</v>
      </c>
      <c r="N44" s="7">
        <v>12.200766394331575</v>
      </c>
      <c r="O44" s="7">
        <v>10.25973537705155</v>
      </c>
      <c r="P44" s="7">
        <v>10.814315667702987</v>
      </c>
      <c r="Q44" s="7">
        <v>17.191989010194494</v>
      </c>
      <c r="R44" s="7">
        <v>16.360118574217339</v>
      </c>
      <c r="S44" s="7">
        <v>13.864507266285878</v>
      </c>
      <c r="T44" s="7">
        <v>14.419087556937313</v>
      </c>
      <c r="U44" s="7">
        <v>11.923476249005859</v>
      </c>
      <c r="V44" s="7">
        <v>10.259735377051552</v>
      </c>
      <c r="W44" s="7">
        <v>10.814315667702987</v>
      </c>
      <c r="X44" s="7">
        <v>16.914698864868772</v>
      </c>
      <c r="Y44" s="7">
        <v>16.360118574217342</v>
      </c>
      <c r="Z44" s="7">
        <v>13.86450726628588</v>
      </c>
      <c r="AA44" s="7">
        <v>14.419087556937315</v>
      </c>
      <c r="AB44" s="7">
        <v>11.923476249005857</v>
      </c>
      <c r="AC44" s="7">
        <v>10.25973537705155</v>
      </c>
      <c r="AD44" s="7">
        <v>10.814315667702987</v>
      </c>
      <c r="AE44" s="7">
        <v>17.19198901019449</v>
      </c>
      <c r="AF44" s="7">
        <v>16.637408719543053</v>
      </c>
      <c r="AI44" s="9" cm="1">
        <f t="array" ref="AI44">MAX(_xlfn._xlws.FILTER($D44:$AF44, $D$2:$AF$2=AI$2))</f>
        <v>17.746569300845923</v>
      </c>
      <c r="AJ44" s="9" cm="1">
        <f t="array" ref="AJ44">MAX(_xlfn._xlws.FILTER($B44:$AF44, $B$2:$AF$2=AJ$2))</f>
        <v>17.746569300845927</v>
      </c>
      <c r="AK44" s="9" cm="1">
        <f t="array" ref="AK44">MAX(_xlfn._xlws.FILTER($B44:$AF44, $B$2:$AF$2=AK$2))</f>
        <v>14.696377702263032</v>
      </c>
      <c r="AL44" s="9" cm="1">
        <f t="array" ref="AL44">MAX(_xlfn._xlws.FILTER($B44:$AF44, $B$2:$AF$2=AL$2))</f>
        <v>15.250957992914467</v>
      </c>
      <c r="AM44" s="9" cm="1">
        <f t="array" ref="AM44">MAX(_xlfn._xlws.FILTER($B44:$AF44, $B$2:$AF$2=AM$2))</f>
        <v>12.755346684983008</v>
      </c>
      <c r="AN44" s="9" cm="1">
        <f t="array" ref="AN44">MAX(_xlfn._xlws.FILTER($B44:$AF44, $B$2:$AF$2=AN$2))</f>
        <v>10.537025522377268</v>
      </c>
      <c r="AO44" s="9" cm="1">
        <f t="array" ref="AO44">MAX(_xlfn._xlws.FILTER($B44:$AF44, $B$2:$AF$2=AO$2))</f>
        <v>11.923476249005857</v>
      </c>
    </row>
    <row r="45" spans="1:41" x14ac:dyDescent="0.25">
      <c r="A45" s="3" t="s">
        <v>50</v>
      </c>
      <c r="B45" s="7">
        <v>11.368895958354422</v>
      </c>
      <c r="C45" s="7">
        <v>16.637408719543053</v>
      </c>
      <c r="D45" s="7">
        <v>16.637408719543057</v>
      </c>
      <c r="E45" s="7">
        <v>12.75534668498301</v>
      </c>
      <c r="F45" s="7">
        <v>14.97366784758875</v>
      </c>
      <c r="G45" s="7">
        <v>12.200766394331573</v>
      </c>
      <c r="H45" s="7">
        <v>9.9824452317258334</v>
      </c>
      <c r="I45" s="7">
        <v>10.814315667702985</v>
      </c>
      <c r="J45" s="7">
        <v>15.805538283565902</v>
      </c>
      <c r="K45" s="7">
        <v>15.805538283565904</v>
      </c>
      <c r="L45" s="7">
        <v>12.200766394331572</v>
      </c>
      <c r="M45" s="7">
        <v>14.419087556937312</v>
      </c>
      <c r="N45" s="7">
        <v>11.64618610368014</v>
      </c>
      <c r="O45" s="7">
        <v>9.705155086400115</v>
      </c>
      <c r="P45" s="7">
        <v>10.537025522377268</v>
      </c>
      <c r="Q45" s="7">
        <v>15.250957992914467</v>
      </c>
      <c r="R45" s="7">
        <v>15.528248138240185</v>
      </c>
      <c r="S45" s="7">
        <v>11.923476249005855</v>
      </c>
      <c r="T45" s="7">
        <v>14.141797411611597</v>
      </c>
      <c r="U45" s="7">
        <v>11.368895958354422</v>
      </c>
      <c r="V45" s="7">
        <v>9.4278649410743984</v>
      </c>
      <c r="W45" s="7">
        <v>10.537025522377267</v>
      </c>
      <c r="X45" s="7">
        <v>15.250957992914469</v>
      </c>
      <c r="Y45" s="7">
        <v>15.528248138240187</v>
      </c>
      <c r="Z45" s="7">
        <v>11.923476249005857</v>
      </c>
      <c r="AA45" s="7">
        <v>14.141797411611599</v>
      </c>
      <c r="AB45" s="7">
        <v>11.368895958354424</v>
      </c>
      <c r="AC45" s="7">
        <v>9.705155086400115</v>
      </c>
      <c r="AD45" s="7">
        <v>10.537025522377268</v>
      </c>
      <c r="AE45" s="7">
        <v>15.250957992914465</v>
      </c>
      <c r="AF45" s="7">
        <v>15.805538283565902</v>
      </c>
      <c r="AI45" s="9" cm="1">
        <f t="array" ref="AI45">MAX(_xlfn._xlws.FILTER($D45:$AF45, $D$2:$AF$2=AI$2))</f>
        <v>15.805538283565902</v>
      </c>
      <c r="AJ45" s="9" cm="1">
        <f t="array" ref="AJ45">MAX(_xlfn._xlws.FILTER($B45:$AF45, $B$2:$AF$2=AJ$2))</f>
        <v>16.637408719543057</v>
      </c>
      <c r="AK45" s="9" cm="1">
        <f t="array" ref="AK45">MAX(_xlfn._xlws.FILTER($B45:$AF45, $B$2:$AF$2=AK$2))</f>
        <v>12.75534668498301</v>
      </c>
      <c r="AL45" s="9" cm="1">
        <f t="array" ref="AL45">MAX(_xlfn._xlws.FILTER($B45:$AF45, $B$2:$AF$2=AL$2))</f>
        <v>14.97366784758875</v>
      </c>
      <c r="AM45" s="9" cm="1">
        <f t="array" ref="AM45">MAX(_xlfn._xlws.FILTER($B45:$AF45, $B$2:$AF$2=AM$2))</f>
        <v>12.200766394331573</v>
      </c>
      <c r="AN45" s="9" cm="1">
        <f t="array" ref="AN45">MAX(_xlfn._xlws.FILTER($B45:$AF45, $B$2:$AF$2=AN$2))</f>
        <v>9.9824452317258334</v>
      </c>
      <c r="AO45" s="9" cm="1">
        <f t="array" ref="AO45">MAX(_xlfn._xlws.FILTER($B45:$AF45, $B$2:$AF$2=AO$2))</f>
        <v>11.368895958354422</v>
      </c>
    </row>
    <row r="46" spans="1:41" x14ac:dyDescent="0.25">
      <c r="A46" s="3" t="s">
        <v>51</v>
      </c>
      <c r="B46" s="7">
        <v>10.814315667702987</v>
      </c>
      <c r="C46" s="7">
        <v>15.250957992914469</v>
      </c>
      <c r="D46" s="7">
        <v>15.805538283565905</v>
      </c>
      <c r="E46" s="7">
        <v>11.64618610368014</v>
      </c>
      <c r="F46" s="7">
        <v>13.86450726628588</v>
      </c>
      <c r="G46" s="7">
        <v>11.36889595835442</v>
      </c>
      <c r="H46" s="7">
        <v>9.7051550864001168</v>
      </c>
      <c r="I46" s="7">
        <v>10.25973537705155</v>
      </c>
      <c r="J46" s="7">
        <v>14.419087556937313</v>
      </c>
      <c r="K46" s="7">
        <v>15.250957992914469</v>
      </c>
      <c r="L46" s="7">
        <v>11.091605813028703</v>
      </c>
      <c r="M46" s="7">
        <v>13.309926975634442</v>
      </c>
      <c r="N46" s="7">
        <v>11.091605813028705</v>
      </c>
      <c r="O46" s="7">
        <v>9.4278649410743984</v>
      </c>
      <c r="P46" s="7">
        <v>9.7051550864001168</v>
      </c>
      <c r="Q46" s="7">
        <v>13.86450726628588</v>
      </c>
      <c r="R46" s="7">
        <v>14.696377702263032</v>
      </c>
      <c r="S46" s="7">
        <v>10.814315667702987</v>
      </c>
      <c r="T46" s="7">
        <v>13.032636830308725</v>
      </c>
      <c r="U46" s="7">
        <v>10.814315667702987</v>
      </c>
      <c r="V46" s="7">
        <v>9.1505747957486818</v>
      </c>
      <c r="W46" s="7">
        <v>9.705155086400115</v>
      </c>
      <c r="X46" s="7">
        <v>13.864507266285878</v>
      </c>
      <c r="Y46" s="7">
        <v>14.696377702263034</v>
      </c>
      <c r="Z46" s="7">
        <v>10.814315667702987</v>
      </c>
      <c r="AA46" s="7">
        <v>13.032636830308729</v>
      </c>
      <c r="AB46" s="7">
        <v>10.814315667702989</v>
      </c>
      <c r="AC46" s="7">
        <v>9.15057479574868</v>
      </c>
      <c r="AD46" s="7">
        <v>9.705155086400115</v>
      </c>
      <c r="AE46" s="7">
        <v>14.141797411611595</v>
      </c>
      <c r="AF46" s="7">
        <v>14.973667847588748</v>
      </c>
      <c r="AI46" s="9" cm="1">
        <f t="array" ref="AI46">MAX(_xlfn._xlws.FILTER($D46:$AF46, $D$2:$AF$2=AI$2))</f>
        <v>14.419087556937313</v>
      </c>
      <c r="AJ46" s="9" cm="1">
        <f t="array" ref="AJ46">MAX(_xlfn._xlws.FILTER($B46:$AF46, $B$2:$AF$2=AJ$2))</f>
        <v>15.805538283565905</v>
      </c>
      <c r="AK46" s="9" cm="1">
        <f t="array" ref="AK46">MAX(_xlfn._xlws.FILTER($B46:$AF46, $B$2:$AF$2=AK$2))</f>
        <v>11.64618610368014</v>
      </c>
      <c r="AL46" s="9" cm="1">
        <f t="array" ref="AL46">MAX(_xlfn._xlws.FILTER($B46:$AF46, $B$2:$AF$2=AL$2))</f>
        <v>13.86450726628588</v>
      </c>
      <c r="AM46" s="9" cm="1">
        <f t="array" ref="AM46">MAX(_xlfn._xlws.FILTER($B46:$AF46, $B$2:$AF$2=AM$2))</f>
        <v>11.36889595835442</v>
      </c>
      <c r="AN46" s="9" cm="1">
        <f t="array" ref="AN46">MAX(_xlfn._xlws.FILTER($B46:$AF46, $B$2:$AF$2=AN$2))</f>
        <v>9.7051550864001168</v>
      </c>
      <c r="AO46" s="9" cm="1">
        <f t="array" ref="AO46">MAX(_xlfn._xlws.FILTER($B46:$AF46, $B$2:$AF$2=AO$2))</f>
        <v>10.814315667702987</v>
      </c>
    </row>
    <row r="47" spans="1:41" x14ac:dyDescent="0.25">
      <c r="A47" s="3" t="s">
        <v>52</v>
      </c>
      <c r="B47" s="7">
        <v>9.9824452317258334</v>
      </c>
      <c r="C47" s="7">
        <v>14.973667847588748</v>
      </c>
      <c r="D47" s="7">
        <v>14.1417974116116</v>
      </c>
      <c r="E47" s="7">
        <v>10.814315667702987</v>
      </c>
      <c r="F47" s="7">
        <v>13.032636830308727</v>
      </c>
      <c r="G47" s="7">
        <v>10.537025522377268</v>
      </c>
      <c r="H47" s="7">
        <v>8.5959945050972451</v>
      </c>
      <c r="I47" s="7">
        <v>9.7051550864001133</v>
      </c>
      <c r="J47" s="7">
        <v>14.141797411611595</v>
      </c>
      <c r="K47" s="7">
        <v>13.587217120960164</v>
      </c>
      <c r="L47" s="7">
        <v>10.25973537705155</v>
      </c>
      <c r="M47" s="7">
        <v>12.47805653965729</v>
      </c>
      <c r="N47" s="7">
        <v>9.9824452317258334</v>
      </c>
      <c r="O47" s="7">
        <v>8.3187043597715267</v>
      </c>
      <c r="P47" s="7">
        <v>9.1505747957486818</v>
      </c>
      <c r="Q47" s="7">
        <v>13.86450726628588</v>
      </c>
      <c r="R47" s="7">
        <v>13.032636830308729</v>
      </c>
      <c r="S47" s="7">
        <v>9.9824452317258334</v>
      </c>
      <c r="T47" s="7">
        <v>12.200766394331572</v>
      </c>
      <c r="U47" s="7">
        <v>9.9824452317258352</v>
      </c>
      <c r="V47" s="7">
        <v>8.3187043597715267</v>
      </c>
      <c r="W47" s="7">
        <v>9.15057479574868</v>
      </c>
      <c r="X47" s="7">
        <v>13.587217120960162</v>
      </c>
      <c r="Y47" s="7">
        <v>13.032636830308729</v>
      </c>
      <c r="Z47" s="7">
        <v>9.9824452317258334</v>
      </c>
      <c r="AA47" s="7">
        <v>12.200766394331575</v>
      </c>
      <c r="AB47" s="7">
        <v>9.9824452317258334</v>
      </c>
      <c r="AC47" s="7">
        <v>8.3187043597715267</v>
      </c>
      <c r="AD47" s="7">
        <v>9.15057479574868</v>
      </c>
      <c r="AE47" s="7">
        <v>13.864507266285878</v>
      </c>
      <c r="AF47" s="7">
        <v>13.309926975634445</v>
      </c>
      <c r="AI47" s="9" cm="1">
        <f t="array" ref="AI47">MAX(_xlfn._xlws.FILTER($D47:$AF47, $D$2:$AF$2=AI$2))</f>
        <v>14.141797411611595</v>
      </c>
      <c r="AJ47" s="9" cm="1">
        <f t="array" ref="AJ47">MAX(_xlfn._xlws.FILTER($B47:$AF47, $B$2:$AF$2=AJ$2))</f>
        <v>14.1417974116116</v>
      </c>
      <c r="AK47" s="9" cm="1">
        <f t="array" ref="AK47">MAX(_xlfn._xlws.FILTER($B47:$AF47, $B$2:$AF$2=AK$2))</f>
        <v>10.814315667702987</v>
      </c>
      <c r="AL47" s="9" cm="1">
        <f t="array" ref="AL47">MAX(_xlfn._xlws.FILTER($B47:$AF47, $B$2:$AF$2=AL$2))</f>
        <v>13.032636830308727</v>
      </c>
      <c r="AM47" s="9" cm="1">
        <f t="array" ref="AM47">MAX(_xlfn._xlws.FILTER($B47:$AF47, $B$2:$AF$2=AM$2))</f>
        <v>10.537025522377268</v>
      </c>
      <c r="AN47" s="9" cm="1">
        <f t="array" ref="AN47">MAX(_xlfn._xlws.FILTER($B47:$AF47, $B$2:$AF$2=AN$2))</f>
        <v>8.5959945050972451</v>
      </c>
      <c r="AO47" s="9" cm="1">
        <f t="array" ref="AO47">MAX(_xlfn._xlws.FILTER($B47:$AF47, $B$2:$AF$2=AO$2))</f>
        <v>9.9824452317258334</v>
      </c>
    </row>
    <row r="48" spans="1:41" x14ac:dyDescent="0.25">
      <c r="A48" s="3" t="s">
        <v>53</v>
      </c>
      <c r="B48" s="7">
        <v>9.4278649410743967</v>
      </c>
      <c r="C48" s="7">
        <v>13.587217120960162</v>
      </c>
      <c r="D48" s="7">
        <v>12.478056539657292</v>
      </c>
      <c r="E48" s="7">
        <v>9.9824452317258334</v>
      </c>
      <c r="F48" s="7">
        <v>12.200766394331575</v>
      </c>
      <c r="G48" s="7">
        <v>9.15057479574868</v>
      </c>
      <c r="H48" s="7">
        <v>7.4868339237943751</v>
      </c>
      <c r="I48" s="7">
        <v>8.8732846504229617</v>
      </c>
      <c r="J48" s="7">
        <v>13.032636830308727</v>
      </c>
      <c r="K48" s="7">
        <v>11.923476249005857</v>
      </c>
      <c r="L48" s="7">
        <v>9.4278649410743967</v>
      </c>
      <c r="M48" s="7">
        <v>11.646186103680137</v>
      </c>
      <c r="N48" s="7">
        <v>8.8732846504229634</v>
      </c>
      <c r="O48" s="7">
        <v>7.2095437784686576</v>
      </c>
      <c r="P48" s="7">
        <v>8.5959945050972451</v>
      </c>
      <c r="Q48" s="7">
        <v>12.75534668498301</v>
      </c>
      <c r="R48" s="7">
        <v>11.646186103680138</v>
      </c>
      <c r="S48" s="7">
        <v>9.4278649410743984</v>
      </c>
      <c r="T48" s="7">
        <v>11.36889595835442</v>
      </c>
      <c r="U48" s="7">
        <v>8.5959945050972468</v>
      </c>
      <c r="V48" s="7">
        <v>6.9322536331429401</v>
      </c>
      <c r="W48" s="7">
        <v>8.5959945050972451</v>
      </c>
      <c r="X48" s="7">
        <v>12.478056539657292</v>
      </c>
      <c r="Y48" s="7">
        <v>11.368895958354424</v>
      </c>
      <c r="Z48" s="7">
        <v>9.1505747957486818</v>
      </c>
      <c r="AA48" s="7">
        <v>11.368895958354422</v>
      </c>
      <c r="AB48" s="7">
        <v>8.8732846504229634</v>
      </c>
      <c r="AC48" s="7">
        <v>6.9322536331429392</v>
      </c>
      <c r="AD48" s="7">
        <v>8.5959945050972451</v>
      </c>
      <c r="AE48" s="7">
        <v>12.755346684983008</v>
      </c>
      <c r="AF48" s="7">
        <v>11.646186103680138</v>
      </c>
      <c r="AI48" s="9" cm="1">
        <f t="array" ref="AI48">MAX(_xlfn._xlws.FILTER($D48:$AF48, $D$2:$AF$2=AI$2))</f>
        <v>13.032636830308727</v>
      </c>
      <c r="AJ48" s="9" cm="1">
        <f t="array" ref="AJ48">MAX(_xlfn._xlws.FILTER($B48:$AF48, $B$2:$AF$2=AJ$2))</f>
        <v>12.478056539657292</v>
      </c>
      <c r="AK48" s="9" cm="1">
        <f t="array" ref="AK48">MAX(_xlfn._xlws.FILTER($B48:$AF48, $B$2:$AF$2=AK$2))</f>
        <v>9.9824452317258334</v>
      </c>
      <c r="AL48" s="9" cm="1">
        <f t="array" ref="AL48">MAX(_xlfn._xlws.FILTER($B48:$AF48, $B$2:$AF$2=AL$2))</f>
        <v>12.200766394331575</v>
      </c>
      <c r="AM48" s="9" cm="1">
        <f t="array" ref="AM48">MAX(_xlfn._xlws.FILTER($B48:$AF48, $B$2:$AF$2=AM$2))</f>
        <v>9.15057479574868</v>
      </c>
      <c r="AN48" s="9" cm="1">
        <f t="array" ref="AN48">MAX(_xlfn._xlws.FILTER($B48:$AF48, $B$2:$AF$2=AN$2))</f>
        <v>7.4868339237943751</v>
      </c>
      <c r="AO48" s="9" cm="1">
        <f t="array" ref="AO48">MAX(_xlfn._xlws.FILTER($B48:$AF48, $B$2:$AF$2=AO$2))</f>
        <v>9.4278649410743967</v>
      </c>
    </row>
    <row r="49" spans="1:41" x14ac:dyDescent="0.25">
      <c r="A49" s="3" t="s">
        <v>54</v>
      </c>
      <c r="B49" s="7">
        <v>8.3187043597715267</v>
      </c>
      <c r="C49" s="7">
        <v>11.923476249005855</v>
      </c>
      <c r="D49" s="7">
        <v>11.64618610368014</v>
      </c>
      <c r="E49" s="7">
        <v>9.4278649410743984</v>
      </c>
      <c r="F49" s="7">
        <v>10.814315667702985</v>
      </c>
      <c r="G49" s="7">
        <v>8.0414142144458101</v>
      </c>
      <c r="H49" s="7">
        <v>6.3776733424915042</v>
      </c>
      <c r="I49" s="7">
        <v>7.7641240691200926</v>
      </c>
      <c r="J49" s="7">
        <v>11.36889595835442</v>
      </c>
      <c r="K49" s="7">
        <v>11.091605813028705</v>
      </c>
      <c r="L49" s="7">
        <v>8.8732846504229617</v>
      </c>
      <c r="M49" s="7">
        <v>10.259735377051548</v>
      </c>
      <c r="N49" s="7">
        <v>7.7641240691200926</v>
      </c>
      <c r="O49" s="7">
        <v>6.3776733424915042</v>
      </c>
      <c r="P49" s="7">
        <v>7.7641240691200935</v>
      </c>
      <c r="Q49" s="7">
        <v>10.814315667702987</v>
      </c>
      <c r="R49" s="7">
        <v>10.814315667702987</v>
      </c>
      <c r="S49" s="7">
        <v>8.5959945050972451</v>
      </c>
      <c r="T49" s="7">
        <v>10.259735377051548</v>
      </c>
      <c r="U49" s="7">
        <v>7.486833923794376</v>
      </c>
      <c r="V49" s="7">
        <v>6.1003831971657867</v>
      </c>
      <c r="W49" s="7">
        <v>7.4868339237943751</v>
      </c>
      <c r="X49" s="7">
        <v>10.814315667702985</v>
      </c>
      <c r="Y49" s="7">
        <v>10.814315667702987</v>
      </c>
      <c r="Z49" s="7">
        <v>8.5959945050972468</v>
      </c>
      <c r="AA49" s="7">
        <v>10.259735377051552</v>
      </c>
      <c r="AB49" s="7">
        <v>7.486833923794376</v>
      </c>
      <c r="AC49" s="7">
        <v>6.1003831971657867</v>
      </c>
      <c r="AD49" s="7">
        <v>7.7641240691200926</v>
      </c>
      <c r="AE49" s="7">
        <v>11.091605813028703</v>
      </c>
      <c r="AF49" s="7">
        <v>11.091605813028703</v>
      </c>
      <c r="AI49" s="9" cm="1">
        <f t="array" ref="AI49">MAX(_xlfn._xlws.FILTER($D49:$AF49, $D$2:$AF$2=AI$2))</f>
        <v>11.36889595835442</v>
      </c>
      <c r="AJ49" s="9" cm="1">
        <f t="array" ref="AJ49">MAX(_xlfn._xlws.FILTER($B49:$AF49, $B$2:$AF$2=AJ$2))</f>
        <v>11.64618610368014</v>
      </c>
      <c r="AK49" s="9" cm="1">
        <f t="array" ref="AK49">MAX(_xlfn._xlws.FILTER($B49:$AF49, $B$2:$AF$2=AK$2))</f>
        <v>9.4278649410743984</v>
      </c>
      <c r="AL49" s="9" cm="1">
        <f t="array" ref="AL49">MAX(_xlfn._xlws.FILTER($B49:$AF49, $B$2:$AF$2=AL$2))</f>
        <v>10.814315667702985</v>
      </c>
      <c r="AM49" s="9" cm="1">
        <f t="array" ref="AM49">MAX(_xlfn._xlws.FILTER($B49:$AF49, $B$2:$AF$2=AM$2))</f>
        <v>8.0414142144458101</v>
      </c>
      <c r="AN49" s="9" cm="1">
        <f t="array" ref="AN49">MAX(_xlfn._xlws.FILTER($B49:$AF49, $B$2:$AF$2=AN$2))</f>
        <v>6.3776733424915042</v>
      </c>
      <c r="AO49" s="9" cm="1">
        <f t="array" ref="AO49">MAX(_xlfn._xlws.FILTER($B49:$AF49, $B$2:$AF$2=AO$2))</f>
        <v>8.3187043597715267</v>
      </c>
    </row>
    <row r="50" spans="1:41" x14ac:dyDescent="0.25">
      <c r="A50" s="3" t="s">
        <v>55</v>
      </c>
      <c r="B50" s="20">
        <v>7.4868339237943742</v>
      </c>
      <c r="C50" s="20">
        <v>10.537025522377268</v>
      </c>
      <c r="D50" s="20">
        <v>10.814315667702987</v>
      </c>
      <c r="E50" s="20">
        <v>8.5959945050972451</v>
      </c>
      <c r="F50" s="20">
        <v>9.9824452317258334</v>
      </c>
      <c r="G50" s="20">
        <v>7.2095437784686576</v>
      </c>
      <c r="H50" s="20">
        <v>5.8230930518400692</v>
      </c>
      <c r="I50" s="20">
        <v>6.9322536331429392</v>
      </c>
      <c r="J50" s="20">
        <v>9.9824452317258316</v>
      </c>
      <c r="K50" s="20">
        <v>10.259735377051552</v>
      </c>
      <c r="L50" s="20">
        <v>8.3187043597715267</v>
      </c>
      <c r="M50" s="20">
        <v>9.705155086400115</v>
      </c>
      <c r="N50" s="20">
        <v>6.9322536331429401</v>
      </c>
      <c r="O50" s="20">
        <v>5.5458029065143517</v>
      </c>
      <c r="P50" s="20">
        <v>6.932253633142941</v>
      </c>
      <c r="Q50" s="20">
        <v>9.7051550864001168</v>
      </c>
      <c r="R50" s="20">
        <v>9.9824452317258334</v>
      </c>
      <c r="S50" s="20">
        <v>8.0414142144458101</v>
      </c>
      <c r="T50" s="20">
        <v>9.4278649410743967</v>
      </c>
      <c r="U50" s="20">
        <v>6.6549634878172226</v>
      </c>
      <c r="V50" s="20">
        <v>5.5458029065143517</v>
      </c>
      <c r="W50" s="20">
        <v>6.6549634878172217</v>
      </c>
      <c r="X50" s="20">
        <v>9.7051550864001168</v>
      </c>
      <c r="Y50" s="20">
        <v>9.9824452317258352</v>
      </c>
      <c r="Z50" s="20">
        <v>8.0414142144458101</v>
      </c>
      <c r="AA50" s="20">
        <v>9.4278649410743984</v>
      </c>
      <c r="AB50" s="20">
        <v>6.9322536331429401</v>
      </c>
      <c r="AC50" s="7">
        <v>5.5458029065143517</v>
      </c>
      <c r="AD50" s="7">
        <v>6.9322536331429401</v>
      </c>
      <c r="AE50" s="7">
        <v>9.705155086400115</v>
      </c>
      <c r="AF50" s="7">
        <v>9.9824452317258334</v>
      </c>
      <c r="AI50" s="9" cm="1">
        <f t="array" ref="AI50">MAX(_xlfn._xlws.FILTER($D50:$AF50, $D$2:$AF$2=AI$2))</f>
        <v>9.9824452317258316</v>
      </c>
      <c r="AJ50" s="9" cm="1">
        <f t="array" ref="AJ50">MAX(_xlfn._xlws.FILTER($B50:$AF50, $B$2:$AF$2=AJ$2))</f>
        <v>10.814315667702987</v>
      </c>
      <c r="AK50" s="9" cm="1">
        <f t="array" ref="AK50">MAX(_xlfn._xlws.FILTER($B50:$AF50, $B$2:$AF$2=AK$2))</f>
        <v>8.5959945050972451</v>
      </c>
      <c r="AL50" s="9" cm="1">
        <f t="array" ref="AL50">MAX(_xlfn._xlws.FILTER($B50:$AF50, $B$2:$AF$2=AL$2))</f>
        <v>9.9824452317258334</v>
      </c>
      <c r="AM50" s="9" cm="1">
        <f t="array" ref="AM50">MAX(_xlfn._xlws.FILTER($B50:$AF50, $B$2:$AF$2=AM$2))</f>
        <v>7.2095437784686576</v>
      </c>
      <c r="AN50" s="9" cm="1">
        <f t="array" ref="AN50">MAX(_xlfn._xlws.FILTER($B50:$AF50, $B$2:$AF$2=AN$2))</f>
        <v>5.8230930518400692</v>
      </c>
      <c r="AO50" s="9" cm="1">
        <f t="array" ref="AO50">MAX(_xlfn._xlws.FILTER($B50:$AF50, $B$2:$AF$2=AO$2))</f>
        <v>7.4868339237943742</v>
      </c>
    </row>
    <row r="51" spans="1:41" s="12" customFormat="1" x14ac:dyDescent="0.25">
      <c r="A51" s="10"/>
      <c r="B51" s="11">
        <f>MAX(B3:B50)</f>
        <v>21.628631335405974</v>
      </c>
      <c r="C51" s="11">
        <f t="shared" ref="C51:AF51" si="5">MAX(C3:C50)</f>
        <v>40.761651362880478</v>
      </c>
      <c r="D51" s="11">
        <f t="shared" si="5"/>
        <v>34.661268165714702</v>
      </c>
      <c r="E51" s="11">
        <f t="shared" si="5"/>
        <v>33.552107584411829</v>
      </c>
      <c r="F51" s="11">
        <f t="shared" si="5"/>
        <v>30.224625840503219</v>
      </c>
      <c r="G51" s="11">
        <f t="shared" si="5"/>
        <v>29.9473356951775</v>
      </c>
      <c r="H51" s="11">
        <f t="shared" si="5"/>
        <v>24.124242643337432</v>
      </c>
      <c r="I51" s="11">
        <f t="shared" si="5"/>
        <v>20.5194707541031</v>
      </c>
      <c r="J51" s="11">
        <f t="shared" si="5"/>
        <v>38.82062034560046</v>
      </c>
      <c r="K51" s="11">
        <f t="shared" si="5"/>
        <v>32.997527293760399</v>
      </c>
      <c r="L51" s="11">
        <f t="shared" si="5"/>
        <v>32.16565685778324</v>
      </c>
      <c r="M51" s="11">
        <f t="shared" si="5"/>
        <v>29.115465259200342</v>
      </c>
      <c r="N51" s="11">
        <f t="shared" si="5"/>
        <v>28.83817511387463</v>
      </c>
      <c r="O51" s="11">
        <f t="shared" si="5"/>
        <v>23.292372207360277</v>
      </c>
      <c r="P51" s="11">
        <f t="shared" si="5"/>
        <v>19.687600318125952</v>
      </c>
      <c r="Q51" s="11">
        <f t="shared" si="5"/>
        <v>37.711459764297594</v>
      </c>
      <c r="R51" s="11">
        <f t="shared" si="5"/>
        <v>32.16565685778324</v>
      </c>
      <c r="S51" s="11">
        <f t="shared" si="5"/>
        <v>31.333786421806085</v>
      </c>
      <c r="T51" s="11">
        <f t="shared" si="5"/>
        <v>28.560884968548908</v>
      </c>
      <c r="U51" s="11">
        <f t="shared" si="5"/>
        <v>28.283594823223197</v>
      </c>
      <c r="V51" s="11">
        <f t="shared" si="5"/>
        <v>23.015082062034558</v>
      </c>
      <c r="W51" s="11">
        <f t="shared" si="5"/>
        <v>19.687600318125948</v>
      </c>
      <c r="X51" s="11">
        <f t="shared" si="5"/>
        <v>37.434169618971872</v>
      </c>
      <c r="Y51" s="11">
        <f t="shared" si="5"/>
        <v>32.165656857783247</v>
      </c>
      <c r="Z51" s="11">
        <f t="shared" si="5"/>
        <v>31.333786421806089</v>
      </c>
      <c r="AA51" s="11">
        <f t="shared" si="5"/>
        <v>28.560884968548915</v>
      </c>
      <c r="AB51" s="11">
        <f t="shared" si="5"/>
        <v>28.560884968548915</v>
      </c>
      <c r="AC51" s="11">
        <f t="shared" si="5"/>
        <v>23.292372207360277</v>
      </c>
      <c r="AD51" s="11">
        <f t="shared" si="5"/>
        <v>19.687600318125948</v>
      </c>
      <c r="AE51" s="11">
        <f t="shared" si="5"/>
        <v>37.711459764297594</v>
      </c>
      <c r="AF51" s="11">
        <f t="shared" si="5"/>
        <v>32.720237148434677</v>
      </c>
    </row>
  </sheetData>
  <mergeCells count="1">
    <mergeCell ref="AI1:AO1"/>
  </mergeCells>
  <dataValidations count="1">
    <dataValidation type="list" allowBlank="1" showInputMessage="1" showErrorMessage="1" sqref="A2" xr:uid="{23021490-5308-4DD4-A491-C6EC7CB4D611}">
      <formula1>"15-Day,45-Day"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E3078-F003-452C-9770-8059F3369E25}">
  <sheetPr>
    <tabColor rgb="FF00B0F0"/>
  </sheetPr>
  <dimension ref="A1:AG51"/>
  <sheetViews>
    <sheetView zoomScale="75" zoomScaleNormal="75" workbookViewId="0">
      <pane xSplit="1" ySplit="2" topLeftCell="B3" activePane="bottomRight" state="frozen"/>
      <selection activeCell="I28" sqref="I28"/>
      <selection pane="topRight" activeCell="I28" sqref="I28"/>
      <selection pane="bottomLeft" activeCell="I28" sqref="I28"/>
      <selection pane="bottomRight" activeCell="I28" sqref="I28"/>
    </sheetView>
  </sheetViews>
  <sheetFormatPr defaultColWidth="9.140625" defaultRowHeight="15" x14ac:dyDescent="0.25"/>
  <cols>
    <col min="1" max="1" width="9.7109375" style="3" bestFit="1" customWidth="1"/>
    <col min="2" max="10" width="7.7109375" style="3" bestFit="1" customWidth="1"/>
    <col min="11" max="32" width="8.85546875" style="3" bestFit="1" customWidth="1"/>
    <col min="33" max="33" width="7.5703125" style="3" bestFit="1" customWidth="1"/>
    <col min="34" max="16384" width="9.140625" style="3"/>
  </cols>
  <sheetData>
    <row r="1" spans="1:32" x14ac:dyDescent="0.25">
      <c r="A1" s="1" t="s">
        <v>57</v>
      </c>
      <c r="B1" s="2">
        <f>'C-FTE Mar'!B1</f>
        <v>46082</v>
      </c>
      <c r="C1" s="2">
        <f>'C-FTE Mar'!C1</f>
        <v>46083</v>
      </c>
      <c r="D1" s="2">
        <f>'C-FTE Mar'!D1</f>
        <v>46084</v>
      </c>
      <c r="E1" s="2">
        <f>'C-FTE Mar'!E1</f>
        <v>46085</v>
      </c>
      <c r="F1" s="2">
        <f>'C-FTE Mar'!F1</f>
        <v>46086</v>
      </c>
      <c r="G1" s="2">
        <f>'C-FTE Mar'!G1</f>
        <v>46087</v>
      </c>
      <c r="H1" s="2">
        <f>'C-FTE Mar'!H1</f>
        <v>46088</v>
      </c>
      <c r="I1" s="2">
        <f>'C-FTE Mar'!I1</f>
        <v>46089</v>
      </c>
      <c r="J1" s="2">
        <f>'C-FTE Mar'!J1</f>
        <v>46090</v>
      </c>
      <c r="K1" s="2">
        <f>'C-FTE Mar'!K1</f>
        <v>46091</v>
      </c>
      <c r="L1" s="2">
        <f>'C-FTE Mar'!L1</f>
        <v>46092</v>
      </c>
      <c r="M1" s="2">
        <f>'C-FTE Mar'!M1</f>
        <v>46093</v>
      </c>
      <c r="N1" s="2">
        <f>'C-FTE Mar'!N1</f>
        <v>46094</v>
      </c>
      <c r="O1" s="2">
        <f>'C-FTE Mar'!O1</f>
        <v>46095</v>
      </c>
      <c r="P1" s="2">
        <f>'C-FTE Mar'!P1</f>
        <v>46096</v>
      </c>
      <c r="Q1" s="2">
        <f>'C-FTE Mar'!Q1</f>
        <v>46097</v>
      </c>
      <c r="R1" s="2">
        <f>'C-FTE Mar'!R1</f>
        <v>46098</v>
      </c>
      <c r="S1" s="2">
        <f>'C-FTE Mar'!S1</f>
        <v>46099</v>
      </c>
      <c r="T1" s="2">
        <f>'C-FTE Mar'!T1</f>
        <v>46100</v>
      </c>
      <c r="U1" s="2">
        <f>'C-FTE Mar'!U1</f>
        <v>46101</v>
      </c>
      <c r="V1" s="2">
        <f>'C-FTE Mar'!V1</f>
        <v>46102</v>
      </c>
      <c r="W1" s="2">
        <f>'C-FTE Mar'!W1</f>
        <v>46103</v>
      </c>
      <c r="X1" s="2">
        <f>'C-FTE Mar'!X1</f>
        <v>46104</v>
      </c>
      <c r="Y1" s="2">
        <f>'C-FTE Mar'!Y1</f>
        <v>46105</v>
      </c>
      <c r="Z1" s="2">
        <f>'C-FTE Mar'!Z1</f>
        <v>46106</v>
      </c>
      <c r="AA1" s="2">
        <f>'C-FTE Mar'!AA1</f>
        <v>46107</v>
      </c>
      <c r="AB1" s="2">
        <f>'C-FTE Mar'!AB1</f>
        <v>46108</v>
      </c>
      <c r="AC1" s="2">
        <f>'C-FTE Mar'!AC1</f>
        <v>46109</v>
      </c>
      <c r="AD1" s="2">
        <f>'C-FTE Mar'!AD1</f>
        <v>46110</v>
      </c>
      <c r="AE1" s="2">
        <f>'C-FTE Mar'!AE1</f>
        <v>46111</v>
      </c>
      <c r="AF1" s="2">
        <f>'C-FTE Mar'!AF1</f>
        <v>46112</v>
      </c>
    </row>
    <row r="2" spans="1:32" x14ac:dyDescent="0.25">
      <c r="A2" s="4">
        <f>'C-FTE Mar'!A2</f>
        <v>0</v>
      </c>
      <c r="B2" s="5" t="str">
        <f>TEXT(B1,"ddd")</f>
        <v>Sun</v>
      </c>
      <c r="C2" s="5" t="str">
        <f t="shared" ref="C2:AF2" si="0">TEXT(C1,"ddd")</f>
        <v>Mon</v>
      </c>
      <c r="D2" s="5" t="str">
        <f t="shared" si="0"/>
        <v>Tue</v>
      </c>
      <c r="E2" s="5" t="str">
        <f t="shared" si="0"/>
        <v>Wed</v>
      </c>
      <c r="F2" s="5" t="str">
        <f t="shared" si="0"/>
        <v>Thu</v>
      </c>
      <c r="G2" s="5" t="str">
        <f t="shared" si="0"/>
        <v>Fri</v>
      </c>
      <c r="H2" s="5" t="str">
        <f t="shared" si="0"/>
        <v>Sat</v>
      </c>
      <c r="I2" s="5" t="str">
        <f t="shared" si="0"/>
        <v>Sun</v>
      </c>
      <c r="J2" s="5" t="str">
        <f t="shared" si="0"/>
        <v>Mon</v>
      </c>
      <c r="K2" s="5" t="str">
        <f t="shared" si="0"/>
        <v>Tue</v>
      </c>
      <c r="L2" s="5" t="str">
        <f t="shared" si="0"/>
        <v>Wed</v>
      </c>
      <c r="M2" s="5" t="str">
        <f t="shared" si="0"/>
        <v>Thu</v>
      </c>
      <c r="N2" s="5" t="str">
        <f t="shared" si="0"/>
        <v>Fri</v>
      </c>
      <c r="O2" s="5" t="str">
        <f t="shared" si="0"/>
        <v>Sat</v>
      </c>
      <c r="P2" s="5" t="str">
        <f t="shared" si="0"/>
        <v>Sun</v>
      </c>
      <c r="Q2" s="5" t="str">
        <f t="shared" si="0"/>
        <v>Mon</v>
      </c>
      <c r="R2" s="5" t="str">
        <f t="shared" si="0"/>
        <v>Tue</v>
      </c>
      <c r="S2" s="5" t="str">
        <f t="shared" si="0"/>
        <v>Wed</v>
      </c>
      <c r="T2" s="5" t="str">
        <f t="shared" si="0"/>
        <v>Thu</v>
      </c>
      <c r="U2" s="5" t="str">
        <f t="shared" si="0"/>
        <v>Fri</v>
      </c>
      <c r="V2" s="5" t="str">
        <f t="shared" si="0"/>
        <v>Sat</v>
      </c>
      <c r="W2" s="5" t="str">
        <f t="shared" si="0"/>
        <v>Sun</v>
      </c>
      <c r="X2" s="5" t="str">
        <f t="shared" si="0"/>
        <v>Mon</v>
      </c>
      <c r="Y2" s="5" t="str">
        <f t="shared" si="0"/>
        <v>Tue</v>
      </c>
      <c r="Z2" s="5" t="str">
        <f t="shared" si="0"/>
        <v>Wed</v>
      </c>
      <c r="AA2" s="5" t="str">
        <f t="shared" si="0"/>
        <v>Thu</v>
      </c>
      <c r="AB2" s="5" t="str">
        <f t="shared" si="0"/>
        <v>Fri</v>
      </c>
      <c r="AC2" s="5" t="str">
        <f t="shared" si="0"/>
        <v>Sat</v>
      </c>
      <c r="AD2" s="5" t="str">
        <f t="shared" si="0"/>
        <v>Sun</v>
      </c>
      <c r="AE2" s="5" t="str">
        <f t="shared" si="0"/>
        <v>Mon</v>
      </c>
      <c r="AF2" s="5" t="str">
        <f t="shared" si="0"/>
        <v>Tue</v>
      </c>
    </row>
    <row r="3" spans="1:32" x14ac:dyDescent="0.25">
      <c r="A3" s="3" t="s">
        <v>8</v>
      </c>
      <c r="B3" s="7">
        <f>'C-FTE Mar'!B3*2.65</f>
        <v>0</v>
      </c>
      <c r="C3" s="7">
        <f>'C-FTE Mar'!C3*2.65</f>
        <v>0</v>
      </c>
      <c r="D3" s="7">
        <f>'C-FTE Mar'!D3*2.65</f>
        <v>0</v>
      </c>
      <c r="E3" s="7">
        <f>'C-FTE Mar'!E3*2.65</f>
        <v>0</v>
      </c>
      <c r="F3" s="7">
        <f>'C-FTE Mar'!F3*2.65</f>
        <v>0</v>
      </c>
      <c r="G3" s="7">
        <f>'C-FTE Mar'!G3*2.65</f>
        <v>0</v>
      </c>
      <c r="H3" s="7">
        <f>'C-FTE Mar'!H3*2.65</f>
        <v>0</v>
      </c>
      <c r="I3" s="7">
        <f>'C-FTE Mar'!I3*2.65</f>
        <v>0</v>
      </c>
      <c r="J3" s="7">
        <f>'C-FTE Mar'!J3*2.65</f>
        <v>0</v>
      </c>
      <c r="K3" s="7">
        <f>'C-FTE Mar'!K3*2.65</f>
        <v>0</v>
      </c>
      <c r="L3" s="7">
        <f>'C-FTE Mar'!L3*2.65</f>
        <v>0</v>
      </c>
      <c r="M3" s="7">
        <f>'C-FTE Mar'!M3*2.65</f>
        <v>0</v>
      </c>
      <c r="N3" s="7">
        <f>'C-FTE Mar'!N3*2.65</f>
        <v>0</v>
      </c>
      <c r="O3" s="7">
        <f>'C-FTE Mar'!O3*2.65</f>
        <v>0</v>
      </c>
      <c r="P3" s="7">
        <f>'C-FTE Mar'!P3*2.65</f>
        <v>0</v>
      </c>
      <c r="Q3" s="7">
        <f>'C-FTE Mar'!Q3*2.65</f>
        <v>0</v>
      </c>
      <c r="R3" s="7">
        <f>'C-FTE Mar'!R3*2.65</f>
        <v>0</v>
      </c>
      <c r="S3" s="7">
        <f>'C-FTE Mar'!S3*2.65</f>
        <v>0</v>
      </c>
      <c r="T3" s="7">
        <f>'C-FTE Mar'!T3*2.65</f>
        <v>0</v>
      </c>
      <c r="U3" s="7">
        <f>'C-FTE Mar'!U3*2.65</f>
        <v>0</v>
      </c>
      <c r="V3" s="7">
        <f>'C-FTE Mar'!V3*2.65</f>
        <v>0</v>
      </c>
      <c r="W3" s="7">
        <f>'C-FTE Mar'!W3*2.65</f>
        <v>0</v>
      </c>
      <c r="X3" s="7">
        <f>'C-FTE Mar'!X3*2.65</f>
        <v>0</v>
      </c>
      <c r="Y3" s="7">
        <f>'C-FTE Mar'!Y3*2.65</f>
        <v>0</v>
      </c>
      <c r="Z3" s="7">
        <f>'C-FTE Mar'!Z3*2.65</f>
        <v>0</v>
      </c>
      <c r="AA3" s="7">
        <f>'C-FTE Mar'!AA3*2.65</f>
        <v>0</v>
      </c>
      <c r="AB3" s="7">
        <f>'C-FTE Mar'!AB3*2.65</f>
        <v>0</v>
      </c>
      <c r="AC3" s="7">
        <f>'C-FTE Mar'!AC3*2.65</f>
        <v>0</v>
      </c>
      <c r="AD3" s="7">
        <f>'C-FTE Mar'!AD3*2.65</f>
        <v>0</v>
      </c>
      <c r="AE3" s="7">
        <f>'C-FTE Mar'!AE3*2.65</f>
        <v>0</v>
      </c>
      <c r="AF3" s="7">
        <f>'C-FTE Mar'!AF3*2.65</f>
        <v>0</v>
      </c>
    </row>
    <row r="4" spans="1:32" x14ac:dyDescent="0.25">
      <c r="A4" s="3" t="s">
        <v>9</v>
      </c>
      <c r="B4" s="7">
        <f>'C-FTE Mar'!B4*2.65</f>
        <v>0</v>
      </c>
      <c r="C4" s="7">
        <f>'C-FTE Mar'!C4*2.65</f>
        <v>0</v>
      </c>
      <c r="D4" s="7">
        <f>'C-FTE Mar'!D4*2.65</f>
        <v>0</v>
      </c>
      <c r="E4" s="7">
        <f>'C-FTE Mar'!E4*2.65</f>
        <v>0</v>
      </c>
      <c r="F4" s="7">
        <f>'C-FTE Mar'!F4*2.65</f>
        <v>0</v>
      </c>
      <c r="G4" s="7">
        <f>'C-FTE Mar'!G4*2.65</f>
        <v>0</v>
      </c>
      <c r="H4" s="7">
        <f>'C-FTE Mar'!H4*2.65</f>
        <v>0</v>
      </c>
      <c r="I4" s="7">
        <f>'C-FTE Mar'!I4*2.65</f>
        <v>0</v>
      </c>
      <c r="J4" s="7">
        <f>'C-FTE Mar'!J4*2.65</f>
        <v>0</v>
      </c>
      <c r="K4" s="7">
        <f>'C-FTE Mar'!K4*2.65</f>
        <v>0</v>
      </c>
      <c r="L4" s="7">
        <f>'C-FTE Mar'!L4*2.65</f>
        <v>0</v>
      </c>
      <c r="M4" s="7">
        <f>'C-FTE Mar'!M4*2.65</f>
        <v>0</v>
      </c>
      <c r="N4" s="7">
        <f>'C-FTE Mar'!N4*2.65</f>
        <v>0</v>
      </c>
      <c r="O4" s="7">
        <f>'C-FTE Mar'!O4*2.65</f>
        <v>0</v>
      </c>
      <c r="P4" s="7">
        <f>'C-FTE Mar'!P4*2.65</f>
        <v>0</v>
      </c>
      <c r="Q4" s="7">
        <f>'C-FTE Mar'!Q4*2.65</f>
        <v>0</v>
      </c>
      <c r="R4" s="7">
        <f>'C-FTE Mar'!R4*2.65</f>
        <v>0</v>
      </c>
      <c r="S4" s="7">
        <f>'C-FTE Mar'!S4*2.65</f>
        <v>0</v>
      </c>
      <c r="T4" s="7">
        <f>'C-FTE Mar'!T4*2.65</f>
        <v>0</v>
      </c>
      <c r="U4" s="7">
        <f>'C-FTE Mar'!U4*2.65</f>
        <v>0</v>
      </c>
      <c r="V4" s="7">
        <f>'C-FTE Mar'!V4*2.65</f>
        <v>0</v>
      </c>
      <c r="W4" s="7">
        <f>'C-FTE Mar'!W4*2.65</f>
        <v>0</v>
      </c>
      <c r="X4" s="7">
        <f>'C-FTE Mar'!X4*2.65</f>
        <v>0</v>
      </c>
      <c r="Y4" s="7">
        <f>'C-FTE Mar'!Y4*2.65</f>
        <v>0</v>
      </c>
      <c r="Z4" s="7">
        <f>'C-FTE Mar'!Z4*2.65</f>
        <v>0</v>
      </c>
      <c r="AA4" s="7">
        <f>'C-FTE Mar'!AA4*2.65</f>
        <v>0</v>
      </c>
      <c r="AB4" s="7">
        <f>'C-FTE Mar'!AB4*2.65</f>
        <v>0</v>
      </c>
      <c r="AC4" s="7">
        <f>'C-FTE Mar'!AC4*2.65</f>
        <v>0</v>
      </c>
      <c r="AD4" s="7">
        <f>'C-FTE Mar'!AD4*2.65</f>
        <v>0</v>
      </c>
      <c r="AE4" s="7">
        <f>'C-FTE Mar'!AE4*2.65</f>
        <v>0</v>
      </c>
      <c r="AF4" s="7">
        <f>'C-FTE Mar'!AF4*2.65</f>
        <v>0</v>
      </c>
    </row>
    <row r="5" spans="1:32" x14ac:dyDescent="0.25">
      <c r="A5" s="3" t="s">
        <v>10</v>
      </c>
      <c r="B5" s="7">
        <f>'C-FTE Mar'!B5*2.65</f>
        <v>0</v>
      </c>
      <c r="C5" s="7">
        <f>'C-FTE Mar'!C5*2.65</f>
        <v>0</v>
      </c>
      <c r="D5" s="7">
        <f>'C-FTE Mar'!D5*2.65</f>
        <v>0</v>
      </c>
      <c r="E5" s="7">
        <f>'C-FTE Mar'!E5*2.65</f>
        <v>0</v>
      </c>
      <c r="F5" s="7">
        <f>'C-FTE Mar'!F5*2.65</f>
        <v>0</v>
      </c>
      <c r="G5" s="7">
        <f>'C-FTE Mar'!G5*2.65</f>
        <v>0</v>
      </c>
      <c r="H5" s="7">
        <f>'C-FTE Mar'!H5*2.65</f>
        <v>0</v>
      </c>
      <c r="I5" s="7">
        <f>'C-FTE Mar'!I5*2.65</f>
        <v>0</v>
      </c>
      <c r="J5" s="7">
        <f>'C-FTE Mar'!J5*2.65</f>
        <v>0</v>
      </c>
      <c r="K5" s="7">
        <f>'C-FTE Mar'!K5*2.65</f>
        <v>0</v>
      </c>
      <c r="L5" s="7">
        <f>'C-FTE Mar'!L5*2.65</f>
        <v>0</v>
      </c>
      <c r="M5" s="7">
        <f>'C-FTE Mar'!M5*2.65</f>
        <v>0</v>
      </c>
      <c r="N5" s="7">
        <f>'C-FTE Mar'!N5*2.65</f>
        <v>0</v>
      </c>
      <c r="O5" s="7">
        <f>'C-FTE Mar'!O5*2.65</f>
        <v>0</v>
      </c>
      <c r="P5" s="7">
        <f>'C-FTE Mar'!P5*2.65</f>
        <v>0</v>
      </c>
      <c r="Q5" s="7">
        <f>'C-FTE Mar'!Q5*2.65</f>
        <v>0</v>
      </c>
      <c r="R5" s="7">
        <f>'C-FTE Mar'!R5*2.65</f>
        <v>0</v>
      </c>
      <c r="S5" s="7">
        <f>'C-FTE Mar'!S5*2.65</f>
        <v>0</v>
      </c>
      <c r="T5" s="7">
        <f>'C-FTE Mar'!T5*2.65</f>
        <v>0</v>
      </c>
      <c r="U5" s="7">
        <f>'C-FTE Mar'!U5*2.65</f>
        <v>0</v>
      </c>
      <c r="V5" s="7">
        <f>'C-FTE Mar'!V5*2.65</f>
        <v>0</v>
      </c>
      <c r="W5" s="7">
        <f>'C-FTE Mar'!W5*2.65</f>
        <v>0</v>
      </c>
      <c r="X5" s="7">
        <f>'C-FTE Mar'!X5*2.65</f>
        <v>0</v>
      </c>
      <c r="Y5" s="7">
        <f>'C-FTE Mar'!Y5*2.65</f>
        <v>0</v>
      </c>
      <c r="Z5" s="7">
        <f>'C-FTE Mar'!Z5*2.65</f>
        <v>0</v>
      </c>
      <c r="AA5" s="7">
        <f>'C-FTE Mar'!AA5*2.65</f>
        <v>0</v>
      </c>
      <c r="AB5" s="7">
        <f>'C-FTE Mar'!AB5*2.65</f>
        <v>0</v>
      </c>
      <c r="AC5" s="7">
        <f>'C-FTE Mar'!AC5*2.65</f>
        <v>0</v>
      </c>
      <c r="AD5" s="7">
        <f>'C-FTE Mar'!AD5*2.65</f>
        <v>0</v>
      </c>
      <c r="AE5" s="7">
        <f>'C-FTE Mar'!AE5*2.65</f>
        <v>0</v>
      </c>
      <c r="AF5" s="7">
        <f>'C-FTE Mar'!AF5*2.65</f>
        <v>0</v>
      </c>
    </row>
    <row r="6" spans="1:32" x14ac:dyDescent="0.25">
      <c r="A6" s="3" t="s">
        <v>11</v>
      </c>
      <c r="B6" s="7">
        <f>'C-FTE Mar'!B6*2.65</f>
        <v>0</v>
      </c>
      <c r="C6" s="7">
        <f>'C-FTE Mar'!C6*2.65</f>
        <v>0</v>
      </c>
      <c r="D6" s="7">
        <f>'C-FTE Mar'!D6*2.65</f>
        <v>0</v>
      </c>
      <c r="E6" s="7">
        <f>'C-FTE Mar'!E6*2.65</f>
        <v>0</v>
      </c>
      <c r="F6" s="7">
        <f>'C-FTE Mar'!F6*2.65</f>
        <v>0</v>
      </c>
      <c r="G6" s="7">
        <f>'C-FTE Mar'!G6*2.65</f>
        <v>0</v>
      </c>
      <c r="H6" s="7">
        <f>'C-FTE Mar'!H6*2.65</f>
        <v>0</v>
      </c>
      <c r="I6" s="7">
        <f>'C-FTE Mar'!I6*2.65</f>
        <v>0</v>
      </c>
      <c r="J6" s="7">
        <f>'C-FTE Mar'!J6*2.65</f>
        <v>0</v>
      </c>
      <c r="K6" s="7">
        <f>'C-FTE Mar'!K6*2.65</f>
        <v>0</v>
      </c>
      <c r="L6" s="7">
        <f>'C-FTE Mar'!L6*2.65</f>
        <v>0</v>
      </c>
      <c r="M6" s="7">
        <f>'C-FTE Mar'!M6*2.65</f>
        <v>0</v>
      </c>
      <c r="N6" s="7">
        <f>'C-FTE Mar'!N6*2.65</f>
        <v>0</v>
      </c>
      <c r="O6" s="7">
        <f>'C-FTE Mar'!O6*2.65</f>
        <v>0</v>
      </c>
      <c r="P6" s="7">
        <f>'C-FTE Mar'!P6*2.65</f>
        <v>0</v>
      </c>
      <c r="Q6" s="7">
        <f>'C-FTE Mar'!Q6*2.65</f>
        <v>0</v>
      </c>
      <c r="R6" s="7">
        <f>'C-FTE Mar'!R6*2.65</f>
        <v>0</v>
      </c>
      <c r="S6" s="7">
        <f>'C-FTE Mar'!S6*2.65</f>
        <v>0</v>
      </c>
      <c r="T6" s="7">
        <f>'C-FTE Mar'!T6*2.65</f>
        <v>0</v>
      </c>
      <c r="U6" s="7">
        <f>'C-FTE Mar'!U6*2.65</f>
        <v>0</v>
      </c>
      <c r="V6" s="7">
        <f>'C-FTE Mar'!V6*2.65</f>
        <v>0</v>
      </c>
      <c r="W6" s="7">
        <f>'C-FTE Mar'!W6*2.65</f>
        <v>0</v>
      </c>
      <c r="X6" s="7">
        <f>'C-FTE Mar'!X6*2.65</f>
        <v>0</v>
      </c>
      <c r="Y6" s="7">
        <f>'C-FTE Mar'!Y6*2.65</f>
        <v>0</v>
      </c>
      <c r="Z6" s="7">
        <f>'C-FTE Mar'!Z6*2.65</f>
        <v>0</v>
      </c>
      <c r="AA6" s="7">
        <f>'C-FTE Mar'!AA6*2.65</f>
        <v>0</v>
      </c>
      <c r="AB6" s="7">
        <f>'C-FTE Mar'!AB6*2.65</f>
        <v>0</v>
      </c>
      <c r="AC6" s="7">
        <f>'C-FTE Mar'!AC6*2.65</f>
        <v>0</v>
      </c>
      <c r="AD6" s="7">
        <f>'C-FTE Mar'!AD6*2.65</f>
        <v>0</v>
      </c>
      <c r="AE6" s="7">
        <f>'C-FTE Mar'!AE6*2.65</f>
        <v>0</v>
      </c>
      <c r="AF6" s="7">
        <f>'C-FTE Mar'!AF6*2.65</f>
        <v>0</v>
      </c>
    </row>
    <row r="7" spans="1:32" x14ac:dyDescent="0.25">
      <c r="A7" s="3" t="s">
        <v>12</v>
      </c>
      <c r="B7" s="7">
        <f>'C-FTE Mar'!B7*2.65</f>
        <v>0</v>
      </c>
      <c r="C7" s="7">
        <f>'C-FTE Mar'!C7*2.65</f>
        <v>0</v>
      </c>
      <c r="D7" s="7">
        <f>'C-FTE Mar'!D7*2.65</f>
        <v>0</v>
      </c>
      <c r="E7" s="7">
        <f>'C-FTE Mar'!E7*2.65</f>
        <v>0</v>
      </c>
      <c r="F7" s="7">
        <f>'C-FTE Mar'!F7*2.65</f>
        <v>0</v>
      </c>
      <c r="G7" s="7">
        <f>'C-FTE Mar'!G7*2.65</f>
        <v>0</v>
      </c>
      <c r="H7" s="7">
        <f>'C-FTE Mar'!H7*2.65</f>
        <v>0</v>
      </c>
      <c r="I7" s="7">
        <f>'C-FTE Mar'!I7*2.65</f>
        <v>0</v>
      </c>
      <c r="J7" s="7">
        <f>'C-FTE Mar'!J7*2.65</f>
        <v>0</v>
      </c>
      <c r="K7" s="7">
        <f>'C-FTE Mar'!K7*2.65</f>
        <v>0</v>
      </c>
      <c r="L7" s="7">
        <f>'C-FTE Mar'!L7*2.65</f>
        <v>0</v>
      </c>
      <c r="M7" s="7">
        <f>'C-FTE Mar'!M7*2.65</f>
        <v>0</v>
      </c>
      <c r="N7" s="7">
        <f>'C-FTE Mar'!N7*2.65</f>
        <v>0</v>
      </c>
      <c r="O7" s="7">
        <f>'C-FTE Mar'!O7*2.65</f>
        <v>0</v>
      </c>
      <c r="P7" s="7">
        <f>'C-FTE Mar'!P7*2.65</f>
        <v>0</v>
      </c>
      <c r="Q7" s="7">
        <f>'C-FTE Mar'!Q7*2.65</f>
        <v>0</v>
      </c>
      <c r="R7" s="7">
        <f>'C-FTE Mar'!R7*2.65</f>
        <v>0</v>
      </c>
      <c r="S7" s="7">
        <f>'C-FTE Mar'!S7*2.65</f>
        <v>0</v>
      </c>
      <c r="T7" s="7">
        <f>'C-FTE Mar'!T7*2.65</f>
        <v>0</v>
      </c>
      <c r="U7" s="7">
        <f>'C-FTE Mar'!U7*2.65</f>
        <v>0</v>
      </c>
      <c r="V7" s="7">
        <f>'C-FTE Mar'!V7*2.65</f>
        <v>0</v>
      </c>
      <c r="W7" s="7">
        <f>'C-FTE Mar'!W7*2.65</f>
        <v>0</v>
      </c>
      <c r="X7" s="7">
        <f>'C-FTE Mar'!X7*2.65</f>
        <v>0</v>
      </c>
      <c r="Y7" s="7">
        <f>'C-FTE Mar'!Y7*2.65</f>
        <v>0</v>
      </c>
      <c r="Z7" s="7">
        <f>'C-FTE Mar'!Z7*2.65</f>
        <v>0</v>
      </c>
      <c r="AA7" s="7">
        <f>'C-FTE Mar'!AA7*2.65</f>
        <v>0</v>
      </c>
      <c r="AB7" s="7">
        <f>'C-FTE Mar'!AB7*2.65</f>
        <v>0</v>
      </c>
      <c r="AC7" s="7">
        <f>'C-FTE Mar'!AC7*2.65</f>
        <v>0</v>
      </c>
      <c r="AD7" s="7">
        <f>'C-FTE Mar'!AD7*2.65</f>
        <v>0</v>
      </c>
      <c r="AE7" s="7">
        <f>'C-FTE Mar'!AE7*2.65</f>
        <v>0</v>
      </c>
      <c r="AF7" s="7">
        <f>'C-FTE Mar'!AF7*2.65</f>
        <v>0</v>
      </c>
    </row>
    <row r="8" spans="1:32" x14ac:dyDescent="0.25">
      <c r="A8" s="3" t="s">
        <v>13</v>
      </c>
      <c r="B8" s="7">
        <f>'C-FTE Mar'!B8*2.65</f>
        <v>0</v>
      </c>
      <c r="C8" s="7">
        <f>'C-FTE Mar'!C8*2.65</f>
        <v>0</v>
      </c>
      <c r="D8" s="7">
        <f>'C-FTE Mar'!D8*2.65</f>
        <v>0</v>
      </c>
      <c r="E8" s="7">
        <f>'C-FTE Mar'!E8*2.65</f>
        <v>0</v>
      </c>
      <c r="F8" s="7">
        <f>'C-FTE Mar'!F8*2.65</f>
        <v>0</v>
      </c>
      <c r="G8" s="7">
        <f>'C-FTE Mar'!G8*2.65</f>
        <v>0</v>
      </c>
      <c r="H8" s="7">
        <f>'C-FTE Mar'!H8*2.65</f>
        <v>0</v>
      </c>
      <c r="I8" s="7">
        <f>'C-FTE Mar'!I8*2.65</f>
        <v>0</v>
      </c>
      <c r="J8" s="7">
        <f>'C-FTE Mar'!J8*2.65</f>
        <v>0</v>
      </c>
      <c r="K8" s="7">
        <f>'C-FTE Mar'!K8*2.65</f>
        <v>0</v>
      </c>
      <c r="L8" s="7">
        <f>'C-FTE Mar'!L8*2.65</f>
        <v>0</v>
      </c>
      <c r="M8" s="7">
        <f>'C-FTE Mar'!M8*2.65</f>
        <v>0</v>
      </c>
      <c r="N8" s="7">
        <f>'C-FTE Mar'!N8*2.65</f>
        <v>0</v>
      </c>
      <c r="O8" s="7">
        <f>'C-FTE Mar'!O8*2.65</f>
        <v>0</v>
      </c>
      <c r="P8" s="7">
        <f>'C-FTE Mar'!P8*2.65</f>
        <v>0</v>
      </c>
      <c r="Q8" s="7">
        <f>'C-FTE Mar'!Q8*2.65</f>
        <v>0</v>
      </c>
      <c r="R8" s="7">
        <f>'C-FTE Mar'!R8*2.65</f>
        <v>0</v>
      </c>
      <c r="S8" s="7">
        <f>'C-FTE Mar'!S8*2.65</f>
        <v>0</v>
      </c>
      <c r="T8" s="7">
        <f>'C-FTE Mar'!T8*2.65</f>
        <v>0</v>
      </c>
      <c r="U8" s="7">
        <f>'C-FTE Mar'!U8*2.65</f>
        <v>0</v>
      </c>
      <c r="V8" s="7">
        <f>'C-FTE Mar'!V8*2.65</f>
        <v>0</v>
      </c>
      <c r="W8" s="7">
        <f>'C-FTE Mar'!W8*2.65</f>
        <v>0</v>
      </c>
      <c r="X8" s="7">
        <f>'C-FTE Mar'!X8*2.65</f>
        <v>0</v>
      </c>
      <c r="Y8" s="7">
        <f>'C-FTE Mar'!Y8*2.65</f>
        <v>0</v>
      </c>
      <c r="Z8" s="7">
        <f>'C-FTE Mar'!Z8*2.65</f>
        <v>0</v>
      </c>
      <c r="AA8" s="7">
        <f>'C-FTE Mar'!AA8*2.65</f>
        <v>0</v>
      </c>
      <c r="AB8" s="7">
        <f>'C-FTE Mar'!AB8*2.65</f>
        <v>0</v>
      </c>
      <c r="AC8" s="7">
        <f>'C-FTE Mar'!AC8*2.65</f>
        <v>0</v>
      </c>
      <c r="AD8" s="7">
        <f>'C-FTE Mar'!AD8*2.65</f>
        <v>0</v>
      </c>
      <c r="AE8" s="7">
        <f>'C-FTE Mar'!AE8*2.65</f>
        <v>0</v>
      </c>
      <c r="AF8" s="7">
        <f>'C-FTE Mar'!AF8*2.65</f>
        <v>0</v>
      </c>
    </row>
    <row r="9" spans="1:32" x14ac:dyDescent="0.25">
      <c r="A9" s="3" t="s">
        <v>14</v>
      </c>
      <c r="B9" s="7">
        <f>'C-FTE Mar'!B9*2.65</f>
        <v>0</v>
      </c>
      <c r="C9" s="7">
        <f>'C-FTE Mar'!C9*2.65</f>
        <v>0</v>
      </c>
      <c r="D9" s="7">
        <f>'C-FTE Mar'!D9*2.65</f>
        <v>0</v>
      </c>
      <c r="E9" s="7">
        <f>'C-FTE Mar'!E9*2.65</f>
        <v>0</v>
      </c>
      <c r="F9" s="7">
        <f>'C-FTE Mar'!F9*2.65</f>
        <v>0</v>
      </c>
      <c r="G9" s="7">
        <f>'C-FTE Mar'!G9*2.65</f>
        <v>0</v>
      </c>
      <c r="H9" s="7">
        <f>'C-FTE Mar'!H9*2.65</f>
        <v>0</v>
      </c>
      <c r="I9" s="7">
        <f>'C-FTE Mar'!I9*2.65</f>
        <v>0</v>
      </c>
      <c r="J9" s="7">
        <f>'C-FTE Mar'!J9*2.65</f>
        <v>0</v>
      </c>
      <c r="K9" s="7">
        <f>'C-FTE Mar'!K9*2.65</f>
        <v>0</v>
      </c>
      <c r="L9" s="7">
        <f>'C-FTE Mar'!L9*2.65</f>
        <v>0</v>
      </c>
      <c r="M9" s="7">
        <f>'C-FTE Mar'!M9*2.65</f>
        <v>0</v>
      </c>
      <c r="N9" s="7">
        <f>'C-FTE Mar'!N9*2.65</f>
        <v>0</v>
      </c>
      <c r="O9" s="7">
        <f>'C-FTE Mar'!O9*2.65</f>
        <v>0</v>
      </c>
      <c r="P9" s="7">
        <f>'C-FTE Mar'!P9*2.65</f>
        <v>0</v>
      </c>
      <c r="Q9" s="7">
        <f>'C-FTE Mar'!Q9*2.65</f>
        <v>0</v>
      </c>
      <c r="R9" s="7">
        <f>'C-FTE Mar'!R9*2.65</f>
        <v>0</v>
      </c>
      <c r="S9" s="7">
        <f>'C-FTE Mar'!S9*2.65</f>
        <v>0</v>
      </c>
      <c r="T9" s="7">
        <f>'C-FTE Mar'!T9*2.65</f>
        <v>0</v>
      </c>
      <c r="U9" s="7">
        <f>'C-FTE Mar'!U9*2.65</f>
        <v>0</v>
      </c>
      <c r="V9" s="7">
        <f>'C-FTE Mar'!V9*2.65</f>
        <v>0</v>
      </c>
      <c r="W9" s="7">
        <f>'C-FTE Mar'!W9*2.65</f>
        <v>0</v>
      </c>
      <c r="X9" s="7">
        <f>'C-FTE Mar'!X9*2.65</f>
        <v>0</v>
      </c>
      <c r="Y9" s="7">
        <f>'C-FTE Mar'!Y9*2.65</f>
        <v>0</v>
      </c>
      <c r="Z9" s="7">
        <f>'C-FTE Mar'!Z9*2.65</f>
        <v>0</v>
      </c>
      <c r="AA9" s="7">
        <f>'C-FTE Mar'!AA9*2.65</f>
        <v>0</v>
      </c>
      <c r="AB9" s="7">
        <f>'C-FTE Mar'!AB9*2.65</f>
        <v>0</v>
      </c>
      <c r="AC9" s="7">
        <f>'C-FTE Mar'!AC9*2.65</f>
        <v>0</v>
      </c>
      <c r="AD9" s="7">
        <f>'C-FTE Mar'!AD9*2.65</f>
        <v>0</v>
      </c>
      <c r="AE9" s="7">
        <f>'C-FTE Mar'!AE9*2.65</f>
        <v>0</v>
      </c>
      <c r="AF9" s="7">
        <f>'C-FTE Mar'!AF9*2.65</f>
        <v>0</v>
      </c>
    </row>
    <row r="10" spans="1:32" x14ac:dyDescent="0.25">
      <c r="A10" s="3" t="s">
        <v>15</v>
      </c>
      <c r="B10" s="7">
        <f>'C-FTE Mar'!B10*2.65</f>
        <v>0</v>
      </c>
      <c r="C10" s="7">
        <f>'C-FTE Mar'!C10*2.65</f>
        <v>0</v>
      </c>
      <c r="D10" s="7">
        <f>'C-FTE Mar'!D10*2.65</f>
        <v>0</v>
      </c>
      <c r="E10" s="7">
        <f>'C-FTE Mar'!E10*2.65</f>
        <v>0</v>
      </c>
      <c r="F10" s="7">
        <f>'C-FTE Mar'!F10*2.65</f>
        <v>0</v>
      </c>
      <c r="G10" s="7">
        <f>'C-FTE Mar'!G10*2.65</f>
        <v>0</v>
      </c>
      <c r="H10" s="7">
        <f>'C-FTE Mar'!H10*2.65</f>
        <v>0</v>
      </c>
      <c r="I10" s="7">
        <f>'C-FTE Mar'!I10*2.65</f>
        <v>0</v>
      </c>
      <c r="J10" s="7">
        <f>'C-FTE Mar'!J10*2.65</f>
        <v>0</v>
      </c>
      <c r="K10" s="7">
        <f>'C-FTE Mar'!K10*2.65</f>
        <v>0</v>
      </c>
      <c r="L10" s="7">
        <f>'C-FTE Mar'!L10*2.65</f>
        <v>0</v>
      </c>
      <c r="M10" s="7">
        <f>'C-FTE Mar'!M10*2.65</f>
        <v>0</v>
      </c>
      <c r="N10" s="7">
        <f>'C-FTE Mar'!N10*2.65</f>
        <v>0</v>
      </c>
      <c r="O10" s="7">
        <f>'C-FTE Mar'!O10*2.65</f>
        <v>0</v>
      </c>
      <c r="P10" s="7">
        <f>'C-FTE Mar'!P10*2.65</f>
        <v>0</v>
      </c>
      <c r="Q10" s="7">
        <f>'C-FTE Mar'!Q10*2.65</f>
        <v>0</v>
      </c>
      <c r="R10" s="7">
        <f>'C-FTE Mar'!R10*2.65</f>
        <v>0</v>
      </c>
      <c r="S10" s="7">
        <f>'C-FTE Mar'!S10*2.65</f>
        <v>0</v>
      </c>
      <c r="T10" s="7">
        <f>'C-FTE Mar'!T10*2.65</f>
        <v>0</v>
      </c>
      <c r="U10" s="7">
        <f>'C-FTE Mar'!U10*2.65</f>
        <v>0</v>
      </c>
      <c r="V10" s="7">
        <f>'C-FTE Mar'!V10*2.65</f>
        <v>0</v>
      </c>
      <c r="W10" s="7">
        <f>'C-FTE Mar'!W10*2.65</f>
        <v>0</v>
      </c>
      <c r="X10" s="7">
        <f>'C-FTE Mar'!X10*2.65</f>
        <v>0</v>
      </c>
      <c r="Y10" s="7">
        <f>'C-FTE Mar'!Y10*2.65</f>
        <v>0</v>
      </c>
      <c r="Z10" s="7">
        <f>'C-FTE Mar'!Z10*2.65</f>
        <v>0</v>
      </c>
      <c r="AA10" s="7">
        <f>'C-FTE Mar'!AA10*2.65</f>
        <v>0</v>
      </c>
      <c r="AB10" s="7">
        <f>'C-FTE Mar'!AB10*2.65</f>
        <v>0</v>
      </c>
      <c r="AC10" s="7">
        <f>'C-FTE Mar'!AC10*2.65</f>
        <v>0</v>
      </c>
      <c r="AD10" s="7">
        <f>'C-FTE Mar'!AD10*2.65</f>
        <v>0</v>
      </c>
      <c r="AE10" s="7">
        <f>'C-FTE Mar'!AE10*2.65</f>
        <v>0</v>
      </c>
      <c r="AF10" s="7">
        <f>'C-FTE Mar'!AF10*2.65</f>
        <v>0</v>
      </c>
    </row>
    <row r="11" spans="1:32" x14ac:dyDescent="0.25">
      <c r="A11" s="3" t="s">
        <v>16</v>
      </c>
      <c r="B11" s="7">
        <f>'C-FTE Mar'!B11*2.65</f>
        <v>0</v>
      </c>
      <c r="C11" s="7">
        <f>'C-FTE Mar'!C11*2.65</f>
        <v>0</v>
      </c>
      <c r="D11" s="7">
        <f>'C-FTE Mar'!D11*2.65</f>
        <v>0</v>
      </c>
      <c r="E11" s="7">
        <f>'C-FTE Mar'!E11*2.65</f>
        <v>0</v>
      </c>
      <c r="F11" s="7">
        <f>'C-FTE Mar'!F11*2.65</f>
        <v>0</v>
      </c>
      <c r="G11" s="7">
        <f>'C-FTE Mar'!G11*2.65</f>
        <v>0</v>
      </c>
      <c r="H11" s="7">
        <f>'C-FTE Mar'!H11*2.65</f>
        <v>0</v>
      </c>
      <c r="I11" s="7">
        <f>'C-FTE Mar'!I11*2.65</f>
        <v>0</v>
      </c>
      <c r="J11" s="7">
        <f>'C-FTE Mar'!J11*2.65</f>
        <v>0</v>
      </c>
      <c r="K11" s="7">
        <f>'C-FTE Mar'!K11*2.65</f>
        <v>0</v>
      </c>
      <c r="L11" s="7">
        <f>'C-FTE Mar'!L11*2.65</f>
        <v>0</v>
      </c>
      <c r="M11" s="7">
        <f>'C-FTE Mar'!M11*2.65</f>
        <v>0</v>
      </c>
      <c r="N11" s="7">
        <f>'C-FTE Mar'!N11*2.65</f>
        <v>0</v>
      </c>
      <c r="O11" s="7">
        <f>'C-FTE Mar'!O11*2.65</f>
        <v>0</v>
      </c>
      <c r="P11" s="7">
        <f>'C-FTE Mar'!P11*2.65</f>
        <v>0</v>
      </c>
      <c r="Q11" s="7">
        <f>'C-FTE Mar'!Q11*2.65</f>
        <v>0</v>
      </c>
      <c r="R11" s="7">
        <f>'C-FTE Mar'!R11*2.65</f>
        <v>0</v>
      </c>
      <c r="S11" s="7">
        <f>'C-FTE Mar'!S11*2.65</f>
        <v>0</v>
      </c>
      <c r="T11" s="7">
        <f>'C-FTE Mar'!T11*2.65</f>
        <v>0</v>
      </c>
      <c r="U11" s="7">
        <f>'C-FTE Mar'!U11*2.65</f>
        <v>0</v>
      </c>
      <c r="V11" s="7">
        <f>'C-FTE Mar'!V11*2.65</f>
        <v>0</v>
      </c>
      <c r="W11" s="7">
        <f>'C-FTE Mar'!W11*2.65</f>
        <v>0</v>
      </c>
      <c r="X11" s="7">
        <f>'C-FTE Mar'!X11*2.65</f>
        <v>0</v>
      </c>
      <c r="Y11" s="7">
        <f>'C-FTE Mar'!Y11*2.65</f>
        <v>0</v>
      </c>
      <c r="Z11" s="7">
        <f>'C-FTE Mar'!Z11*2.65</f>
        <v>0</v>
      </c>
      <c r="AA11" s="7">
        <f>'C-FTE Mar'!AA11*2.65</f>
        <v>0</v>
      </c>
      <c r="AB11" s="7">
        <f>'C-FTE Mar'!AB11*2.65</f>
        <v>0</v>
      </c>
      <c r="AC11" s="7">
        <f>'C-FTE Mar'!AC11*2.65</f>
        <v>0</v>
      </c>
      <c r="AD11" s="7">
        <f>'C-FTE Mar'!AD11*2.65</f>
        <v>0</v>
      </c>
      <c r="AE11" s="7">
        <f>'C-FTE Mar'!AE11*2.65</f>
        <v>0</v>
      </c>
      <c r="AF11" s="7">
        <f>'C-FTE Mar'!AF11*2.65</f>
        <v>0</v>
      </c>
    </row>
    <row r="12" spans="1:32" x14ac:dyDescent="0.25">
      <c r="A12" s="3" t="s">
        <v>17</v>
      </c>
      <c r="B12" s="7">
        <f>'C-FTE Mar'!B12*2.65</f>
        <v>0</v>
      </c>
      <c r="C12" s="7">
        <f>'C-FTE Mar'!C12*2.65</f>
        <v>0</v>
      </c>
      <c r="D12" s="7">
        <f>'C-FTE Mar'!D12*2.65</f>
        <v>0</v>
      </c>
      <c r="E12" s="7">
        <f>'C-FTE Mar'!E12*2.65</f>
        <v>0</v>
      </c>
      <c r="F12" s="7">
        <f>'C-FTE Mar'!F12*2.65</f>
        <v>0</v>
      </c>
      <c r="G12" s="7">
        <f>'C-FTE Mar'!G12*2.65</f>
        <v>0</v>
      </c>
      <c r="H12" s="7">
        <f>'C-FTE Mar'!H12*2.65</f>
        <v>0</v>
      </c>
      <c r="I12" s="7">
        <f>'C-FTE Mar'!I12*2.65</f>
        <v>0</v>
      </c>
      <c r="J12" s="7">
        <f>'C-FTE Mar'!J12*2.65</f>
        <v>0</v>
      </c>
      <c r="K12" s="7">
        <f>'C-FTE Mar'!K12*2.65</f>
        <v>0</v>
      </c>
      <c r="L12" s="7">
        <f>'C-FTE Mar'!L12*2.65</f>
        <v>0</v>
      </c>
      <c r="M12" s="7">
        <f>'C-FTE Mar'!M12*2.65</f>
        <v>0</v>
      </c>
      <c r="N12" s="7">
        <f>'C-FTE Mar'!N12*2.65</f>
        <v>0</v>
      </c>
      <c r="O12" s="7">
        <f>'C-FTE Mar'!O12*2.65</f>
        <v>0</v>
      </c>
      <c r="P12" s="7">
        <f>'C-FTE Mar'!P12*2.65</f>
        <v>0</v>
      </c>
      <c r="Q12" s="7">
        <f>'C-FTE Mar'!Q12*2.65</f>
        <v>0</v>
      </c>
      <c r="R12" s="7">
        <f>'C-FTE Mar'!R12*2.65</f>
        <v>0</v>
      </c>
      <c r="S12" s="7">
        <f>'C-FTE Mar'!S12*2.65</f>
        <v>0</v>
      </c>
      <c r="T12" s="7">
        <f>'C-FTE Mar'!T12*2.65</f>
        <v>0</v>
      </c>
      <c r="U12" s="7">
        <f>'C-FTE Mar'!U12*2.65</f>
        <v>0</v>
      </c>
      <c r="V12" s="7">
        <f>'C-FTE Mar'!V12*2.65</f>
        <v>0</v>
      </c>
      <c r="W12" s="7">
        <f>'C-FTE Mar'!W12*2.65</f>
        <v>0</v>
      </c>
      <c r="X12" s="7">
        <f>'C-FTE Mar'!X12*2.65</f>
        <v>0</v>
      </c>
      <c r="Y12" s="7">
        <f>'C-FTE Mar'!Y12*2.65</f>
        <v>0</v>
      </c>
      <c r="Z12" s="7">
        <f>'C-FTE Mar'!Z12*2.65</f>
        <v>0</v>
      </c>
      <c r="AA12" s="7">
        <f>'C-FTE Mar'!AA12*2.65</f>
        <v>0</v>
      </c>
      <c r="AB12" s="7">
        <f>'C-FTE Mar'!AB12*2.65</f>
        <v>0</v>
      </c>
      <c r="AC12" s="7">
        <f>'C-FTE Mar'!AC12*2.65</f>
        <v>0</v>
      </c>
      <c r="AD12" s="7">
        <f>'C-FTE Mar'!AD12*2.65</f>
        <v>0</v>
      </c>
      <c r="AE12" s="7">
        <f>'C-FTE Mar'!AE12*2.65</f>
        <v>0</v>
      </c>
      <c r="AF12" s="7">
        <f>'C-FTE Mar'!AF12*2.65</f>
        <v>0</v>
      </c>
    </row>
    <row r="13" spans="1:32" x14ac:dyDescent="0.25">
      <c r="A13" s="3" t="s">
        <v>18</v>
      </c>
      <c r="B13" s="7">
        <f>'C-FTE Mar'!B13*2.65</f>
        <v>0</v>
      </c>
      <c r="C13" s="7">
        <f>'C-FTE Mar'!C13*2.65</f>
        <v>0</v>
      </c>
      <c r="D13" s="7">
        <f>'C-FTE Mar'!D13*2.65</f>
        <v>0</v>
      </c>
      <c r="E13" s="7">
        <f>'C-FTE Mar'!E13*2.65</f>
        <v>0</v>
      </c>
      <c r="F13" s="7">
        <f>'C-FTE Mar'!F13*2.65</f>
        <v>0</v>
      </c>
      <c r="G13" s="7">
        <f>'C-FTE Mar'!G13*2.65</f>
        <v>0</v>
      </c>
      <c r="H13" s="7">
        <f>'C-FTE Mar'!H13*2.65</f>
        <v>0</v>
      </c>
      <c r="I13" s="7">
        <f>'C-FTE Mar'!I13*2.65</f>
        <v>0</v>
      </c>
      <c r="J13" s="7">
        <f>'C-FTE Mar'!J13*2.65</f>
        <v>0</v>
      </c>
      <c r="K13" s="7">
        <f>'C-FTE Mar'!K13*2.65</f>
        <v>0</v>
      </c>
      <c r="L13" s="7">
        <f>'C-FTE Mar'!L13*2.65</f>
        <v>0</v>
      </c>
      <c r="M13" s="7">
        <f>'C-FTE Mar'!M13*2.65</f>
        <v>0</v>
      </c>
      <c r="N13" s="7">
        <f>'C-FTE Mar'!N13*2.65</f>
        <v>0</v>
      </c>
      <c r="O13" s="7">
        <f>'C-FTE Mar'!O13*2.65</f>
        <v>0</v>
      </c>
      <c r="P13" s="7">
        <f>'C-FTE Mar'!P13*2.65</f>
        <v>0</v>
      </c>
      <c r="Q13" s="7">
        <f>'C-FTE Mar'!Q13*2.65</f>
        <v>0</v>
      </c>
      <c r="R13" s="7">
        <f>'C-FTE Mar'!R13*2.65</f>
        <v>0</v>
      </c>
      <c r="S13" s="7">
        <f>'C-FTE Mar'!S13*2.65</f>
        <v>0</v>
      </c>
      <c r="T13" s="7">
        <f>'C-FTE Mar'!T13*2.65</f>
        <v>0</v>
      </c>
      <c r="U13" s="7">
        <f>'C-FTE Mar'!U13*2.65</f>
        <v>0</v>
      </c>
      <c r="V13" s="7">
        <f>'C-FTE Mar'!V13*2.65</f>
        <v>0</v>
      </c>
      <c r="W13" s="7">
        <f>'C-FTE Mar'!W13*2.65</f>
        <v>0</v>
      </c>
      <c r="X13" s="7">
        <f>'C-FTE Mar'!X13*2.65</f>
        <v>0</v>
      </c>
      <c r="Y13" s="7">
        <f>'C-FTE Mar'!Y13*2.65</f>
        <v>0</v>
      </c>
      <c r="Z13" s="7">
        <f>'C-FTE Mar'!Z13*2.65</f>
        <v>0</v>
      </c>
      <c r="AA13" s="7">
        <f>'C-FTE Mar'!AA13*2.65</f>
        <v>0</v>
      </c>
      <c r="AB13" s="7">
        <f>'C-FTE Mar'!AB13*2.65</f>
        <v>0</v>
      </c>
      <c r="AC13" s="7">
        <f>'C-FTE Mar'!AC13*2.65</f>
        <v>0</v>
      </c>
      <c r="AD13" s="7">
        <f>'C-FTE Mar'!AD13*2.65</f>
        <v>0</v>
      </c>
      <c r="AE13" s="7">
        <f>'C-FTE Mar'!AE13*2.65</f>
        <v>0</v>
      </c>
      <c r="AF13" s="7">
        <f>'C-FTE Mar'!AF13*2.65</f>
        <v>0</v>
      </c>
    </row>
    <row r="14" spans="1:32" x14ac:dyDescent="0.25">
      <c r="A14" s="3" t="s">
        <v>19</v>
      </c>
      <c r="B14" s="7">
        <f>'C-FTE Mar'!B14*2.65</f>
        <v>0</v>
      </c>
      <c r="C14" s="7">
        <f>'C-FTE Mar'!C14*2.65</f>
        <v>0</v>
      </c>
      <c r="D14" s="7">
        <f>'C-FTE Mar'!D14*2.65</f>
        <v>0</v>
      </c>
      <c r="E14" s="7">
        <f>'C-FTE Mar'!E14*2.65</f>
        <v>0</v>
      </c>
      <c r="F14" s="7">
        <f>'C-FTE Mar'!F14*2.65</f>
        <v>0</v>
      </c>
      <c r="G14" s="7">
        <f>'C-FTE Mar'!G14*2.65</f>
        <v>0</v>
      </c>
      <c r="H14" s="7">
        <f>'C-FTE Mar'!H14*2.65</f>
        <v>0</v>
      </c>
      <c r="I14" s="7">
        <f>'C-FTE Mar'!I14*2.65</f>
        <v>0</v>
      </c>
      <c r="J14" s="7">
        <f>'C-FTE Mar'!J14*2.65</f>
        <v>0</v>
      </c>
      <c r="K14" s="7">
        <f>'C-FTE Mar'!K14*2.65</f>
        <v>0</v>
      </c>
      <c r="L14" s="7">
        <f>'C-FTE Mar'!L14*2.65</f>
        <v>0</v>
      </c>
      <c r="M14" s="7">
        <f>'C-FTE Mar'!M14*2.65</f>
        <v>0</v>
      </c>
      <c r="N14" s="7">
        <f>'C-FTE Mar'!N14*2.65</f>
        <v>0</v>
      </c>
      <c r="O14" s="7">
        <f>'C-FTE Mar'!O14*2.65</f>
        <v>0</v>
      </c>
      <c r="P14" s="7">
        <f>'C-FTE Mar'!P14*2.65</f>
        <v>0</v>
      </c>
      <c r="Q14" s="7">
        <f>'C-FTE Mar'!Q14*2.65</f>
        <v>0</v>
      </c>
      <c r="R14" s="7">
        <f>'C-FTE Mar'!R14*2.65</f>
        <v>0</v>
      </c>
      <c r="S14" s="7">
        <f>'C-FTE Mar'!S14*2.65</f>
        <v>0</v>
      </c>
      <c r="T14" s="7">
        <f>'C-FTE Mar'!T14*2.65</f>
        <v>0</v>
      </c>
      <c r="U14" s="7">
        <f>'C-FTE Mar'!U14*2.65</f>
        <v>0</v>
      </c>
      <c r="V14" s="7">
        <f>'C-FTE Mar'!V14*2.65</f>
        <v>0</v>
      </c>
      <c r="W14" s="7">
        <f>'C-FTE Mar'!W14*2.65</f>
        <v>0</v>
      </c>
      <c r="X14" s="7">
        <f>'C-FTE Mar'!X14*2.65</f>
        <v>0</v>
      </c>
      <c r="Y14" s="7">
        <f>'C-FTE Mar'!Y14*2.65</f>
        <v>0</v>
      </c>
      <c r="Z14" s="7">
        <f>'C-FTE Mar'!Z14*2.65</f>
        <v>0</v>
      </c>
      <c r="AA14" s="7">
        <f>'C-FTE Mar'!AA14*2.65</f>
        <v>0</v>
      </c>
      <c r="AB14" s="7">
        <f>'C-FTE Mar'!AB14*2.65</f>
        <v>0</v>
      </c>
      <c r="AC14" s="7">
        <f>'C-FTE Mar'!AC14*2.65</f>
        <v>0</v>
      </c>
      <c r="AD14" s="7">
        <f>'C-FTE Mar'!AD14*2.65</f>
        <v>0</v>
      </c>
      <c r="AE14" s="7">
        <f>'C-FTE Mar'!AE14*2.65</f>
        <v>0</v>
      </c>
      <c r="AF14" s="7">
        <f>'C-FTE Mar'!AF14*2.65</f>
        <v>0</v>
      </c>
    </row>
    <row r="15" spans="1:32" x14ac:dyDescent="0.25">
      <c r="A15" s="3" t="s">
        <v>20</v>
      </c>
      <c r="B15" s="7">
        <f>'C-FTE Mar'!B15*2.65</f>
        <v>0</v>
      </c>
      <c r="C15" s="7">
        <f>'C-FTE Mar'!C15*2.65</f>
        <v>0</v>
      </c>
      <c r="D15" s="7">
        <f>'C-FTE Mar'!D15*2.65</f>
        <v>0</v>
      </c>
      <c r="E15" s="7">
        <f>'C-FTE Mar'!E15*2.65</f>
        <v>0</v>
      </c>
      <c r="F15" s="7">
        <f>'C-FTE Mar'!F15*2.65</f>
        <v>0</v>
      </c>
      <c r="G15" s="7">
        <f>'C-FTE Mar'!G15*2.65</f>
        <v>0</v>
      </c>
      <c r="H15" s="7">
        <f>'C-FTE Mar'!H15*2.65</f>
        <v>0</v>
      </c>
      <c r="I15" s="7">
        <f>'C-FTE Mar'!I15*2.65</f>
        <v>0</v>
      </c>
      <c r="J15" s="7">
        <f>'C-FTE Mar'!J15*2.65</f>
        <v>0</v>
      </c>
      <c r="K15" s="7">
        <f>'C-FTE Mar'!K15*2.65</f>
        <v>0</v>
      </c>
      <c r="L15" s="7">
        <f>'C-FTE Mar'!L15*2.65</f>
        <v>0</v>
      </c>
      <c r="M15" s="7">
        <f>'C-FTE Mar'!M15*2.65</f>
        <v>0</v>
      </c>
      <c r="N15" s="7">
        <f>'C-FTE Mar'!N15*2.65</f>
        <v>0</v>
      </c>
      <c r="O15" s="7">
        <f>'C-FTE Mar'!O15*2.65</f>
        <v>0</v>
      </c>
      <c r="P15" s="7">
        <f>'C-FTE Mar'!P15*2.65</f>
        <v>0</v>
      </c>
      <c r="Q15" s="7">
        <f>'C-FTE Mar'!Q15*2.65</f>
        <v>0</v>
      </c>
      <c r="R15" s="7">
        <f>'C-FTE Mar'!R15*2.65</f>
        <v>0</v>
      </c>
      <c r="S15" s="7">
        <f>'C-FTE Mar'!S15*2.65</f>
        <v>0</v>
      </c>
      <c r="T15" s="7">
        <f>'C-FTE Mar'!T15*2.65</f>
        <v>0</v>
      </c>
      <c r="U15" s="7">
        <f>'C-FTE Mar'!U15*2.65</f>
        <v>0</v>
      </c>
      <c r="V15" s="7">
        <f>'C-FTE Mar'!V15*2.65</f>
        <v>0</v>
      </c>
      <c r="W15" s="7">
        <f>'C-FTE Mar'!W15*2.65</f>
        <v>0</v>
      </c>
      <c r="X15" s="7">
        <f>'C-FTE Mar'!X15*2.65</f>
        <v>0</v>
      </c>
      <c r="Y15" s="7">
        <f>'C-FTE Mar'!Y15*2.65</f>
        <v>0</v>
      </c>
      <c r="Z15" s="7">
        <f>'C-FTE Mar'!Z15*2.65</f>
        <v>0</v>
      </c>
      <c r="AA15" s="7">
        <f>'C-FTE Mar'!AA15*2.65</f>
        <v>0</v>
      </c>
      <c r="AB15" s="7">
        <f>'C-FTE Mar'!AB15*2.65</f>
        <v>0</v>
      </c>
      <c r="AC15" s="7">
        <f>'C-FTE Mar'!AC15*2.65</f>
        <v>0</v>
      </c>
      <c r="AD15" s="7">
        <f>'C-FTE Mar'!AD15*2.65</f>
        <v>0</v>
      </c>
      <c r="AE15" s="7">
        <f>'C-FTE Mar'!AE15*2.65</f>
        <v>0</v>
      </c>
      <c r="AF15" s="7">
        <f>'C-FTE Mar'!AF15*2.65</f>
        <v>0</v>
      </c>
    </row>
    <row r="16" spans="1:32" x14ac:dyDescent="0.25">
      <c r="A16" s="3" t="s">
        <v>21</v>
      </c>
      <c r="B16" s="7">
        <f>'C-FTE Mar'!B16*2.65</f>
        <v>0</v>
      </c>
      <c r="C16" s="7">
        <f>'C-FTE Mar'!C16*2.65</f>
        <v>0</v>
      </c>
      <c r="D16" s="7">
        <f>'C-FTE Mar'!D16*2.65</f>
        <v>0</v>
      </c>
      <c r="E16" s="7">
        <f>'C-FTE Mar'!E16*2.65</f>
        <v>0</v>
      </c>
      <c r="F16" s="7">
        <f>'C-FTE Mar'!F16*2.65</f>
        <v>0</v>
      </c>
      <c r="G16" s="7">
        <f>'C-FTE Mar'!G16*2.65</f>
        <v>0</v>
      </c>
      <c r="H16" s="7">
        <f>'C-FTE Mar'!H16*2.65</f>
        <v>0</v>
      </c>
      <c r="I16" s="7">
        <f>'C-FTE Mar'!I16*2.65</f>
        <v>0</v>
      </c>
      <c r="J16" s="7">
        <f>'C-FTE Mar'!J16*2.65</f>
        <v>0</v>
      </c>
      <c r="K16" s="7">
        <f>'C-FTE Mar'!K16*2.65</f>
        <v>0</v>
      </c>
      <c r="L16" s="7">
        <f>'C-FTE Mar'!L16*2.65</f>
        <v>0</v>
      </c>
      <c r="M16" s="7">
        <f>'C-FTE Mar'!M16*2.65</f>
        <v>0</v>
      </c>
      <c r="N16" s="7">
        <f>'C-FTE Mar'!N16*2.65</f>
        <v>0</v>
      </c>
      <c r="O16" s="7">
        <f>'C-FTE Mar'!O16*2.65</f>
        <v>0</v>
      </c>
      <c r="P16" s="7">
        <f>'C-FTE Mar'!P16*2.65</f>
        <v>0</v>
      </c>
      <c r="Q16" s="7">
        <f>'C-FTE Mar'!Q16*2.65</f>
        <v>0</v>
      </c>
      <c r="R16" s="7">
        <f>'C-FTE Mar'!R16*2.65</f>
        <v>0</v>
      </c>
      <c r="S16" s="7">
        <f>'C-FTE Mar'!S16*2.65</f>
        <v>0</v>
      </c>
      <c r="T16" s="7">
        <f>'C-FTE Mar'!T16*2.65</f>
        <v>0</v>
      </c>
      <c r="U16" s="7">
        <f>'C-FTE Mar'!U16*2.65</f>
        <v>0</v>
      </c>
      <c r="V16" s="7">
        <f>'C-FTE Mar'!V16*2.65</f>
        <v>0</v>
      </c>
      <c r="W16" s="7">
        <f>'C-FTE Mar'!W16*2.65</f>
        <v>0</v>
      </c>
      <c r="X16" s="7">
        <f>'C-FTE Mar'!X16*2.65</f>
        <v>0</v>
      </c>
      <c r="Y16" s="7">
        <f>'C-FTE Mar'!Y16*2.65</f>
        <v>0</v>
      </c>
      <c r="Z16" s="7">
        <f>'C-FTE Mar'!Z16*2.65</f>
        <v>0</v>
      </c>
      <c r="AA16" s="7">
        <f>'C-FTE Mar'!AA16*2.65</f>
        <v>0</v>
      </c>
      <c r="AB16" s="7">
        <f>'C-FTE Mar'!AB16*2.65</f>
        <v>0</v>
      </c>
      <c r="AC16" s="7">
        <f>'C-FTE Mar'!AC16*2.65</f>
        <v>0</v>
      </c>
      <c r="AD16" s="7">
        <f>'C-FTE Mar'!AD16*2.65</f>
        <v>0</v>
      </c>
      <c r="AE16" s="7">
        <f>'C-FTE Mar'!AE16*2.65</f>
        <v>0</v>
      </c>
      <c r="AF16" s="7">
        <f>'C-FTE Mar'!AF16*2.65</f>
        <v>0</v>
      </c>
    </row>
    <row r="17" spans="1:32" x14ac:dyDescent="0.25">
      <c r="A17" s="3" t="s">
        <v>22</v>
      </c>
      <c r="B17" s="7">
        <f>'C-FTE Mar'!B17*2.65</f>
        <v>0</v>
      </c>
      <c r="C17" s="7">
        <f>'C-FTE Mar'!C17*2.65</f>
        <v>0</v>
      </c>
      <c r="D17" s="7">
        <f>'C-FTE Mar'!D17*2.65</f>
        <v>0</v>
      </c>
      <c r="E17" s="7">
        <f>'C-FTE Mar'!E17*2.65</f>
        <v>0</v>
      </c>
      <c r="F17" s="7">
        <f>'C-FTE Mar'!F17*2.65</f>
        <v>0</v>
      </c>
      <c r="G17" s="7">
        <f>'C-FTE Mar'!G17*2.65</f>
        <v>0</v>
      </c>
      <c r="H17" s="7">
        <f>'C-FTE Mar'!H17*2.65</f>
        <v>0</v>
      </c>
      <c r="I17" s="7">
        <f>'C-FTE Mar'!I17*2.65</f>
        <v>0</v>
      </c>
      <c r="J17" s="7">
        <f>'C-FTE Mar'!J17*2.65</f>
        <v>0</v>
      </c>
      <c r="K17" s="7">
        <f>'C-FTE Mar'!K17*2.65</f>
        <v>0</v>
      </c>
      <c r="L17" s="7">
        <f>'C-FTE Mar'!L17*2.65</f>
        <v>0</v>
      </c>
      <c r="M17" s="7">
        <f>'C-FTE Mar'!M17*2.65</f>
        <v>0</v>
      </c>
      <c r="N17" s="7">
        <f>'C-FTE Mar'!N17*2.65</f>
        <v>0</v>
      </c>
      <c r="O17" s="7">
        <f>'C-FTE Mar'!O17*2.65</f>
        <v>0</v>
      </c>
      <c r="P17" s="7">
        <f>'C-FTE Mar'!P17*2.65</f>
        <v>0</v>
      </c>
      <c r="Q17" s="7">
        <f>'C-FTE Mar'!Q17*2.65</f>
        <v>0</v>
      </c>
      <c r="R17" s="7">
        <f>'C-FTE Mar'!R17*2.65</f>
        <v>0</v>
      </c>
      <c r="S17" s="7">
        <f>'C-FTE Mar'!S17*2.65</f>
        <v>0</v>
      </c>
      <c r="T17" s="7">
        <f>'C-FTE Mar'!T17*2.65</f>
        <v>0</v>
      </c>
      <c r="U17" s="7">
        <f>'C-FTE Mar'!U17*2.65</f>
        <v>0</v>
      </c>
      <c r="V17" s="7">
        <f>'C-FTE Mar'!V17*2.65</f>
        <v>0</v>
      </c>
      <c r="W17" s="7">
        <f>'C-FTE Mar'!W17*2.65</f>
        <v>0</v>
      </c>
      <c r="X17" s="7">
        <f>'C-FTE Mar'!X17*2.65</f>
        <v>0</v>
      </c>
      <c r="Y17" s="7">
        <f>'C-FTE Mar'!Y17*2.65</f>
        <v>0</v>
      </c>
      <c r="Z17" s="7">
        <f>'C-FTE Mar'!Z17*2.65</f>
        <v>0</v>
      </c>
      <c r="AA17" s="7">
        <f>'C-FTE Mar'!AA17*2.65</f>
        <v>0</v>
      </c>
      <c r="AB17" s="7">
        <f>'C-FTE Mar'!AB17*2.65</f>
        <v>0</v>
      </c>
      <c r="AC17" s="7">
        <f>'C-FTE Mar'!AC17*2.65</f>
        <v>0</v>
      </c>
      <c r="AD17" s="7">
        <f>'C-FTE Mar'!AD17*2.65</f>
        <v>0</v>
      </c>
      <c r="AE17" s="7">
        <f>'C-FTE Mar'!AE17*2.65</f>
        <v>0</v>
      </c>
      <c r="AF17" s="7">
        <f>'C-FTE Mar'!AF17*2.65</f>
        <v>0</v>
      </c>
    </row>
    <row r="18" spans="1:32" x14ac:dyDescent="0.25">
      <c r="A18" s="3" t="s">
        <v>23</v>
      </c>
      <c r="B18" s="7">
        <f>'C-FTE Mar'!B18*2.65</f>
        <v>0</v>
      </c>
      <c r="C18" s="7">
        <f>'C-FTE Mar'!C18*2.65</f>
        <v>0</v>
      </c>
      <c r="D18" s="7">
        <f>'C-FTE Mar'!D18*2.65</f>
        <v>0</v>
      </c>
      <c r="E18" s="7">
        <f>'C-FTE Mar'!E18*2.65</f>
        <v>0</v>
      </c>
      <c r="F18" s="7">
        <f>'C-FTE Mar'!F18*2.65</f>
        <v>0</v>
      </c>
      <c r="G18" s="7">
        <f>'C-FTE Mar'!G18*2.65</f>
        <v>0</v>
      </c>
      <c r="H18" s="7">
        <f>'C-FTE Mar'!H18*2.65</f>
        <v>0</v>
      </c>
      <c r="I18" s="7">
        <f>'C-FTE Mar'!I18*2.65</f>
        <v>0</v>
      </c>
      <c r="J18" s="7">
        <f>'C-FTE Mar'!J18*2.65</f>
        <v>0</v>
      </c>
      <c r="K18" s="7">
        <f>'C-FTE Mar'!K18*2.65</f>
        <v>0</v>
      </c>
      <c r="L18" s="7">
        <f>'C-FTE Mar'!L18*2.65</f>
        <v>0</v>
      </c>
      <c r="M18" s="7">
        <f>'C-FTE Mar'!M18*2.65</f>
        <v>0</v>
      </c>
      <c r="N18" s="7">
        <f>'C-FTE Mar'!N18*2.65</f>
        <v>0</v>
      </c>
      <c r="O18" s="7">
        <f>'C-FTE Mar'!O18*2.65</f>
        <v>0</v>
      </c>
      <c r="P18" s="7">
        <f>'C-FTE Mar'!P18*2.65</f>
        <v>0</v>
      </c>
      <c r="Q18" s="7">
        <f>'C-FTE Mar'!Q18*2.65</f>
        <v>0</v>
      </c>
      <c r="R18" s="7">
        <f>'C-FTE Mar'!R18*2.65</f>
        <v>0</v>
      </c>
      <c r="S18" s="7">
        <f>'C-FTE Mar'!S18*2.65</f>
        <v>0</v>
      </c>
      <c r="T18" s="7">
        <f>'C-FTE Mar'!T18*2.65</f>
        <v>0</v>
      </c>
      <c r="U18" s="7">
        <f>'C-FTE Mar'!U18*2.65</f>
        <v>0</v>
      </c>
      <c r="V18" s="7">
        <f>'C-FTE Mar'!V18*2.65</f>
        <v>0</v>
      </c>
      <c r="W18" s="7">
        <f>'C-FTE Mar'!W18*2.65</f>
        <v>0</v>
      </c>
      <c r="X18" s="7">
        <f>'C-FTE Mar'!X18*2.65</f>
        <v>0</v>
      </c>
      <c r="Y18" s="7">
        <f>'C-FTE Mar'!Y18*2.65</f>
        <v>0</v>
      </c>
      <c r="Z18" s="7">
        <f>'C-FTE Mar'!Z18*2.65</f>
        <v>0</v>
      </c>
      <c r="AA18" s="7">
        <f>'C-FTE Mar'!AA18*2.65</f>
        <v>0</v>
      </c>
      <c r="AB18" s="7">
        <f>'C-FTE Mar'!AB18*2.65</f>
        <v>0</v>
      </c>
      <c r="AC18" s="7">
        <f>'C-FTE Mar'!AC18*2.65</f>
        <v>0</v>
      </c>
      <c r="AD18" s="7">
        <f>'C-FTE Mar'!AD18*2.65</f>
        <v>0</v>
      </c>
      <c r="AE18" s="7">
        <f>'C-FTE Mar'!AE18*2.65</f>
        <v>0</v>
      </c>
      <c r="AF18" s="7">
        <f>'C-FTE Mar'!AF18*2.65</f>
        <v>0</v>
      </c>
    </row>
    <row r="19" spans="1:32" x14ac:dyDescent="0.25">
      <c r="A19" s="3" t="s">
        <v>24</v>
      </c>
      <c r="B19" s="7">
        <f>'C-FTE Mar'!B19*2.65</f>
        <v>12.491921046923576</v>
      </c>
      <c r="C19" s="7">
        <f>'C-FTE Mar'!C19*2.65</f>
        <v>23.514204323620849</v>
      </c>
      <c r="D19" s="7">
        <f>'C-FTE Mar'!D19*2.65</f>
        <v>22.779385438507699</v>
      </c>
      <c r="E19" s="7">
        <f>'C-FTE Mar'!E19*2.65</f>
        <v>19.840109898055093</v>
      </c>
      <c r="F19" s="7">
        <f>'C-FTE Mar'!F19*2.65</f>
        <v>19.840109898055093</v>
      </c>
      <c r="G19" s="7">
        <f>'C-FTE Mar'!G19*2.65</f>
        <v>20.574928783168243</v>
      </c>
      <c r="H19" s="7">
        <f>'C-FTE Mar'!H19*2.65</f>
        <v>16.166015472489335</v>
      </c>
      <c r="I19" s="7">
        <f>'C-FTE Mar'!I19*2.65</f>
        <v>11.757102161810424</v>
      </c>
      <c r="J19" s="7">
        <f>'C-FTE Mar'!J19*2.65</f>
        <v>22.044566553394546</v>
      </c>
      <c r="K19" s="7">
        <f>'C-FTE Mar'!K19*2.65</f>
        <v>22.044566553394549</v>
      </c>
      <c r="L19" s="7">
        <f>'C-FTE Mar'!L19*2.65</f>
        <v>19.10529101294194</v>
      </c>
      <c r="M19" s="7">
        <f>'C-FTE Mar'!M19*2.65</f>
        <v>19.105291012941937</v>
      </c>
      <c r="N19" s="7">
        <f>'C-FTE Mar'!N19*2.65</f>
        <v>19.840109898055093</v>
      </c>
      <c r="O19" s="7">
        <f>'C-FTE Mar'!O19*2.65</f>
        <v>15.431196587376183</v>
      </c>
      <c r="P19" s="7">
        <f>'C-FTE Mar'!P19*2.65</f>
        <v>11.757102161810426</v>
      </c>
      <c r="Q19" s="7">
        <f>'C-FTE Mar'!Q19*2.65</f>
        <v>21.309747668281396</v>
      </c>
      <c r="R19" s="7">
        <f>'C-FTE Mar'!R19*2.65</f>
        <v>21.309747668281396</v>
      </c>
      <c r="S19" s="7">
        <f>'C-FTE Mar'!S19*2.65</f>
        <v>18.370472127828787</v>
      </c>
      <c r="T19" s="7">
        <f>'C-FTE Mar'!T19*2.65</f>
        <v>19.10529101294194</v>
      </c>
      <c r="U19" s="7">
        <f>'C-FTE Mar'!U19*2.65</f>
        <v>19.840109898055097</v>
      </c>
      <c r="V19" s="7">
        <f>'C-FTE Mar'!V19*2.65</f>
        <v>15.431196587376183</v>
      </c>
      <c r="W19" s="7">
        <f>'C-FTE Mar'!W19*2.65</f>
        <v>11.022283276697273</v>
      </c>
      <c r="X19" s="7">
        <f>'C-FTE Mar'!X19*2.65</f>
        <v>21.309747668281396</v>
      </c>
      <c r="Y19" s="7">
        <f>'C-FTE Mar'!Y19*2.65</f>
        <v>21.3097476682814</v>
      </c>
      <c r="Z19" s="7">
        <f>'C-FTE Mar'!Z19*2.65</f>
        <v>18.370472127828791</v>
      </c>
      <c r="AA19" s="7">
        <f>'C-FTE Mar'!AA19*2.65</f>
        <v>19.10529101294194</v>
      </c>
      <c r="AB19" s="7">
        <f>'C-FTE Mar'!AB19*2.65</f>
        <v>19.840109898055097</v>
      </c>
      <c r="AC19" s="7">
        <f>'C-FTE Mar'!AC19*2.65</f>
        <v>15.431196587376183</v>
      </c>
      <c r="AD19" s="7">
        <f>'C-FTE Mar'!AD19*2.65</f>
        <v>11.757102161810426</v>
      </c>
      <c r="AE19" s="7">
        <f>'C-FTE Mar'!AE19*2.65</f>
        <v>22.044566553394546</v>
      </c>
      <c r="AF19" s="7">
        <f>'C-FTE Mar'!AF19*2.65</f>
        <v>21.309747668281396</v>
      </c>
    </row>
    <row r="20" spans="1:32" x14ac:dyDescent="0.25">
      <c r="A20" s="3" t="s">
        <v>25</v>
      </c>
      <c r="B20" s="7">
        <f>'C-FTE Mar'!B20*2.65</f>
        <v>15.431196587376183</v>
      </c>
      <c r="C20" s="7">
        <f>'C-FTE Mar'!C20*2.65</f>
        <v>29.392755404526064</v>
      </c>
      <c r="D20" s="7">
        <f>'C-FTE Mar'!D20*2.65</f>
        <v>28.657936519412914</v>
      </c>
      <c r="E20" s="7">
        <f>'C-FTE Mar'!E20*2.65</f>
        <v>24.983842093847155</v>
      </c>
      <c r="F20" s="7">
        <f>'C-FTE Mar'!F20*2.65</f>
        <v>24.983842093847155</v>
      </c>
      <c r="G20" s="7">
        <f>'C-FTE Mar'!G20*2.65</f>
        <v>24.249023208734002</v>
      </c>
      <c r="H20" s="7">
        <f>'C-FTE Mar'!H20*2.65</f>
        <v>18.370472127828791</v>
      </c>
      <c r="I20" s="7">
        <f>'C-FTE Mar'!I20*2.65</f>
        <v>14.696377702263032</v>
      </c>
      <c r="J20" s="7">
        <f>'C-FTE Mar'!J20*2.65</f>
        <v>27.923117634299757</v>
      </c>
      <c r="K20" s="7">
        <f>'C-FTE Mar'!K20*2.65</f>
        <v>27.188298749186611</v>
      </c>
      <c r="L20" s="7">
        <f>'C-FTE Mar'!L20*2.65</f>
        <v>23.514204323620849</v>
      </c>
      <c r="M20" s="7">
        <f>'C-FTE Mar'!M20*2.65</f>
        <v>24.249023208734002</v>
      </c>
      <c r="N20" s="7">
        <f>'C-FTE Mar'!N20*2.65</f>
        <v>23.514204323620852</v>
      </c>
      <c r="O20" s="7">
        <f>'C-FTE Mar'!O20*2.65</f>
        <v>17.635653242715637</v>
      </c>
      <c r="P20" s="7">
        <f>'C-FTE Mar'!P20*2.65</f>
        <v>13.96155881714988</v>
      </c>
      <c r="Q20" s="7">
        <f>'C-FTE Mar'!Q20*2.65</f>
        <v>27.188298749186611</v>
      </c>
      <c r="R20" s="7">
        <f>'C-FTE Mar'!R20*2.65</f>
        <v>26.453479864073458</v>
      </c>
      <c r="S20" s="7">
        <f>'C-FTE Mar'!S20*2.65</f>
        <v>23.514204323620852</v>
      </c>
      <c r="T20" s="7">
        <f>'C-FTE Mar'!T20*2.65</f>
        <v>23.514204323620849</v>
      </c>
      <c r="U20" s="7">
        <f>'C-FTE Mar'!U20*2.65</f>
        <v>22.779385438507703</v>
      </c>
      <c r="V20" s="7">
        <f>'C-FTE Mar'!V20*2.65</f>
        <v>17.635653242715641</v>
      </c>
      <c r="W20" s="7">
        <f>'C-FTE Mar'!W20*2.65</f>
        <v>13.961558817149879</v>
      </c>
      <c r="X20" s="7">
        <f>'C-FTE Mar'!X20*2.65</f>
        <v>27.188298749186607</v>
      </c>
      <c r="Y20" s="7">
        <f>'C-FTE Mar'!Y20*2.65</f>
        <v>26.453479864073461</v>
      </c>
      <c r="Z20" s="7">
        <f>'C-FTE Mar'!Z20*2.65</f>
        <v>23.514204323620852</v>
      </c>
      <c r="AA20" s="7">
        <f>'C-FTE Mar'!AA20*2.65</f>
        <v>23.514204323620852</v>
      </c>
      <c r="AB20" s="7">
        <f>'C-FTE Mar'!AB20*2.65</f>
        <v>22.779385438507703</v>
      </c>
      <c r="AC20" s="7">
        <f>'C-FTE Mar'!AC20*2.65</f>
        <v>17.635653242715637</v>
      </c>
      <c r="AD20" s="7">
        <f>'C-FTE Mar'!AD20*2.65</f>
        <v>13.96155881714988</v>
      </c>
      <c r="AE20" s="7">
        <f>'C-FTE Mar'!AE20*2.65</f>
        <v>27.923117634299761</v>
      </c>
      <c r="AF20" s="7">
        <f>'C-FTE Mar'!AF20*2.65</f>
        <v>27.188298749186611</v>
      </c>
    </row>
    <row r="21" spans="1:32" x14ac:dyDescent="0.25">
      <c r="A21" s="3" t="s">
        <v>26</v>
      </c>
      <c r="B21" s="7">
        <f>'C-FTE Mar'!B21*2.65</f>
        <v>19.10529101294194</v>
      </c>
      <c r="C21" s="7">
        <f>'C-FTE Mar'!C21*2.65</f>
        <v>41.884676451449643</v>
      </c>
      <c r="D21" s="7">
        <f>'C-FTE Mar'!D21*2.65</f>
        <v>38.21058202588388</v>
      </c>
      <c r="E21" s="7">
        <f>'C-FTE Mar'!E21*2.65</f>
        <v>33.066849830091819</v>
      </c>
      <c r="F21" s="7">
        <f>'C-FTE Mar'!F21*2.65</f>
        <v>33.066849830091819</v>
      </c>
      <c r="G21" s="7">
        <f>'C-FTE Mar'!G21*2.65</f>
        <v>31.59721205986552</v>
      </c>
      <c r="H21" s="7">
        <f>'C-FTE Mar'!H21*2.65</f>
        <v>23.514204323620852</v>
      </c>
      <c r="I21" s="7">
        <f>'C-FTE Mar'!I21*2.65</f>
        <v>17.635653242715634</v>
      </c>
      <c r="J21" s="7">
        <f>'C-FTE Mar'!J21*2.65</f>
        <v>39.68021979611018</v>
      </c>
      <c r="K21" s="7">
        <f>'C-FTE Mar'!K21*2.65</f>
        <v>36.740944255657588</v>
      </c>
      <c r="L21" s="7">
        <f>'C-FTE Mar'!L21*2.65</f>
        <v>31.597212059865516</v>
      </c>
      <c r="M21" s="7">
        <f>'C-FTE Mar'!M21*2.65</f>
        <v>32.332030944978669</v>
      </c>
      <c r="N21" s="7">
        <f>'C-FTE Mar'!N21*2.65</f>
        <v>30.127574289639217</v>
      </c>
      <c r="O21" s="7">
        <f>'C-FTE Mar'!O21*2.65</f>
        <v>22.779385438507699</v>
      </c>
      <c r="P21" s="7">
        <f>'C-FTE Mar'!P21*2.65</f>
        <v>17.635653242715641</v>
      </c>
      <c r="Q21" s="7">
        <f>'C-FTE Mar'!Q21*2.65</f>
        <v>38.94540091099703</v>
      </c>
      <c r="R21" s="7">
        <f>'C-FTE Mar'!R21*2.65</f>
        <v>36.006125370544432</v>
      </c>
      <c r="S21" s="7">
        <f>'C-FTE Mar'!S21*2.65</f>
        <v>30.86239317475237</v>
      </c>
      <c r="T21" s="7">
        <f>'C-FTE Mar'!T21*2.65</f>
        <v>31.597212059865516</v>
      </c>
      <c r="U21" s="7">
        <f>'C-FTE Mar'!U21*2.65</f>
        <v>30.127574289639217</v>
      </c>
      <c r="V21" s="7">
        <f>'C-FTE Mar'!V21*2.65</f>
        <v>22.044566553394546</v>
      </c>
      <c r="W21" s="7">
        <f>'C-FTE Mar'!W21*2.65</f>
        <v>16.900834357602484</v>
      </c>
      <c r="X21" s="7">
        <f>'C-FTE Mar'!X21*2.65</f>
        <v>38.21058202588388</v>
      </c>
      <c r="Y21" s="7">
        <f>'C-FTE Mar'!Y21*2.65</f>
        <v>35.271306485431282</v>
      </c>
      <c r="Z21" s="7">
        <f>'C-FTE Mar'!Z21*2.65</f>
        <v>30.86239317475237</v>
      </c>
      <c r="AA21" s="7">
        <f>'C-FTE Mar'!AA21*2.65</f>
        <v>31.59721205986552</v>
      </c>
      <c r="AB21" s="7">
        <f>'C-FTE Mar'!AB21*2.65</f>
        <v>30.12757428963922</v>
      </c>
      <c r="AC21" s="7">
        <f>'C-FTE Mar'!AC21*2.65</f>
        <v>22.779385438507699</v>
      </c>
      <c r="AD21" s="7">
        <f>'C-FTE Mar'!AD21*2.65</f>
        <v>17.635653242715637</v>
      </c>
      <c r="AE21" s="7">
        <f>'C-FTE Mar'!AE21*2.65</f>
        <v>38.94540091099703</v>
      </c>
      <c r="AF21" s="7">
        <f>'C-FTE Mar'!AF21*2.65</f>
        <v>36.006125370544424</v>
      </c>
    </row>
    <row r="22" spans="1:32" x14ac:dyDescent="0.25">
      <c r="A22" s="3" t="s">
        <v>27</v>
      </c>
      <c r="B22" s="7">
        <f>'C-FTE Mar'!B22*2.65</f>
        <v>22.779385438507695</v>
      </c>
      <c r="C22" s="7">
        <f>'C-FTE Mar'!C22*2.65</f>
        <v>53.641778613260072</v>
      </c>
      <c r="D22" s="7">
        <f>'C-FTE Mar'!D22*2.65</f>
        <v>49.232865302581168</v>
      </c>
      <c r="E22" s="7">
        <f>'C-FTE Mar'!E22*2.65</f>
        <v>41.149857566336486</v>
      </c>
      <c r="F22" s="7">
        <f>'C-FTE Mar'!F22*2.65</f>
        <v>42.619495336562792</v>
      </c>
      <c r="G22" s="7">
        <f>'C-FTE Mar'!G22*2.65</f>
        <v>40.415038681223336</v>
      </c>
      <c r="H22" s="7">
        <f>'C-FTE Mar'!H22*2.65</f>
        <v>29.392755404526064</v>
      </c>
      <c r="I22" s="7">
        <f>'C-FTE Mar'!I22*2.65</f>
        <v>21.309747668281393</v>
      </c>
      <c r="J22" s="7">
        <f>'C-FTE Mar'!J22*2.65</f>
        <v>51.437321957920609</v>
      </c>
      <c r="K22" s="7">
        <f>'C-FTE Mar'!K22*2.65</f>
        <v>47.028408647241704</v>
      </c>
      <c r="L22" s="7">
        <f>'C-FTE Mar'!L22*2.65</f>
        <v>38.94540091099703</v>
      </c>
      <c r="M22" s="7">
        <f>'C-FTE Mar'!M22*2.65</f>
        <v>40.415038681223329</v>
      </c>
      <c r="N22" s="7">
        <f>'C-FTE Mar'!N22*2.65</f>
        <v>38.945400910997037</v>
      </c>
      <c r="O22" s="7">
        <f>'C-FTE Mar'!O22*2.65</f>
        <v>28.65793651941291</v>
      </c>
      <c r="P22" s="7">
        <f>'C-FTE Mar'!P22*2.65</f>
        <v>21.309747668281396</v>
      </c>
      <c r="Q22" s="7">
        <f>'C-FTE Mar'!Q22*2.65</f>
        <v>49.96768418769431</v>
      </c>
      <c r="R22" s="7">
        <f>'C-FTE Mar'!R22*2.65</f>
        <v>46.293589762128548</v>
      </c>
      <c r="S22" s="7">
        <f>'C-FTE Mar'!S22*2.65</f>
        <v>38.21058202588388</v>
      </c>
      <c r="T22" s="7">
        <f>'C-FTE Mar'!T22*2.65</f>
        <v>39.68021979611018</v>
      </c>
      <c r="U22" s="7">
        <f>'C-FTE Mar'!U22*2.65</f>
        <v>38.21058202588388</v>
      </c>
      <c r="V22" s="7">
        <f>'C-FTE Mar'!V22*2.65</f>
        <v>27.923117634299761</v>
      </c>
      <c r="W22" s="7">
        <f>'C-FTE Mar'!W22*2.65</f>
        <v>20.574928783168243</v>
      </c>
      <c r="X22" s="7">
        <f>'C-FTE Mar'!X22*2.65</f>
        <v>49.232865302581153</v>
      </c>
      <c r="Y22" s="7">
        <f>'C-FTE Mar'!Y22*2.65</f>
        <v>45.558770877015405</v>
      </c>
      <c r="Z22" s="7">
        <f>'C-FTE Mar'!Z22*2.65</f>
        <v>38.21058202588388</v>
      </c>
      <c r="AA22" s="7">
        <f>'C-FTE Mar'!AA22*2.65</f>
        <v>39.680219796110194</v>
      </c>
      <c r="AB22" s="7">
        <f>'C-FTE Mar'!AB22*2.65</f>
        <v>38.21058202588388</v>
      </c>
      <c r="AC22" s="7">
        <f>'C-FTE Mar'!AC22*2.65</f>
        <v>28.65793651941291</v>
      </c>
      <c r="AD22" s="7">
        <f>'C-FTE Mar'!AD22*2.65</f>
        <v>20.574928783168243</v>
      </c>
      <c r="AE22" s="7">
        <f>'C-FTE Mar'!AE22*2.65</f>
        <v>49.96768418769431</v>
      </c>
      <c r="AF22" s="7">
        <f>'C-FTE Mar'!AF22*2.65</f>
        <v>46.293589762128548</v>
      </c>
    </row>
    <row r="23" spans="1:32" x14ac:dyDescent="0.25">
      <c r="A23" s="3" t="s">
        <v>28</v>
      </c>
      <c r="B23" s="7">
        <f>'C-FTE Mar'!B23*2.65</f>
        <v>28.657936519412914</v>
      </c>
      <c r="C23" s="7">
        <f>'C-FTE Mar'!C23*2.65</f>
        <v>62.459605234617882</v>
      </c>
      <c r="D23" s="7">
        <f>'C-FTE Mar'!D23*2.65</f>
        <v>59.520329694165277</v>
      </c>
      <c r="E23" s="7">
        <f>'C-FTE Mar'!E23*2.65</f>
        <v>48.498046417468004</v>
      </c>
      <c r="F23" s="7">
        <f>'C-FTE Mar'!F23*2.65</f>
        <v>49.232865302581153</v>
      </c>
      <c r="G23" s="7">
        <f>'C-FTE Mar'!G23*2.65</f>
        <v>49.96768418769431</v>
      </c>
      <c r="H23" s="7">
        <f>'C-FTE Mar'!H23*2.65</f>
        <v>36.740944255657581</v>
      </c>
      <c r="I23" s="7">
        <f>'C-FTE Mar'!I23*2.65</f>
        <v>27.188298749186607</v>
      </c>
      <c r="J23" s="7">
        <f>'C-FTE Mar'!J23*2.65</f>
        <v>59.52032969416527</v>
      </c>
      <c r="K23" s="7">
        <f>'C-FTE Mar'!K23*2.65</f>
        <v>56.581054153712671</v>
      </c>
      <c r="L23" s="7">
        <f>'C-FTE Mar'!L23*2.65</f>
        <v>46.293589762128541</v>
      </c>
      <c r="M23" s="7">
        <f>'C-FTE Mar'!M23*2.65</f>
        <v>47.763227532354847</v>
      </c>
      <c r="N23" s="7">
        <f>'C-FTE Mar'!N23*2.65</f>
        <v>47.763227532354861</v>
      </c>
      <c r="O23" s="7">
        <f>'C-FTE Mar'!O23*2.65</f>
        <v>35.271306485431275</v>
      </c>
      <c r="P23" s="7">
        <f>'C-FTE Mar'!P23*2.65</f>
        <v>26.453479864073458</v>
      </c>
      <c r="Q23" s="7">
        <f>'C-FTE Mar'!Q23*2.65</f>
        <v>58.050691923938984</v>
      </c>
      <c r="R23" s="7">
        <f>'C-FTE Mar'!R23*2.65</f>
        <v>55.111416383486365</v>
      </c>
      <c r="S23" s="7">
        <f>'C-FTE Mar'!S23*2.65</f>
        <v>45.558770877015398</v>
      </c>
      <c r="T23" s="7">
        <f>'C-FTE Mar'!T23*2.65</f>
        <v>46.293589762128541</v>
      </c>
      <c r="U23" s="7">
        <f>'C-FTE Mar'!U23*2.65</f>
        <v>47.028408647241704</v>
      </c>
      <c r="V23" s="7">
        <f>'C-FTE Mar'!V23*2.65</f>
        <v>34.536487600318125</v>
      </c>
      <c r="W23" s="7">
        <f>'C-FTE Mar'!W23*2.65</f>
        <v>25.718660978960305</v>
      </c>
      <c r="X23" s="7">
        <f>'C-FTE Mar'!X23*2.65</f>
        <v>57.315873038825821</v>
      </c>
      <c r="Y23" s="7">
        <f>'C-FTE Mar'!Y23*2.65</f>
        <v>55.111416383486379</v>
      </c>
      <c r="Z23" s="7">
        <f>'C-FTE Mar'!Z23*2.65</f>
        <v>45.558770877015405</v>
      </c>
      <c r="AA23" s="7">
        <f>'C-FTE Mar'!AA23*2.65</f>
        <v>46.293589762128548</v>
      </c>
      <c r="AB23" s="7">
        <f>'C-FTE Mar'!AB23*2.65</f>
        <v>47.028408647241704</v>
      </c>
      <c r="AC23" s="7">
        <f>'C-FTE Mar'!AC23*2.65</f>
        <v>34.536487600318125</v>
      </c>
      <c r="AD23" s="7">
        <f>'C-FTE Mar'!AD23*2.65</f>
        <v>26.453479864073458</v>
      </c>
      <c r="AE23" s="7">
        <f>'C-FTE Mar'!AE23*2.65</f>
        <v>58.05069192393897</v>
      </c>
      <c r="AF23" s="7">
        <f>'C-FTE Mar'!AF23*2.65</f>
        <v>55.846235268599521</v>
      </c>
    </row>
    <row r="24" spans="1:32" x14ac:dyDescent="0.25">
      <c r="A24" s="3" t="s">
        <v>29</v>
      </c>
      <c r="B24" s="7">
        <f>'C-FTE Mar'!B24*2.65</f>
        <v>35.271306485431275</v>
      </c>
      <c r="C24" s="7">
        <f>'C-FTE Mar'!C24*2.65</f>
        <v>72.012250741088849</v>
      </c>
      <c r="D24" s="7">
        <f>'C-FTE Mar'!D24*2.65</f>
        <v>68.338156315523108</v>
      </c>
      <c r="E24" s="7">
        <f>'C-FTE Mar'!E24*2.65</f>
        <v>55.111416383486365</v>
      </c>
      <c r="F24" s="7">
        <f>'C-FTE Mar'!F24*2.65</f>
        <v>56.581054153712671</v>
      </c>
      <c r="G24" s="7">
        <f>'C-FTE Mar'!G24*2.65</f>
        <v>58.785510809052127</v>
      </c>
      <c r="H24" s="7">
        <f>'C-FTE Mar'!H24*2.65</f>
        <v>43.354314221675942</v>
      </c>
      <c r="I24" s="7">
        <f>'C-FTE Mar'!I24*2.65</f>
        <v>33.801668715204968</v>
      </c>
      <c r="J24" s="7">
        <f>'C-FTE Mar'!J24*2.65</f>
        <v>68.338156315523094</v>
      </c>
      <c r="K24" s="7">
        <f>'C-FTE Mar'!K24*2.65</f>
        <v>65.398880775070495</v>
      </c>
      <c r="L24" s="7">
        <f>'C-FTE Mar'!L24*2.65</f>
        <v>52.906959728146916</v>
      </c>
      <c r="M24" s="7">
        <f>'C-FTE Mar'!M24*2.65</f>
        <v>54.376597498373201</v>
      </c>
      <c r="N24" s="7">
        <f>'C-FTE Mar'!N24*2.65</f>
        <v>56.581054153712671</v>
      </c>
      <c r="O24" s="7">
        <f>'C-FTE Mar'!O24*2.65</f>
        <v>41.884676451449636</v>
      </c>
      <c r="P24" s="7">
        <f>'C-FTE Mar'!P24*2.65</f>
        <v>32.332030944978676</v>
      </c>
      <c r="Q24" s="7">
        <f>'C-FTE Mar'!Q24*2.65</f>
        <v>66.868518545296794</v>
      </c>
      <c r="R24" s="7">
        <f>'C-FTE Mar'!R24*2.65</f>
        <v>63.929243004844182</v>
      </c>
      <c r="S24" s="7">
        <f>'C-FTE Mar'!S24*2.65</f>
        <v>51.437321957920609</v>
      </c>
      <c r="T24" s="7">
        <f>'C-FTE Mar'!T24*2.65</f>
        <v>52.906959728146916</v>
      </c>
      <c r="U24" s="7">
        <f>'C-FTE Mar'!U24*2.65</f>
        <v>55.111416383486365</v>
      </c>
      <c r="V24" s="7">
        <f>'C-FTE Mar'!V24*2.65</f>
        <v>41.149857566336486</v>
      </c>
      <c r="W24" s="7">
        <f>'C-FTE Mar'!W24*2.65</f>
        <v>32.332030944978669</v>
      </c>
      <c r="X24" s="7">
        <f>'C-FTE Mar'!X24*2.65</f>
        <v>66.133699660183638</v>
      </c>
      <c r="Y24" s="7">
        <f>'C-FTE Mar'!Y24*2.65</f>
        <v>63.194424119731046</v>
      </c>
      <c r="Z24" s="7">
        <f>'C-FTE Mar'!Z24*2.65</f>
        <v>51.437321957920616</v>
      </c>
      <c r="AA24" s="7">
        <f>'C-FTE Mar'!AA24*2.65</f>
        <v>52.906959728146923</v>
      </c>
      <c r="AB24" s="7">
        <f>'C-FTE Mar'!AB24*2.65</f>
        <v>55.846235268599521</v>
      </c>
      <c r="AC24" s="7">
        <f>'C-FTE Mar'!AC24*2.65</f>
        <v>41.884676451449636</v>
      </c>
      <c r="AD24" s="7">
        <f>'C-FTE Mar'!AD24*2.65</f>
        <v>32.332030944978669</v>
      </c>
      <c r="AE24" s="7">
        <f>'C-FTE Mar'!AE24*2.65</f>
        <v>66.868518545296794</v>
      </c>
      <c r="AF24" s="7">
        <f>'C-FTE Mar'!AF24*2.65</f>
        <v>64.664061889957352</v>
      </c>
    </row>
    <row r="25" spans="1:32" x14ac:dyDescent="0.25">
      <c r="A25" s="3" t="s">
        <v>30</v>
      </c>
      <c r="B25" s="7">
        <f>'C-FTE Mar'!B25*2.65</f>
        <v>38.94540091099703</v>
      </c>
      <c r="C25" s="7">
        <f>'C-FTE Mar'!C25*2.65</f>
        <v>81.564896247559815</v>
      </c>
      <c r="D25" s="7">
        <f>'C-FTE Mar'!D25*2.65</f>
        <v>76.421164051767761</v>
      </c>
      <c r="E25" s="7">
        <f>'C-FTE Mar'!E25*2.65</f>
        <v>59.520329694165277</v>
      </c>
      <c r="F25" s="7">
        <f>'C-FTE Mar'!F25*2.65</f>
        <v>63.194424119731039</v>
      </c>
      <c r="G25" s="7">
        <f>'C-FTE Mar'!G25*2.65</f>
        <v>63.194424119731039</v>
      </c>
      <c r="H25" s="7">
        <f>'C-FTE Mar'!H25*2.65</f>
        <v>48.498046417468004</v>
      </c>
      <c r="I25" s="7">
        <f>'C-FTE Mar'!I25*2.65</f>
        <v>36.740944255657574</v>
      </c>
      <c r="J25" s="7">
        <f>'C-FTE Mar'!J25*2.65</f>
        <v>77.155982936880918</v>
      </c>
      <c r="K25" s="7">
        <f>'C-FTE Mar'!K25*2.65</f>
        <v>72.747069626202006</v>
      </c>
      <c r="L25" s="7">
        <f>'C-FTE Mar'!L25*2.65</f>
        <v>56.581054153712664</v>
      </c>
      <c r="M25" s="7">
        <f>'C-FTE Mar'!M25*2.65</f>
        <v>60.255148579278412</v>
      </c>
      <c r="N25" s="7">
        <f>'C-FTE Mar'!N25*2.65</f>
        <v>60.98996746439159</v>
      </c>
      <c r="O25" s="7">
        <f>'C-FTE Mar'!O25*2.65</f>
        <v>47.028408647241704</v>
      </c>
      <c r="P25" s="7">
        <f>'C-FTE Mar'!P25*2.65</f>
        <v>36.006125370544424</v>
      </c>
      <c r="Q25" s="7">
        <f>'C-FTE Mar'!Q25*2.65</f>
        <v>74.951526281541476</v>
      </c>
      <c r="R25" s="7">
        <f>'C-FTE Mar'!R25*2.65</f>
        <v>70.542612970862564</v>
      </c>
      <c r="S25" s="7">
        <f>'C-FTE Mar'!S25*2.65</f>
        <v>55.846235268599521</v>
      </c>
      <c r="T25" s="7">
        <f>'C-FTE Mar'!T25*2.65</f>
        <v>58.785510809052127</v>
      </c>
      <c r="U25" s="7">
        <f>'C-FTE Mar'!U25*2.65</f>
        <v>60.255148579278433</v>
      </c>
      <c r="V25" s="7">
        <f>'C-FTE Mar'!V25*2.65</f>
        <v>46.293589762128541</v>
      </c>
      <c r="W25" s="7">
        <f>'C-FTE Mar'!W25*2.65</f>
        <v>35.271306485431275</v>
      </c>
      <c r="X25" s="7">
        <f>'C-FTE Mar'!X25*2.65</f>
        <v>74.951526281541462</v>
      </c>
      <c r="Y25" s="7">
        <f>'C-FTE Mar'!Y25*2.65</f>
        <v>70.542612970862564</v>
      </c>
      <c r="Z25" s="7">
        <f>'C-FTE Mar'!Z25*2.65</f>
        <v>55.111416383486379</v>
      </c>
      <c r="AA25" s="7">
        <f>'C-FTE Mar'!AA25*2.65</f>
        <v>59.520329694165291</v>
      </c>
      <c r="AB25" s="7">
        <f>'C-FTE Mar'!AB25*2.65</f>
        <v>60.25514857927844</v>
      </c>
      <c r="AC25" s="7">
        <f>'C-FTE Mar'!AC25*2.65</f>
        <v>46.293589762128548</v>
      </c>
      <c r="AD25" s="7">
        <f>'C-FTE Mar'!AD25*2.65</f>
        <v>36.006125370544432</v>
      </c>
      <c r="AE25" s="7">
        <f>'C-FTE Mar'!AE25*2.65</f>
        <v>75.686345166654618</v>
      </c>
      <c r="AF25" s="7">
        <f>'C-FTE Mar'!AF25*2.65</f>
        <v>71.277431855975706</v>
      </c>
    </row>
    <row r="26" spans="1:32" x14ac:dyDescent="0.25">
      <c r="A26" s="3" t="s">
        <v>31</v>
      </c>
      <c r="B26" s="7">
        <f>'C-FTE Mar'!B26*2.65</f>
        <v>41.149857566336486</v>
      </c>
      <c r="C26" s="7">
        <f>'C-FTE Mar'!C26*2.65</f>
        <v>87.443447328465041</v>
      </c>
      <c r="D26" s="7">
        <f>'C-FTE Mar'!D26*2.65</f>
        <v>81.56489624755983</v>
      </c>
      <c r="E26" s="7">
        <f>'C-FTE Mar'!E26*2.65</f>
        <v>62.459605234617882</v>
      </c>
      <c r="F26" s="7">
        <f>'C-FTE Mar'!F26*2.65</f>
        <v>65.398880775070495</v>
      </c>
      <c r="G26" s="7">
        <f>'C-FTE Mar'!G26*2.65</f>
        <v>66.868518545296794</v>
      </c>
      <c r="H26" s="7">
        <f>'C-FTE Mar'!H26*2.65</f>
        <v>52.172140843033759</v>
      </c>
      <c r="I26" s="7">
        <f>'C-FTE Mar'!I26*2.65</f>
        <v>38.94540091099703</v>
      </c>
      <c r="J26" s="7">
        <f>'C-FTE Mar'!J26*2.65</f>
        <v>83.769352902899271</v>
      </c>
      <c r="K26" s="7">
        <f>'C-FTE Mar'!K26*2.65</f>
        <v>77.890801821994089</v>
      </c>
      <c r="L26" s="7">
        <f>'C-FTE Mar'!L26*2.65</f>
        <v>60.255148579278426</v>
      </c>
      <c r="M26" s="7">
        <f>'C-FTE Mar'!M26*2.65</f>
        <v>62.459605234617875</v>
      </c>
      <c r="N26" s="7">
        <f>'C-FTE Mar'!N26*2.65</f>
        <v>64.664061889957352</v>
      </c>
      <c r="O26" s="7">
        <f>'C-FTE Mar'!O26*2.65</f>
        <v>50.702503072807453</v>
      </c>
      <c r="P26" s="7">
        <f>'C-FTE Mar'!P26*2.65</f>
        <v>37.475763140770738</v>
      </c>
      <c r="Q26" s="7">
        <f>'C-FTE Mar'!Q26*2.65</f>
        <v>80.830077362446673</v>
      </c>
      <c r="R26" s="7">
        <f>'C-FTE Mar'!R26*2.65</f>
        <v>76.421164051767761</v>
      </c>
      <c r="S26" s="7">
        <f>'C-FTE Mar'!S26*2.65</f>
        <v>58.785510809052127</v>
      </c>
      <c r="T26" s="7">
        <f>'C-FTE Mar'!T26*2.65</f>
        <v>60.989967464391569</v>
      </c>
      <c r="U26" s="7">
        <f>'C-FTE Mar'!U26*2.65</f>
        <v>63.194424119731046</v>
      </c>
      <c r="V26" s="7">
        <f>'C-FTE Mar'!V26*2.65</f>
        <v>49.96768418769431</v>
      </c>
      <c r="W26" s="7">
        <f>'C-FTE Mar'!W26*2.65</f>
        <v>37.475763140770724</v>
      </c>
      <c r="X26" s="7">
        <f>'C-FTE Mar'!X26*2.65</f>
        <v>80.830077362446687</v>
      </c>
      <c r="Y26" s="7">
        <f>'C-FTE Mar'!Y26*2.65</f>
        <v>75.686345166654618</v>
      </c>
      <c r="Z26" s="7">
        <f>'C-FTE Mar'!Z26*2.65</f>
        <v>58.785510809052134</v>
      </c>
      <c r="AA26" s="7">
        <f>'C-FTE Mar'!AA26*2.65</f>
        <v>60.98996746439159</v>
      </c>
      <c r="AB26" s="7">
        <f>'C-FTE Mar'!AB26*2.65</f>
        <v>63.929243004844196</v>
      </c>
      <c r="AC26" s="7">
        <f>'C-FTE Mar'!AC26*2.65</f>
        <v>49.967684187694303</v>
      </c>
      <c r="AD26" s="7">
        <f>'C-FTE Mar'!AD26*2.65</f>
        <v>37.475763140770731</v>
      </c>
      <c r="AE26" s="7">
        <f>'C-FTE Mar'!AE26*2.65</f>
        <v>81.56489624755983</v>
      </c>
      <c r="AF26" s="7">
        <f>'C-FTE Mar'!AF26*2.65</f>
        <v>77.155982936880918</v>
      </c>
    </row>
    <row r="27" spans="1:32" x14ac:dyDescent="0.25">
      <c r="A27" s="3" t="s">
        <v>32</v>
      </c>
      <c r="B27" s="7">
        <f>'C-FTE Mar'!B27*2.65</f>
        <v>42.619495336562785</v>
      </c>
      <c r="C27" s="7">
        <f>'C-FTE Mar'!C27*2.65</f>
        <v>88.178266213578183</v>
      </c>
      <c r="D27" s="7">
        <f>'C-FTE Mar'!D27*2.65</f>
        <v>85.238990673125585</v>
      </c>
      <c r="E27" s="7">
        <f>'C-FTE Mar'!E27*2.65</f>
        <v>66.868518545296794</v>
      </c>
      <c r="F27" s="7">
        <f>'C-FTE Mar'!F27*2.65</f>
        <v>64.664061889957352</v>
      </c>
      <c r="G27" s="7">
        <f>'C-FTE Mar'!G27*2.65</f>
        <v>69.807794085749407</v>
      </c>
      <c r="H27" s="7">
        <f>'C-FTE Mar'!H27*2.65</f>
        <v>53.641778613260058</v>
      </c>
      <c r="I27" s="7">
        <f>'C-FTE Mar'!I27*2.65</f>
        <v>40.415038681223336</v>
      </c>
      <c r="J27" s="7">
        <f>'C-FTE Mar'!J27*2.65</f>
        <v>83.769352902899271</v>
      </c>
      <c r="K27" s="7">
        <f>'C-FTE Mar'!K27*2.65</f>
        <v>80.830077362446687</v>
      </c>
      <c r="L27" s="7">
        <f>'C-FTE Mar'!L27*2.65</f>
        <v>63.929243004844182</v>
      </c>
      <c r="M27" s="7">
        <f>'C-FTE Mar'!M27*2.65</f>
        <v>61.724786349504726</v>
      </c>
      <c r="N27" s="7">
        <f>'C-FTE Mar'!N27*2.65</f>
        <v>66.868518545296794</v>
      </c>
      <c r="O27" s="7">
        <f>'C-FTE Mar'!O27*2.65</f>
        <v>51.437321957920609</v>
      </c>
      <c r="P27" s="7">
        <f>'C-FTE Mar'!P27*2.65</f>
        <v>38.945400910997044</v>
      </c>
      <c r="Q27" s="7">
        <f>'C-FTE Mar'!Q27*2.65</f>
        <v>81.56489624755983</v>
      </c>
      <c r="R27" s="7">
        <f>'C-FTE Mar'!R27*2.65</f>
        <v>79.360439592220374</v>
      </c>
      <c r="S27" s="7">
        <f>'C-FTE Mar'!S27*2.65</f>
        <v>62.459605234617896</v>
      </c>
      <c r="T27" s="7">
        <f>'C-FTE Mar'!T27*2.65</f>
        <v>60.989967464391569</v>
      </c>
      <c r="U27" s="7">
        <f>'C-FTE Mar'!U27*2.65</f>
        <v>66.133699660183652</v>
      </c>
      <c r="V27" s="7">
        <f>'C-FTE Mar'!V27*2.65</f>
        <v>51.437321957920616</v>
      </c>
      <c r="W27" s="7">
        <f>'C-FTE Mar'!W27*2.65</f>
        <v>38.945400910997037</v>
      </c>
      <c r="X27" s="7">
        <f>'C-FTE Mar'!X27*2.65</f>
        <v>80.830077362446687</v>
      </c>
      <c r="Y27" s="7">
        <f>'C-FTE Mar'!Y27*2.65</f>
        <v>78.625620707107231</v>
      </c>
      <c r="Z27" s="7">
        <f>'C-FTE Mar'!Z27*2.65</f>
        <v>62.459605234617896</v>
      </c>
      <c r="AA27" s="7">
        <f>'C-FTE Mar'!AA27*2.65</f>
        <v>60.98996746439159</v>
      </c>
      <c r="AB27" s="7">
        <f>'C-FTE Mar'!AB27*2.65</f>
        <v>66.133699660183638</v>
      </c>
      <c r="AC27" s="7">
        <f>'C-FTE Mar'!AC27*2.65</f>
        <v>51.437321957920609</v>
      </c>
      <c r="AD27" s="7">
        <f>'C-FTE Mar'!AD27*2.65</f>
        <v>38.94540091099703</v>
      </c>
      <c r="AE27" s="7">
        <f>'C-FTE Mar'!AE27*2.65</f>
        <v>82.299715132672972</v>
      </c>
      <c r="AF27" s="7">
        <f>'C-FTE Mar'!AF27*2.65</f>
        <v>80.09525847733353</v>
      </c>
    </row>
    <row r="28" spans="1:32" x14ac:dyDescent="0.25">
      <c r="A28" s="3" t="s">
        <v>33</v>
      </c>
      <c r="B28" s="7">
        <f>'C-FTE Mar'!B28*2.65</f>
        <v>45.558770877015391</v>
      </c>
      <c r="C28" s="7">
        <f>'C-FTE Mar'!C28*2.65</f>
        <v>90.382722868917625</v>
      </c>
      <c r="D28" s="7">
        <f>'C-FTE Mar'!D28*2.65</f>
        <v>86.708628443351884</v>
      </c>
      <c r="E28" s="7">
        <f>'C-FTE Mar'!E28*2.65</f>
        <v>74.951526281541462</v>
      </c>
      <c r="F28" s="7">
        <f>'C-FTE Mar'!F28*2.65</f>
        <v>66.868518545296794</v>
      </c>
      <c r="G28" s="7">
        <f>'C-FTE Mar'!G28*2.65</f>
        <v>69.807794085749407</v>
      </c>
      <c r="H28" s="7">
        <f>'C-FTE Mar'!H28*2.65</f>
        <v>55.846235268599521</v>
      </c>
      <c r="I28" s="7">
        <f>'C-FTE Mar'!I28*2.65</f>
        <v>43.354314221675935</v>
      </c>
      <c r="J28" s="7">
        <f>'C-FTE Mar'!J28*2.65</f>
        <v>85.973809558238727</v>
      </c>
      <c r="K28" s="7">
        <f>'C-FTE Mar'!K28*2.65</f>
        <v>83.034534017786143</v>
      </c>
      <c r="L28" s="7">
        <f>'C-FTE Mar'!L28*2.65</f>
        <v>72.012250741088849</v>
      </c>
      <c r="M28" s="7">
        <f>'C-FTE Mar'!M28*2.65</f>
        <v>64.664061889957338</v>
      </c>
      <c r="N28" s="7">
        <f>'C-FTE Mar'!N28*2.65</f>
        <v>66.868518545296794</v>
      </c>
      <c r="O28" s="7">
        <f>'C-FTE Mar'!O28*2.65</f>
        <v>53.641778613260072</v>
      </c>
      <c r="P28" s="7">
        <f>'C-FTE Mar'!P28*2.65</f>
        <v>41.884676451449643</v>
      </c>
      <c r="Q28" s="7">
        <f>'C-FTE Mar'!Q28*2.65</f>
        <v>83.769352902899286</v>
      </c>
      <c r="R28" s="7">
        <f>'C-FTE Mar'!R28*2.65</f>
        <v>80.830077362446673</v>
      </c>
      <c r="S28" s="7">
        <f>'C-FTE Mar'!S28*2.65</f>
        <v>69.807794085749407</v>
      </c>
      <c r="T28" s="7">
        <f>'C-FTE Mar'!T28*2.65</f>
        <v>63.194424119731032</v>
      </c>
      <c r="U28" s="7">
        <f>'C-FTE Mar'!U28*2.65</f>
        <v>66.133699660183652</v>
      </c>
      <c r="V28" s="7">
        <f>'C-FTE Mar'!V28*2.65</f>
        <v>53.641778613260072</v>
      </c>
      <c r="W28" s="7">
        <f>'C-FTE Mar'!W28*2.65</f>
        <v>41.884676451449636</v>
      </c>
      <c r="X28" s="7">
        <f>'C-FTE Mar'!X28*2.65</f>
        <v>83.034534017786129</v>
      </c>
      <c r="Y28" s="7">
        <f>'C-FTE Mar'!Y28*2.65</f>
        <v>80.09525847733353</v>
      </c>
      <c r="Z28" s="7">
        <f>'C-FTE Mar'!Z28*2.65</f>
        <v>69.807794085749407</v>
      </c>
      <c r="AA28" s="7">
        <f>'C-FTE Mar'!AA28*2.65</f>
        <v>63.194424119731039</v>
      </c>
      <c r="AB28" s="7">
        <f>'C-FTE Mar'!AB28*2.65</f>
        <v>66.133699660183638</v>
      </c>
      <c r="AC28" s="7">
        <f>'C-FTE Mar'!AC28*2.65</f>
        <v>53.641778613260072</v>
      </c>
      <c r="AD28" s="7">
        <f>'C-FTE Mar'!AD28*2.65</f>
        <v>41.884676451449636</v>
      </c>
      <c r="AE28" s="7">
        <f>'C-FTE Mar'!AE28*2.65</f>
        <v>84.504171788012428</v>
      </c>
      <c r="AF28" s="7">
        <f>'C-FTE Mar'!AF28*2.65</f>
        <v>81.56489624755983</v>
      </c>
    </row>
    <row r="29" spans="1:32" x14ac:dyDescent="0.25">
      <c r="A29" s="3" t="s">
        <v>34</v>
      </c>
      <c r="B29" s="7">
        <f>'C-FTE Mar'!B29*2.65</f>
        <v>52.172140843033759</v>
      </c>
      <c r="C29" s="7">
        <f>'C-FTE Mar'!C29*2.65</f>
        <v>99.935368375388606</v>
      </c>
      <c r="D29" s="7">
        <f>'C-FTE Mar'!D29*2.65</f>
        <v>89.647903983804511</v>
      </c>
      <c r="E29" s="7">
        <f>'C-FTE Mar'!E29*2.65</f>
        <v>84.504171788012442</v>
      </c>
      <c r="F29" s="7">
        <f>'C-FTE Mar'!F29*2.65</f>
        <v>74.951526281541476</v>
      </c>
      <c r="G29" s="7">
        <f>'C-FTE Mar'!G29*2.65</f>
        <v>72.747069626202006</v>
      </c>
      <c r="H29" s="7">
        <f>'C-FTE Mar'!H29*2.65</f>
        <v>61.724786349504733</v>
      </c>
      <c r="I29" s="7">
        <f>'C-FTE Mar'!I29*2.65</f>
        <v>49.967684187694303</v>
      </c>
      <c r="J29" s="7">
        <f>'C-FTE Mar'!J29*2.65</f>
        <v>95.526455064709694</v>
      </c>
      <c r="K29" s="7">
        <f>'C-FTE Mar'!K29*2.65</f>
        <v>85.238990673125585</v>
      </c>
      <c r="L29" s="7">
        <f>'C-FTE Mar'!L29*2.65</f>
        <v>80.830077362446673</v>
      </c>
      <c r="M29" s="7">
        <f>'C-FTE Mar'!M29*2.65</f>
        <v>72.012250741088849</v>
      </c>
      <c r="N29" s="7">
        <f>'C-FTE Mar'!N29*2.65</f>
        <v>69.807794085749407</v>
      </c>
      <c r="O29" s="7">
        <f>'C-FTE Mar'!O29*2.65</f>
        <v>59.520329694165277</v>
      </c>
      <c r="P29" s="7">
        <f>'C-FTE Mar'!P29*2.65</f>
        <v>48.498046417468011</v>
      </c>
      <c r="Q29" s="7">
        <f>'C-FTE Mar'!Q29*2.65</f>
        <v>92.587179524257095</v>
      </c>
      <c r="R29" s="7">
        <f>'C-FTE Mar'!R29*2.65</f>
        <v>83.034534017786143</v>
      </c>
      <c r="S29" s="7">
        <f>'C-FTE Mar'!S29*2.65</f>
        <v>78.625620707107217</v>
      </c>
      <c r="T29" s="7">
        <f>'C-FTE Mar'!T29*2.65</f>
        <v>70.542612970862535</v>
      </c>
      <c r="U29" s="7">
        <f>'C-FTE Mar'!U29*2.65</f>
        <v>69.072975200636265</v>
      </c>
      <c r="V29" s="7">
        <f>'C-FTE Mar'!V29*2.65</f>
        <v>58.785510809052127</v>
      </c>
      <c r="W29" s="7">
        <f>'C-FTE Mar'!W29*2.65</f>
        <v>47.763227532354861</v>
      </c>
      <c r="X29" s="7">
        <f>'C-FTE Mar'!X29*2.65</f>
        <v>91.852360639143953</v>
      </c>
      <c r="Y29" s="7">
        <f>'C-FTE Mar'!Y29*2.65</f>
        <v>83.034534017786143</v>
      </c>
      <c r="Z29" s="7">
        <f>'C-FTE Mar'!Z29*2.65</f>
        <v>78.625620707107231</v>
      </c>
      <c r="AA29" s="7">
        <f>'C-FTE Mar'!AA29*2.65</f>
        <v>70.542612970862564</v>
      </c>
      <c r="AB29" s="7">
        <f>'C-FTE Mar'!AB29*2.65</f>
        <v>69.072975200636265</v>
      </c>
      <c r="AC29" s="7">
        <f>'C-FTE Mar'!AC29*2.65</f>
        <v>58.785510809052127</v>
      </c>
      <c r="AD29" s="7">
        <f>'C-FTE Mar'!AD29*2.65</f>
        <v>48.498046417468004</v>
      </c>
      <c r="AE29" s="7">
        <f>'C-FTE Mar'!AE29*2.65</f>
        <v>92.587179524257081</v>
      </c>
      <c r="AF29" s="7">
        <f>'C-FTE Mar'!AF29*2.65</f>
        <v>84.504171788012428</v>
      </c>
    </row>
    <row r="30" spans="1:32" x14ac:dyDescent="0.25">
      <c r="A30" s="3" t="s">
        <v>35</v>
      </c>
      <c r="B30" s="7">
        <f>'C-FTE Mar'!B30*2.65</f>
        <v>56.581054153712671</v>
      </c>
      <c r="C30" s="7">
        <f>'C-FTE Mar'!C30*2.65</f>
        <v>106.54873834140697</v>
      </c>
      <c r="D30" s="7">
        <f>'C-FTE Mar'!D30*2.65</f>
        <v>91.852360639143953</v>
      </c>
      <c r="E30" s="7">
        <f>'C-FTE Mar'!E30*2.65</f>
        <v>88.91308509869134</v>
      </c>
      <c r="F30" s="7">
        <f>'C-FTE Mar'!F30*2.65</f>
        <v>80.09525847733353</v>
      </c>
      <c r="G30" s="7">
        <f>'C-FTE Mar'!G30*2.65</f>
        <v>78.625620707107217</v>
      </c>
      <c r="H30" s="7">
        <f>'C-FTE Mar'!H30*2.65</f>
        <v>63.929243004844196</v>
      </c>
      <c r="I30" s="7">
        <f>'C-FTE Mar'!I30*2.65</f>
        <v>53.641778613260058</v>
      </c>
      <c r="J30" s="7">
        <f>'C-FTE Mar'!J30*2.65</f>
        <v>101.40500614561491</v>
      </c>
      <c r="K30" s="7">
        <f>'C-FTE Mar'!K30*2.65</f>
        <v>87.443447328465055</v>
      </c>
      <c r="L30" s="7">
        <f>'C-FTE Mar'!L30*2.65</f>
        <v>85.238990673125585</v>
      </c>
      <c r="M30" s="7">
        <f>'C-FTE Mar'!M30*2.65</f>
        <v>76.421164051767747</v>
      </c>
      <c r="N30" s="7">
        <f>'C-FTE Mar'!N30*2.65</f>
        <v>75.686345166654618</v>
      </c>
      <c r="O30" s="7">
        <f>'C-FTE Mar'!O30*2.65</f>
        <v>61.724786349504733</v>
      </c>
      <c r="P30" s="7">
        <f>'C-FTE Mar'!P30*2.65</f>
        <v>52.172140843033773</v>
      </c>
      <c r="Q30" s="7">
        <f>'C-FTE Mar'!Q30*2.65</f>
        <v>98.465730605162307</v>
      </c>
      <c r="R30" s="7">
        <f>'C-FTE Mar'!R30*2.65</f>
        <v>85.238990673125585</v>
      </c>
      <c r="S30" s="7">
        <f>'C-FTE Mar'!S30*2.65</f>
        <v>83.034534017786129</v>
      </c>
      <c r="T30" s="7">
        <f>'C-FTE Mar'!T30*2.65</f>
        <v>74.951526281541462</v>
      </c>
      <c r="U30" s="7">
        <f>'C-FTE Mar'!U30*2.65</f>
        <v>74.216707396428319</v>
      </c>
      <c r="V30" s="7">
        <f>'C-FTE Mar'!V30*2.65</f>
        <v>60.989967464391576</v>
      </c>
      <c r="W30" s="7">
        <f>'C-FTE Mar'!W30*2.65</f>
        <v>51.437321957920609</v>
      </c>
      <c r="X30" s="7">
        <f>'C-FTE Mar'!X30*2.65</f>
        <v>97.73091172004915</v>
      </c>
      <c r="Y30" s="7">
        <f>'C-FTE Mar'!Y30*2.65</f>
        <v>85.238990673125599</v>
      </c>
      <c r="Z30" s="7">
        <f>'C-FTE Mar'!Z30*2.65</f>
        <v>83.034534017786129</v>
      </c>
      <c r="AA30" s="7">
        <f>'C-FTE Mar'!AA30*2.65</f>
        <v>74.951526281541476</v>
      </c>
      <c r="AB30" s="7">
        <f>'C-FTE Mar'!AB30*2.65</f>
        <v>74.951526281541476</v>
      </c>
      <c r="AC30" s="7">
        <f>'C-FTE Mar'!AC30*2.65</f>
        <v>61.724786349504733</v>
      </c>
      <c r="AD30" s="7">
        <f>'C-FTE Mar'!AD30*2.65</f>
        <v>52.172140843033759</v>
      </c>
      <c r="AE30" s="7">
        <f>'C-FTE Mar'!AE30*2.65</f>
        <v>99.200549490275463</v>
      </c>
      <c r="AF30" s="7">
        <f>'C-FTE Mar'!AF30*2.65</f>
        <v>86.708628443351884</v>
      </c>
    </row>
    <row r="31" spans="1:32" x14ac:dyDescent="0.25">
      <c r="A31" s="3" t="s">
        <v>36</v>
      </c>
      <c r="B31" s="7">
        <f>'C-FTE Mar'!B31*2.65</f>
        <v>55.111416383486365</v>
      </c>
      <c r="C31" s="7">
        <f>'C-FTE Mar'!C31*2.65</f>
        <v>108.01837611163326</v>
      </c>
      <c r="D31" s="7">
        <f>'C-FTE Mar'!D31*2.65</f>
        <v>91.852360639143953</v>
      </c>
      <c r="E31" s="7">
        <f>'C-FTE Mar'!E31*2.65</f>
        <v>85.973809558238742</v>
      </c>
      <c r="F31" s="7">
        <f>'C-FTE Mar'!F31*2.65</f>
        <v>80.09525847733353</v>
      </c>
      <c r="G31" s="7">
        <f>'C-FTE Mar'!G31*2.65</f>
        <v>79.360439592220374</v>
      </c>
      <c r="H31" s="7">
        <f>'C-FTE Mar'!H31*2.65</f>
        <v>63.194424119731039</v>
      </c>
      <c r="I31" s="7">
        <f>'C-FTE Mar'!I31*2.65</f>
        <v>52.172140843033752</v>
      </c>
      <c r="J31" s="7">
        <f>'C-FTE Mar'!J31*2.65</f>
        <v>102.87464391584122</v>
      </c>
      <c r="K31" s="7">
        <f>'C-FTE Mar'!K31*2.65</f>
        <v>87.443447328465055</v>
      </c>
      <c r="L31" s="7">
        <f>'C-FTE Mar'!L31*2.65</f>
        <v>82.299715132672972</v>
      </c>
      <c r="M31" s="7">
        <f>'C-FTE Mar'!M31*2.65</f>
        <v>77.155982936880903</v>
      </c>
      <c r="N31" s="7">
        <f>'C-FTE Mar'!N31*2.65</f>
        <v>76.421164051767761</v>
      </c>
      <c r="O31" s="7">
        <f>'C-FTE Mar'!O31*2.65</f>
        <v>60.989967464391576</v>
      </c>
      <c r="P31" s="7">
        <f>'C-FTE Mar'!P31*2.65</f>
        <v>50.702503072807467</v>
      </c>
      <c r="Q31" s="7">
        <f>'C-FTE Mar'!Q31*2.65</f>
        <v>99.93536837538862</v>
      </c>
      <c r="R31" s="7">
        <f>'C-FTE Mar'!R31*2.65</f>
        <v>85.238990673125585</v>
      </c>
      <c r="S31" s="7">
        <f>'C-FTE Mar'!S31*2.65</f>
        <v>80.830077362446687</v>
      </c>
      <c r="T31" s="7">
        <f>'C-FTE Mar'!T31*2.65</f>
        <v>75.686345166654604</v>
      </c>
      <c r="U31" s="7">
        <f>'C-FTE Mar'!U31*2.65</f>
        <v>74.951526281541476</v>
      </c>
      <c r="V31" s="7">
        <f>'C-FTE Mar'!V31*2.65</f>
        <v>60.255148579278426</v>
      </c>
      <c r="W31" s="7">
        <f>'C-FTE Mar'!W31*2.65</f>
        <v>49.96768418769431</v>
      </c>
      <c r="X31" s="7">
        <f>'C-FTE Mar'!X31*2.65</f>
        <v>99.200549490275463</v>
      </c>
      <c r="Y31" s="7">
        <f>'C-FTE Mar'!Y31*2.65</f>
        <v>85.238990673125599</v>
      </c>
      <c r="Z31" s="7">
        <f>'C-FTE Mar'!Z31*2.65</f>
        <v>80.830077362446687</v>
      </c>
      <c r="AA31" s="7">
        <f>'C-FTE Mar'!AA31*2.65</f>
        <v>75.686345166654618</v>
      </c>
      <c r="AB31" s="7">
        <f>'C-FTE Mar'!AB31*2.65</f>
        <v>75.686345166654618</v>
      </c>
      <c r="AC31" s="7">
        <f>'C-FTE Mar'!AC31*2.65</f>
        <v>60.255148579278433</v>
      </c>
      <c r="AD31" s="7">
        <f>'C-FTE Mar'!AD31*2.65</f>
        <v>50.702503072807467</v>
      </c>
      <c r="AE31" s="7">
        <f>'C-FTE Mar'!AE31*2.65</f>
        <v>99.93536837538862</v>
      </c>
      <c r="AF31" s="7">
        <f>'C-FTE Mar'!AF31*2.65</f>
        <v>85.973809558238742</v>
      </c>
    </row>
    <row r="32" spans="1:32" x14ac:dyDescent="0.25">
      <c r="A32" s="3" t="s">
        <v>37</v>
      </c>
      <c r="B32" s="7">
        <f>'C-FTE Mar'!B32*2.65</f>
        <v>52.906959728146916</v>
      </c>
      <c r="C32" s="7">
        <f>'C-FTE Mar'!C32*2.65</f>
        <v>106.54873834140697</v>
      </c>
      <c r="D32" s="7">
        <f>'C-FTE Mar'!D32*2.65</f>
        <v>88.178266213578198</v>
      </c>
      <c r="E32" s="7">
        <f>'C-FTE Mar'!E32*2.65</f>
        <v>80.830077362446673</v>
      </c>
      <c r="F32" s="7">
        <f>'C-FTE Mar'!F32*2.65</f>
        <v>77.155982936880918</v>
      </c>
      <c r="G32" s="7">
        <f>'C-FTE Mar'!G32*2.65</f>
        <v>76.421164051767761</v>
      </c>
      <c r="H32" s="7">
        <f>'C-FTE Mar'!H32*2.65</f>
        <v>60.255148579278426</v>
      </c>
      <c r="I32" s="7">
        <f>'C-FTE Mar'!I32*2.65</f>
        <v>49.967684187694303</v>
      </c>
      <c r="J32" s="7">
        <f>'C-FTE Mar'!J32*2.65</f>
        <v>101.40500614561491</v>
      </c>
      <c r="K32" s="7">
        <f>'C-FTE Mar'!K32*2.65</f>
        <v>83.769352902899286</v>
      </c>
      <c r="L32" s="7">
        <f>'C-FTE Mar'!L32*2.65</f>
        <v>77.155982936880918</v>
      </c>
      <c r="M32" s="7">
        <f>'C-FTE Mar'!M32*2.65</f>
        <v>74.216707396428305</v>
      </c>
      <c r="N32" s="7">
        <f>'C-FTE Mar'!N32*2.65</f>
        <v>73.481888511315162</v>
      </c>
      <c r="O32" s="7">
        <f>'C-FTE Mar'!O32*2.65</f>
        <v>58.05069192393897</v>
      </c>
      <c r="P32" s="7">
        <f>'C-FTE Mar'!P32*2.65</f>
        <v>48.498046417468011</v>
      </c>
      <c r="Q32" s="7">
        <f>'C-FTE Mar'!Q32*2.65</f>
        <v>98.465730605162307</v>
      </c>
      <c r="R32" s="7">
        <f>'C-FTE Mar'!R32*2.65</f>
        <v>81.56489624755983</v>
      </c>
      <c r="S32" s="7">
        <f>'C-FTE Mar'!S32*2.65</f>
        <v>75.686345166654618</v>
      </c>
      <c r="T32" s="7">
        <f>'C-FTE Mar'!T32*2.65</f>
        <v>72.747069626202006</v>
      </c>
      <c r="U32" s="7">
        <f>'C-FTE Mar'!U32*2.65</f>
        <v>72.012250741088849</v>
      </c>
      <c r="V32" s="7">
        <f>'C-FTE Mar'!V32*2.65</f>
        <v>57.315873038825821</v>
      </c>
      <c r="W32" s="7">
        <f>'C-FTE Mar'!W32*2.65</f>
        <v>47.763227532354861</v>
      </c>
      <c r="X32" s="7">
        <f>'C-FTE Mar'!X32*2.65</f>
        <v>96.996092834936007</v>
      </c>
      <c r="Y32" s="7">
        <f>'C-FTE Mar'!Y32*2.65</f>
        <v>81.56489624755983</v>
      </c>
      <c r="Z32" s="7">
        <f>'C-FTE Mar'!Z32*2.65</f>
        <v>74.951526281541476</v>
      </c>
      <c r="AA32" s="7">
        <f>'C-FTE Mar'!AA32*2.65</f>
        <v>72.74706962620202</v>
      </c>
      <c r="AB32" s="7">
        <f>'C-FTE Mar'!AB32*2.65</f>
        <v>72.012250741088863</v>
      </c>
      <c r="AC32" s="7">
        <f>'C-FTE Mar'!AC32*2.65</f>
        <v>57.315873038825821</v>
      </c>
      <c r="AD32" s="7">
        <f>'C-FTE Mar'!AD32*2.65</f>
        <v>48.498046417468004</v>
      </c>
      <c r="AE32" s="7">
        <f>'C-FTE Mar'!AE32*2.65</f>
        <v>98.465730605162292</v>
      </c>
      <c r="AF32" s="7">
        <f>'C-FTE Mar'!AF32*2.65</f>
        <v>83.034534017786129</v>
      </c>
    </row>
    <row r="33" spans="1:32" x14ac:dyDescent="0.25">
      <c r="A33" s="3" t="s">
        <v>38</v>
      </c>
      <c r="B33" s="7">
        <f>'C-FTE Mar'!B33*2.65</f>
        <v>52.906959728146916</v>
      </c>
      <c r="C33" s="7">
        <f>'C-FTE Mar'!C33*2.65</f>
        <v>101.40500614561493</v>
      </c>
      <c r="D33" s="7">
        <f>'C-FTE Mar'!D33*2.65</f>
        <v>84.504171788012442</v>
      </c>
      <c r="E33" s="7">
        <f>'C-FTE Mar'!E33*2.65</f>
        <v>77.155982936880918</v>
      </c>
      <c r="F33" s="7">
        <f>'C-FTE Mar'!F33*2.65</f>
        <v>72.012250741088863</v>
      </c>
      <c r="G33" s="7">
        <f>'C-FTE Mar'!G33*2.65</f>
        <v>73.481888511315148</v>
      </c>
      <c r="H33" s="7">
        <f>'C-FTE Mar'!H33*2.65</f>
        <v>57.315873038825828</v>
      </c>
      <c r="I33" s="7">
        <f>'C-FTE Mar'!I33*2.65</f>
        <v>49.967684187694303</v>
      </c>
      <c r="J33" s="7">
        <f>'C-FTE Mar'!J33*2.65</f>
        <v>96.261273949822836</v>
      </c>
      <c r="K33" s="7">
        <f>'C-FTE Mar'!K33*2.65</f>
        <v>80.830077362446687</v>
      </c>
      <c r="L33" s="7">
        <f>'C-FTE Mar'!L33*2.65</f>
        <v>74.216707396428291</v>
      </c>
      <c r="M33" s="7">
        <f>'C-FTE Mar'!M33*2.65</f>
        <v>69.072975200636236</v>
      </c>
      <c r="N33" s="7">
        <f>'C-FTE Mar'!N33*2.65</f>
        <v>70.542612970862564</v>
      </c>
      <c r="O33" s="7">
        <f>'C-FTE Mar'!O33*2.65</f>
        <v>55.111416383486365</v>
      </c>
      <c r="P33" s="7">
        <f>'C-FTE Mar'!P33*2.65</f>
        <v>48.498046417468011</v>
      </c>
      <c r="Q33" s="7">
        <f>'C-FTE Mar'!Q33*2.65</f>
        <v>93.321998409370266</v>
      </c>
      <c r="R33" s="7">
        <f>'C-FTE Mar'!R33*2.65</f>
        <v>78.625620707107231</v>
      </c>
      <c r="S33" s="7">
        <f>'C-FTE Mar'!S33*2.65</f>
        <v>72.747069626202006</v>
      </c>
      <c r="T33" s="7">
        <f>'C-FTE Mar'!T33*2.65</f>
        <v>67.603337430409937</v>
      </c>
      <c r="U33" s="7">
        <f>'C-FTE Mar'!U33*2.65</f>
        <v>69.072975200636265</v>
      </c>
      <c r="V33" s="7">
        <f>'C-FTE Mar'!V33*2.65</f>
        <v>54.376597498373222</v>
      </c>
      <c r="W33" s="7">
        <f>'C-FTE Mar'!W33*2.65</f>
        <v>47.763227532354861</v>
      </c>
      <c r="X33" s="7">
        <f>'C-FTE Mar'!X33*2.65</f>
        <v>92.587179524257095</v>
      </c>
      <c r="Y33" s="7">
        <f>'C-FTE Mar'!Y33*2.65</f>
        <v>78.625620707107231</v>
      </c>
      <c r="Z33" s="7">
        <f>'C-FTE Mar'!Z33*2.65</f>
        <v>72.747069626202006</v>
      </c>
      <c r="AA33" s="7">
        <f>'C-FTE Mar'!AA33*2.65</f>
        <v>67.603337430409951</v>
      </c>
      <c r="AB33" s="7">
        <f>'C-FTE Mar'!AB33*2.65</f>
        <v>69.807794085749407</v>
      </c>
      <c r="AC33" s="7">
        <f>'C-FTE Mar'!AC33*2.65</f>
        <v>55.111416383486365</v>
      </c>
      <c r="AD33" s="7">
        <f>'C-FTE Mar'!AD33*2.65</f>
        <v>48.498046417468004</v>
      </c>
      <c r="AE33" s="7">
        <f>'C-FTE Mar'!AE33*2.65</f>
        <v>94.056817294483395</v>
      </c>
      <c r="AF33" s="7">
        <f>'C-FTE Mar'!AF33*2.65</f>
        <v>80.09525847733353</v>
      </c>
    </row>
    <row r="34" spans="1:32" x14ac:dyDescent="0.25">
      <c r="A34" s="3" t="s">
        <v>39</v>
      </c>
      <c r="B34" s="7">
        <f>'C-FTE Mar'!B34*2.65</f>
        <v>54.376597498373215</v>
      </c>
      <c r="C34" s="7">
        <f>'C-FTE Mar'!C34*2.65</f>
        <v>102.13982503072805</v>
      </c>
      <c r="D34" s="7">
        <f>'C-FTE Mar'!D34*2.65</f>
        <v>85.973809558238727</v>
      </c>
      <c r="E34" s="7">
        <f>'C-FTE Mar'!E34*2.65</f>
        <v>77.89080182199406</v>
      </c>
      <c r="F34" s="7">
        <f>'C-FTE Mar'!F34*2.65</f>
        <v>72.012250741088863</v>
      </c>
      <c r="G34" s="7">
        <f>'C-FTE Mar'!G34*2.65</f>
        <v>74.216707396428319</v>
      </c>
      <c r="H34" s="7">
        <f>'C-FTE Mar'!H34*2.65</f>
        <v>57.315873038825828</v>
      </c>
      <c r="I34" s="7">
        <f>'C-FTE Mar'!I34*2.65</f>
        <v>51.437321957920595</v>
      </c>
      <c r="J34" s="7">
        <f>'C-FTE Mar'!J34*2.65</f>
        <v>97.73091172004915</v>
      </c>
      <c r="K34" s="7">
        <f>'C-FTE Mar'!K34*2.65</f>
        <v>82.299715132672972</v>
      </c>
      <c r="L34" s="7">
        <f>'C-FTE Mar'!L34*2.65</f>
        <v>74.951526281541447</v>
      </c>
      <c r="M34" s="7">
        <f>'C-FTE Mar'!M34*2.65</f>
        <v>69.072975200636236</v>
      </c>
      <c r="N34" s="7">
        <f>'C-FTE Mar'!N34*2.65</f>
        <v>71.277431855975706</v>
      </c>
      <c r="O34" s="7">
        <f>'C-FTE Mar'!O34*2.65</f>
        <v>55.111416383486365</v>
      </c>
      <c r="P34" s="7">
        <f>'C-FTE Mar'!P34*2.65</f>
        <v>49.96768418769431</v>
      </c>
      <c r="Q34" s="7">
        <f>'C-FTE Mar'!Q34*2.65</f>
        <v>94.791636179596551</v>
      </c>
      <c r="R34" s="7">
        <f>'C-FTE Mar'!R34*2.65</f>
        <v>80.09525847733353</v>
      </c>
      <c r="S34" s="7">
        <f>'C-FTE Mar'!S34*2.65</f>
        <v>72.747069626202006</v>
      </c>
      <c r="T34" s="7">
        <f>'C-FTE Mar'!T34*2.65</f>
        <v>67.603337430409937</v>
      </c>
      <c r="U34" s="7">
        <f>'C-FTE Mar'!U34*2.65</f>
        <v>69.807794085749407</v>
      </c>
      <c r="V34" s="7">
        <f>'C-FTE Mar'!V34*2.65</f>
        <v>54.376597498373222</v>
      </c>
      <c r="W34" s="7">
        <f>'C-FTE Mar'!W34*2.65</f>
        <v>49.232865302581153</v>
      </c>
      <c r="X34" s="7">
        <f>'C-FTE Mar'!X34*2.65</f>
        <v>94.056817294483409</v>
      </c>
      <c r="Y34" s="7">
        <f>'C-FTE Mar'!Y34*2.65</f>
        <v>79.360439592220374</v>
      </c>
      <c r="Z34" s="7">
        <f>'C-FTE Mar'!Z34*2.65</f>
        <v>72.747069626202006</v>
      </c>
      <c r="AA34" s="7">
        <f>'C-FTE Mar'!AA34*2.65</f>
        <v>67.603337430409951</v>
      </c>
      <c r="AB34" s="7">
        <f>'C-FTE Mar'!AB34*2.65</f>
        <v>70.542612970862564</v>
      </c>
      <c r="AC34" s="7">
        <f>'C-FTE Mar'!AC34*2.65</f>
        <v>55.111416383486365</v>
      </c>
      <c r="AD34" s="7">
        <f>'C-FTE Mar'!AD34*2.65</f>
        <v>49.96768418769431</v>
      </c>
      <c r="AE34" s="7">
        <f>'C-FTE Mar'!AE34*2.65</f>
        <v>94.791636179596551</v>
      </c>
      <c r="AF34" s="7">
        <f>'C-FTE Mar'!AF34*2.65</f>
        <v>80.830077362446687</v>
      </c>
    </row>
    <row r="35" spans="1:32" x14ac:dyDescent="0.25">
      <c r="A35" s="3" t="s">
        <v>40</v>
      </c>
      <c r="B35" s="7">
        <f>'C-FTE Mar'!B35*2.65</f>
        <v>57.315873038825828</v>
      </c>
      <c r="C35" s="7">
        <f>'C-FTE Mar'!C35*2.65</f>
        <v>107.28355722652014</v>
      </c>
      <c r="D35" s="7">
        <f>'C-FTE Mar'!D35*2.65</f>
        <v>88.913085098691369</v>
      </c>
      <c r="E35" s="7">
        <f>'C-FTE Mar'!E35*2.65</f>
        <v>78.625620707107231</v>
      </c>
      <c r="F35" s="7">
        <f>'C-FTE Mar'!F35*2.65</f>
        <v>76.421164051767761</v>
      </c>
      <c r="G35" s="7">
        <f>'C-FTE Mar'!G35*2.65</f>
        <v>77.155982936880918</v>
      </c>
      <c r="H35" s="7">
        <f>'C-FTE Mar'!H35*2.65</f>
        <v>58.05069192393897</v>
      </c>
      <c r="I35" s="7">
        <f>'C-FTE Mar'!I35*2.65</f>
        <v>54.376597498373215</v>
      </c>
      <c r="J35" s="7">
        <f>'C-FTE Mar'!J35*2.65</f>
        <v>102.13982503072805</v>
      </c>
      <c r="K35" s="7">
        <f>'C-FTE Mar'!K35*2.65</f>
        <v>84.504171788012442</v>
      </c>
      <c r="L35" s="7">
        <f>'C-FTE Mar'!L35*2.65</f>
        <v>75.686345166654618</v>
      </c>
      <c r="M35" s="7">
        <f>'C-FTE Mar'!M35*2.65</f>
        <v>72.747069626202006</v>
      </c>
      <c r="N35" s="7">
        <f>'C-FTE Mar'!N35*2.65</f>
        <v>74.216707396428319</v>
      </c>
      <c r="O35" s="7">
        <f>'C-FTE Mar'!O35*2.65</f>
        <v>55.846235268599521</v>
      </c>
      <c r="P35" s="7">
        <f>'C-FTE Mar'!P35*2.65</f>
        <v>52.172140843033773</v>
      </c>
      <c r="Q35" s="7">
        <f>'C-FTE Mar'!Q35*2.65</f>
        <v>99.200549490275478</v>
      </c>
      <c r="R35" s="7">
        <f>'C-FTE Mar'!R35*2.65</f>
        <v>82.299715132672972</v>
      </c>
      <c r="S35" s="7">
        <f>'C-FTE Mar'!S35*2.65</f>
        <v>73.481888511315148</v>
      </c>
      <c r="T35" s="7">
        <f>'C-FTE Mar'!T35*2.65</f>
        <v>71.277431855975692</v>
      </c>
      <c r="U35" s="7">
        <f>'C-FTE Mar'!U35*2.65</f>
        <v>73.481888511315162</v>
      </c>
      <c r="V35" s="7">
        <f>'C-FTE Mar'!V35*2.65</f>
        <v>55.111416383486365</v>
      </c>
      <c r="W35" s="7">
        <f>'C-FTE Mar'!W35*2.65</f>
        <v>52.172140843033759</v>
      </c>
      <c r="X35" s="7">
        <f>'C-FTE Mar'!X35*2.65</f>
        <v>98.465730605162307</v>
      </c>
      <c r="Y35" s="7">
        <f>'C-FTE Mar'!Y35*2.65</f>
        <v>81.56489624755983</v>
      </c>
      <c r="Z35" s="7">
        <f>'C-FTE Mar'!Z35*2.65</f>
        <v>73.481888511315162</v>
      </c>
      <c r="AA35" s="7">
        <f>'C-FTE Mar'!AA35*2.65</f>
        <v>71.277431855975706</v>
      </c>
      <c r="AB35" s="7">
        <f>'C-FTE Mar'!AB35*2.65</f>
        <v>73.481888511315162</v>
      </c>
      <c r="AC35" s="7">
        <f>'C-FTE Mar'!AC35*2.65</f>
        <v>55.846235268599521</v>
      </c>
      <c r="AD35" s="7">
        <f>'C-FTE Mar'!AD35*2.65</f>
        <v>52.172140843033759</v>
      </c>
      <c r="AE35" s="7">
        <f>'C-FTE Mar'!AE35*2.65</f>
        <v>99.93536837538862</v>
      </c>
      <c r="AF35" s="7">
        <f>'C-FTE Mar'!AF35*2.65</f>
        <v>83.034534017786129</v>
      </c>
    </row>
    <row r="36" spans="1:32" x14ac:dyDescent="0.25">
      <c r="A36" s="3" t="s">
        <v>41</v>
      </c>
      <c r="B36" s="7">
        <f>'C-FTE Mar'!B36*2.65</f>
        <v>56.581054153712671</v>
      </c>
      <c r="C36" s="7">
        <f>'C-FTE Mar'!C36*2.65</f>
        <v>102.13982503072805</v>
      </c>
      <c r="D36" s="7">
        <f>'C-FTE Mar'!D36*2.65</f>
        <v>87.443447328465055</v>
      </c>
      <c r="E36" s="7">
        <f>'C-FTE Mar'!E36*2.65</f>
        <v>78.625620707107231</v>
      </c>
      <c r="F36" s="7">
        <f>'C-FTE Mar'!F36*2.65</f>
        <v>73.481888511315162</v>
      </c>
      <c r="G36" s="7">
        <f>'C-FTE Mar'!G36*2.65</f>
        <v>76.421164051767761</v>
      </c>
      <c r="H36" s="7">
        <f>'C-FTE Mar'!H36*2.65</f>
        <v>57.315873038825828</v>
      </c>
      <c r="I36" s="7">
        <f>'C-FTE Mar'!I36*2.65</f>
        <v>54.376597498373215</v>
      </c>
      <c r="J36" s="7">
        <f>'C-FTE Mar'!J36*2.65</f>
        <v>97.73091172004915</v>
      </c>
      <c r="K36" s="7">
        <f>'C-FTE Mar'!K36*2.65</f>
        <v>83.769352902899286</v>
      </c>
      <c r="L36" s="7">
        <f>'C-FTE Mar'!L36*2.65</f>
        <v>75.686345166654618</v>
      </c>
      <c r="M36" s="7">
        <f>'C-FTE Mar'!M36*2.65</f>
        <v>70.542612970862535</v>
      </c>
      <c r="N36" s="7">
        <f>'C-FTE Mar'!N36*2.65</f>
        <v>74.216707396428319</v>
      </c>
      <c r="O36" s="7">
        <f>'C-FTE Mar'!O36*2.65</f>
        <v>55.111416383486365</v>
      </c>
      <c r="P36" s="7">
        <f>'C-FTE Mar'!P36*2.65</f>
        <v>52.172140843033773</v>
      </c>
      <c r="Q36" s="7">
        <f>'C-FTE Mar'!Q36*2.65</f>
        <v>94.791636179596551</v>
      </c>
      <c r="R36" s="7">
        <f>'C-FTE Mar'!R36*2.65</f>
        <v>81.56489624755983</v>
      </c>
      <c r="S36" s="7">
        <f>'C-FTE Mar'!S36*2.65</f>
        <v>73.481888511315148</v>
      </c>
      <c r="T36" s="7">
        <f>'C-FTE Mar'!T36*2.65</f>
        <v>69.072975200636236</v>
      </c>
      <c r="U36" s="7">
        <f>'C-FTE Mar'!U36*2.65</f>
        <v>72.747069626202006</v>
      </c>
      <c r="V36" s="7">
        <f>'C-FTE Mar'!V36*2.65</f>
        <v>54.376597498373222</v>
      </c>
      <c r="W36" s="7">
        <f>'C-FTE Mar'!W36*2.65</f>
        <v>51.437321957920609</v>
      </c>
      <c r="X36" s="7">
        <f>'C-FTE Mar'!X36*2.65</f>
        <v>94.056817294483409</v>
      </c>
      <c r="Y36" s="7">
        <f>'C-FTE Mar'!Y36*2.65</f>
        <v>80.830077362446687</v>
      </c>
      <c r="Z36" s="7">
        <f>'C-FTE Mar'!Z36*2.65</f>
        <v>73.481888511315162</v>
      </c>
      <c r="AA36" s="7">
        <f>'C-FTE Mar'!AA36*2.65</f>
        <v>69.072975200636265</v>
      </c>
      <c r="AB36" s="7">
        <f>'C-FTE Mar'!AB36*2.65</f>
        <v>72.74706962620202</v>
      </c>
      <c r="AC36" s="7">
        <f>'C-FTE Mar'!AC36*2.65</f>
        <v>55.111416383486365</v>
      </c>
      <c r="AD36" s="7">
        <f>'C-FTE Mar'!AD36*2.65</f>
        <v>52.172140843033759</v>
      </c>
      <c r="AE36" s="7">
        <f>'C-FTE Mar'!AE36*2.65</f>
        <v>95.526455064709694</v>
      </c>
      <c r="AF36" s="7">
        <f>'C-FTE Mar'!AF36*2.65</f>
        <v>82.299715132672972</v>
      </c>
    </row>
    <row r="37" spans="1:32" x14ac:dyDescent="0.25">
      <c r="A37" s="3" t="s">
        <v>42</v>
      </c>
      <c r="B37" s="7">
        <f>'C-FTE Mar'!B37*2.65</f>
        <v>52.172140843033759</v>
      </c>
      <c r="C37" s="7">
        <f>'C-FTE Mar'!C37*2.65</f>
        <v>94.056817294483395</v>
      </c>
      <c r="D37" s="7">
        <f>'C-FTE Mar'!D37*2.65</f>
        <v>84.504171788012442</v>
      </c>
      <c r="E37" s="7">
        <f>'C-FTE Mar'!E37*2.65</f>
        <v>77.155982936880918</v>
      </c>
      <c r="F37" s="7">
        <f>'C-FTE Mar'!F37*2.65</f>
        <v>69.07297520063625</v>
      </c>
      <c r="G37" s="7">
        <f>'C-FTE Mar'!G37*2.65</f>
        <v>72.012250741088849</v>
      </c>
      <c r="H37" s="7">
        <f>'C-FTE Mar'!H37*2.65</f>
        <v>54.376597498373222</v>
      </c>
      <c r="I37" s="7">
        <f>'C-FTE Mar'!I37*2.65</f>
        <v>49.967684187694303</v>
      </c>
      <c r="J37" s="7">
        <f>'C-FTE Mar'!J37*2.65</f>
        <v>89.647903983804483</v>
      </c>
      <c r="K37" s="7">
        <f>'C-FTE Mar'!K37*2.65</f>
        <v>80.830077362446687</v>
      </c>
      <c r="L37" s="7">
        <f>'C-FTE Mar'!L37*2.65</f>
        <v>74.216707396428291</v>
      </c>
      <c r="M37" s="7">
        <f>'C-FTE Mar'!M37*2.65</f>
        <v>66.133699660183638</v>
      </c>
      <c r="N37" s="7">
        <f>'C-FTE Mar'!N37*2.65</f>
        <v>69.807794085749407</v>
      </c>
      <c r="O37" s="7">
        <f>'C-FTE Mar'!O37*2.65</f>
        <v>52.172140843033759</v>
      </c>
      <c r="P37" s="7">
        <f>'C-FTE Mar'!P37*2.65</f>
        <v>48.498046417468011</v>
      </c>
      <c r="Q37" s="7">
        <f>'C-FTE Mar'!Q37*2.65</f>
        <v>86.708628443351884</v>
      </c>
      <c r="R37" s="7">
        <f>'C-FTE Mar'!R37*2.65</f>
        <v>78.625620707107231</v>
      </c>
      <c r="S37" s="7">
        <f>'C-FTE Mar'!S37*2.65</f>
        <v>72.012250741088863</v>
      </c>
      <c r="T37" s="7">
        <f>'C-FTE Mar'!T37*2.65</f>
        <v>65.398880775070495</v>
      </c>
      <c r="U37" s="7">
        <f>'C-FTE Mar'!U37*2.65</f>
        <v>68.338156315523108</v>
      </c>
      <c r="V37" s="7">
        <f>'C-FTE Mar'!V37*2.65</f>
        <v>51.437321957920616</v>
      </c>
      <c r="W37" s="7">
        <f>'C-FTE Mar'!W37*2.65</f>
        <v>47.763227532354861</v>
      </c>
      <c r="X37" s="7">
        <f>'C-FTE Mar'!X37*2.65</f>
        <v>85.973809558238727</v>
      </c>
      <c r="Y37" s="7">
        <f>'C-FTE Mar'!Y37*2.65</f>
        <v>77.890801821994074</v>
      </c>
      <c r="Z37" s="7">
        <f>'C-FTE Mar'!Z37*2.65</f>
        <v>72.012250741088863</v>
      </c>
      <c r="AA37" s="7">
        <f>'C-FTE Mar'!AA37*2.65</f>
        <v>65.398880775070495</v>
      </c>
      <c r="AB37" s="7">
        <f>'C-FTE Mar'!AB37*2.65</f>
        <v>69.072975200636265</v>
      </c>
      <c r="AC37" s="7">
        <f>'C-FTE Mar'!AC37*2.65</f>
        <v>52.172140843033759</v>
      </c>
      <c r="AD37" s="7">
        <f>'C-FTE Mar'!AD37*2.65</f>
        <v>48.498046417468004</v>
      </c>
      <c r="AE37" s="7">
        <f>'C-FTE Mar'!AE37*2.65</f>
        <v>87.443447328465041</v>
      </c>
      <c r="AF37" s="7">
        <f>'C-FTE Mar'!AF37*2.65</f>
        <v>79.360439592220359</v>
      </c>
    </row>
    <row r="38" spans="1:32" x14ac:dyDescent="0.25">
      <c r="A38" s="3" t="s">
        <v>43</v>
      </c>
      <c r="B38" s="7">
        <f>'C-FTE Mar'!B38*2.65</f>
        <v>45.558770877015391</v>
      </c>
      <c r="C38" s="7">
        <f>'C-FTE Mar'!C38*2.65</f>
        <v>86.708628443351884</v>
      </c>
      <c r="D38" s="7">
        <f>'C-FTE Mar'!D38*2.65</f>
        <v>80.09525847733353</v>
      </c>
      <c r="E38" s="7">
        <f>'C-FTE Mar'!E38*2.65</f>
        <v>72.747069626202006</v>
      </c>
      <c r="F38" s="7">
        <f>'C-FTE Mar'!F38*2.65</f>
        <v>66.133699660183638</v>
      </c>
      <c r="G38" s="7">
        <f>'C-FTE Mar'!G38*2.65</f>
        <v>64.664061889957338</v>
      </c>
      <c r="H38" s="7">
        <f>'C-FTE Mar'!H38*2.65</f>
        <v>50.702503072807453</v>
      </c>
      <c r="I38" s="7">
        <f>'C-FTE Mar'!I38*2.65</f>
        <v>43.354314221675935</v>
      </c>
      <c r="J38" s="7">
        <f>'C-FTE Mar'!J38*2.65</f>
        <v>82.299715132672972</v>
      </c>
      <c r="K38" s="7">
        <f>'C-FTE Mar'!K38*2.65</f>
        <v>76.421164051767775</v>
      </c>
      <c r="L38" s="7">
        <f>'C-FTE Mar'!L38*2.65</f>
        <v>69.072975200636236</v>
      </c>
      <c r="M38" s="7">
        <f>'C-FTE Mar'!M38*2.65</f>
        <v>63.929243004844182</v>
      </c>
      <c r="N38" s="7">
        <f>'C-FTE Mar'!N38*2.65</f>
        <v>61.72478634950474</v>
      </c>
      <c r="O38" s="7">
        <f>'C-FTE Mar'!O38*2.65</f>
        <v>49.232865302581153</v>
      </c>
      <c r="P38" s="7">
        <f>'C-FTE Mar'!P38*2.65</f>
        <v>41.884676451449643</v>
      </c>
      <c r="Q38" s="7">
        <f>'C-FTE Mar'!Q38*2.65</f>
        <v>80.09525847733353</v>
      </c>
      <c r="R38" s="7">
        <f>'C-FTE Mar'!R38*2.65</f>
        <v>74.951526281541462</v>
      </c>
      <c r="S38" s="7">
        <f>'C-FTE Mar'!S38*2.65</f>
        <v>67.603337430409937</v>
      </c>
      <c r="T38" s="7">
        <f>'C-FTE Mar'!T38*2.65</f>
        <v>62.459605234617875</v>
      </c>
      <c r="U38" s="7">
        <f>'C-FTE Mar'!U38*2.65</f>
        <v>60.98996746439159</v>
      </c>
      <c r="V38" s="7">
        <f>'C-FTE Mar'!V38*2.65</f>
        <v>48.498046417468011</v>
      </c>
      <c r="W38" s="7">
        <f>'C-FTE Mar'!W38*2.65</f>
        <v>41.149857566336486</v>
      </c>
      <c r="X38" s="7">
        <f>'C-FTE Mar'!X38*2.65</f>
        <v>79.360439592220374</v>
      </c>
      <c r="Y38" s="7">
        <f>'C-FTE Mar'!Y38*2.65</f>
        <v>74.216707396428319</v>
      </c>
      <c r="Z38" s="7">
        <f>'C-FTE Mar'!Z38*2.65</f>
        <v>67.603337430409965</v>
      </c>
      <c r="AA38" s="7">
        <f>'C-FTE Mar'!AA38*2.65</f>
        <v>62.459605234617896</v>
      </c>
      <c r="AB38" s="7">
        <f>'C-FTE Mar'!AB38*2.65</f>
        <v>60.98996746439159</v>
      </c>
      <c r="AC38" s="7">
        <f>'C-FTE Mar'!AC38*2.65</f>
        <v>48.498046417468004</v>
      </c>
      <c r="AD38" s="7">
        <f>'C-FTE Mar'!AD38*2.65</f>
        <v>41.884676451449636</v>
      </c>
      <c r="AE38" s="7">
        <f>'C-FTE Mar'!AE38*2.65</f>
        <v>80.830077362446659</v>
      </c>
      <c r="AF38" s="7">
        <f>'C-FTE Mar'!AF38*2.65</f>
        <v>75.686345166654618</v>
      </c>
    </row>
    <row r="39" spans="1:32" x14ac:dyDescent="0.25">
      <c r="A39" s="3" t="s">
        <v>44</v>
      </c>
      <c r="B39" s="7">
        <f>'C-FTE Mar'!B39*2.65</f>
        <v>42.619495336562785</v>
      </c>
      <c r="C39" s="7">
        <f>'C-FTE Mar'!C39*2.65</f>
        <v>78.625620707107217</v>
      </c>
      <c r="D39" s="7">
        <f>'C-FTE Mar'!D39*2.65</f>
        <v>73.481888511315162</v>
      </c>
      <c r="E39" s="7">
        <f>'C-FTE Mar'!E39*2.65</f>
        <v>65.398880775070495</v>
      </c>
      <c r="F39" s="7">
        <f>'C-FTE Mar'!F39*2.65</f>
        <v>59.520329694165277</v>
      </c>
      <c r="G39" s="7">
        <f>'C-FTE Mar'!G39*2.65</f>
        <v>54.376597498373215</v>
      </c>
      <c r="H39" s="7">
        <f>'C-FTE Mar'!H39*2.65</f>
        <v>46.293589762128548</v>
      </c>
      <c r="I39" s="7">
        <f>'C-FTE Mar'!I39*2.65</f>
        <v>40.415038681223336</v>
      </c>
      <c r="J39" s="7">
        <f>'C-FTE Mar'!J39*2.65</f>
        <v>74.216707396428305</v>
      </c>
      <c r="K39" s="7">
        <f>'C-FTE Mar'!K39*2.65</f>
        <v>70.542612970862564</v>
      </c>
      <c r="L39" s="7">
        <f>'C-FTE Mar'!L39*2.65</f>
        <v>62.459605234617882</v>
      </c>
      <c r="M39" s="7">
        <f>'C-FTE Mar'!M39*2.65</f>
        <v>57.315873038825821</v>
      </c>
      <c r="N39" s="7">
        <f>'C-FTE Mar'!N39*2.65</f>
        <v>52.906959728146916</v>
      </c>
      <c r="O39" s="7">
        <f>'C-FTE Mar'!O39*2.65</f>
        <v>44.823951991902241</v>
      </c>
      <c r="P39" s="7">
        <f>'C-FTE Mar'!P39*2.65</f>
        <v>38.945400910997044</v>
      </c>
      <c r="Q39" s="7">
        <f>'C-FTE Mar'!Q39*2.65</f>
        <v>72.012250741088863</v>
      </c>
      <c r="R39" s="7">
        <f>'C-FTE Mar'!R39*2.65</f>
        <v>68.338156315523094</v>
      </c>
      <c r="S39" s="7">
        <f>'C-FTE Mar'!S39*2.65</f>
        <v>60.98996746439159</v>
      </c>
      <c r="T39" s="7">
        <f>'C-FTE Mar'!T39*2.65</f>
        <v>55.846235268599521</v>
      </c>
      <c r="U39" s="7">
        <f>'C-FTE Mar'!U39*2.65</f>
        <v>51.437321957920616</v>
      </c>
      <c r="V39" s="7">
        <f>'C-FTE Mar'!V39*2.65</f>
        <v>44.089133106789092</v>
      </c>
      <c r="W39" s="7">
        <f>'C-FTE Mar'!W39*2.65</f>
        <v>38.945400910997037</v>
      </c>
      <c r="X39" s="7">
        <f>'C-FTE Mar'!X39*2.65</f>
        <v>72.012250741088849</v>
      </c>
      <c r="Y39" s="7">
        <f>'C-FTE Mar'!Y39*2.65</f>
        <v>68.338156315523108</v>
      </c>
      <c r="Z39" s="7">
        <f>'C-FTE Mar'!Z39*2.65</f>
        <v>60.989967464391597</v>
      </c>
      <c r="AA39" s="7">
        <f>'C-FTE Mar'!AA39*2.65</f>
        <v>56.581054153712671</v>
      </c>
      <c r="AB39" s="7">
        <f>'C-FTE Mar'!AB39*2.65</f>
        <v>52.172140843033773</v>
      </c>
      <c r="AC39" s="7">
        <f>'C-FTE Mar'!AC39*2.65</f>
        <v>44.089133106789092</v>
      </c>
      <c r="AD39" s="7">
        <f>'C-FTE Mar'!AD39*2.65</f>
        <v>38.94540091099703</v>
      </c>
      <c r="AE39" s="7">
        <f>'C-FTE Mar'!AE39*2.65</f>
        <v>72.747069626202006</v>
      </c>
      <c r="AF39" s="7">
        <f>'C-FTE Mar'!AF39*2.65</f>
        <v>69.07297520063625</v>
      </c>
    </row>
    <row r="40" spans="1:32" x14ac:dyDescent="0.25">
      <c r="A40" s="3" t="s">
        <v>45</v>
      </c>
      <c r="B40" s="7">
        <f>'C-FTE Mar'!B40*2.65</f>
        <v>43.354314221675935</v>
      </c>
      <c r="C40" s="7">
        <f>'C-FTE Mar'!C40*2.65</f>
        <v>71.277431855975706</v>
      </c>
      <c r="D40" s="7">
        <f>'C-FTE Mar'!D40*2.65</f>
        <v>66.133699660183638</v>
      </c>
      <c r="E40" s="7">
        <f>'C-FTE Mar'!E40*2.65</f>
        <v>58.785510809052134</v>
      </c>
      <c r="F40" s="7">
        <f>'C-FTE Mar'!F40*2.65</f>
        <v>55.111416383486365</v>
      </c>
      <c r="G40" s="7">
        <f>'C-FTE Mar'!G40*2.65</f>
        <v>49.96768418769431</v>
      </c>
      <c r="H40" s="7">
        <f>'C-FTE Mar'!H40*2.65</f>
        <v>41.149857566336486</v>
      </c>
      <c r="I40" s="7">
        <f>'C-FTE Mar'!I40*2.65</f>
        <v>41.149857566336486</v>
      </c>
      <c r="J40" s="7">
        <f>'C-FTE Mar'!J40*2.65</f>
        <v>68.338156315523094</v>
      </c>
      <c r="K40" s="7">
        <f>'C-FTE Mar'!K40*2.65</f>
        <v>63.194424119731039</v>
      </c>
      <c r="L40" s="7">
        <f>'C-FTE Mar'!L40*2.65</f>
        <v>55.846235268599514</v>
      </c>
      <c r="M40" s="7">
        <f>'C-FTE Mar'!M40*2.65</f>
        <v>52.906959728146909</v>
      </c>
      <c r="N40" s="7">
        <f>'C-FTE Mar'!N40*2.65</f>
        <v>48.498046417468004</v>
      </c>
      <c r="O40" s="7">
        <f>'C-FTE Mar'!O40*2.65</f>
        <v>39.680219796110187</v>
      </c>
      <c r="P40" s="7">
        <f>'C-FTE Mar'!P40*2.65</f>
        <v>39.680219796110194</v>
      </c>
      <c r="Q40" s="7">
        <f>'C-FTE Mar'!Q40*2.65</f>
        <v>66.133699660183652</v>
      </c>
      <c r="R40" s="7">
        <f>'C-FTE Mar'!R40*2.65</f>
        <v>60.98996746439159</v>
      </c>
      <c r="S40" s="7">
        <f>'C-FTE Mar'!S40*2.65</f>
        <v>55.111416383486365</v>
      </c>
      <c r="T40" s="7">
        <f>'C-FTE Mar'!T40*2.65</f>
        <v>51.437321957920595</v>
      </c>
      <c r="U40" s="7">
        <f>'C-FTE Mar'!U40*2.65</f>
        <v>47.763227532354861</v>
      </c>
      <c r="V40" s="7">
        <f>'C-FTE Mar'!V40*2.65</f>
        <v>39.680219796110187</v>
      </c>
      <c r="W40" s="7">
        <f>'C-FTE Mar'!W40*2.65</f>
        <v>39.680219796110187</v>
      </c>
      <c r="X40" s="7">
        <f>'C-FTE Mar'!X40*2.65</f>
        <v>65.398880775070495</v>
      </c>
      <c r="Y40" s="7">
        <f>'C-FTE Mar'!Y40*2.65</f>
        <v>60.98996746439159</v>
      </c>
      <c r="Z40" s="7">
        <f>'C-FTE Mar'!Z40*2.65</f>
        <v>54.376597498373222</v>
      </c>
      <c r="AA40" s="7">
        <f>'C-FTE Mar'!AA40*2.65</f>
        <v>52.172140843033759</v>
      </c>
      <c r="AB40" s="7">
        <f>'C-FTE Mar'!AB40*2.65</f>
        <v>47.763227532354861</v>
      </c>
      <c r="AC40" s="7">
        <f>'C-FTE Mar'!AC40*2.65</f>
        <v>39.68021979611018</v>
      </c>
      <c r="AD40" s="7">
        <f>'C-FTE Mar'!AD40*2.65</f>
        <v>39.680219796110187</v>
      </c>
      <c r="AE40" s="7">
        <f>'C-FTE Mar'!AE40*2.65</f>
        <v>66.133699660183638</v>
      </c>
      <c r="AF40" s="7">
        <f>'C-FTE Mar'!AF40*2.65</f>
        <v>61.724786349504733</v>
      </c>
    </row>
    <row r="41" spans="1:32" x14ac:dyDescent="0.25">
      <c r="A41" s="3" t="s">
        <v>46</v>
      </c>
      <c r="B41" s="7">
        <f>'C-FTE Mar'!B41*2.65</f>
        <v>41.884676451449643</v>
      </c>
      <c r="C41" s="7">
        <f>'C-FTE Mar'!C41*2.65</f>
        <v>64.664061889957338</v>
      </c>
      <c r="D41" s="7">
        <f>'C-FTE Mar'!D41*2.65</f>
        <v>59.520329694165277</v>
      </c>
      <c r="E41" s="7">
        <f>'C-FTE Mar'!E41*2.65</f>
        <v>52.906959728146916</v>
      </c>
      <c r="F41" s="7">
        <f>'C-FTE Mar'!F41*2.65</f>
        <v>53.641778613260072</v>
      </c>
      <c r="G41" s="7">
        <f>'C-FTE Mar'!G41*2.65</f>
        <v>47.763227532354847</v>
      </c>
      <c r="H41" s="7">
        <f>'C-FTE Mar'!H41*2.65</f>
        <v>36.740944255657581</v>
      </c>
      <c r="I41" s="7">
        <f>'C-FTE Mar'!I41*2.65</f>
        <v>39.68021979611018</v>
      </c>
      <c r="J41" s="7">
        <f>'C-FTE Mar'!J41*2.65</f>
        <v>61.724786349504726</v>
      </c>
      <c r="K41" s="7">
        <f>'C-FTE Mar'!K41*2.65</f>
        <v>56.581054153712671</v>
      </c>
      <c r="L41" s="7">
        <f>'C-FTE Mar'!L41*2.65</f>
        <v>50.702503072807453</v>
      </c>
      <c r="M41" s="7">
        <f>'C-FTE Mar'!M41*2.65</f>
        <v>51.437321957920609</v>
      </c>
      <c r="N41" s="7">
        <f>'C-FTE Mar'!N41*2.65</f>
        <v>46.293589762128548</v>
      </c>
      <c r="O41" s="7">
        <f>'C-FTE Mar'!O41*2.65</f>
        <v>35.271306485431275</v>
      </c>
      <c r="P41" s="7">
        <f>'C-FTE Mar'!P41*2.65</f>
        <v>38.210582025883888</v>
      </c>
      <c r="Q41" s="7">
        <f>'C-FTE Mar'!Q41*2.65</f>
        <v>60.255148579278433</v>
      </c>
      <c r="R41" s="7">
        <f>'C-FTE Mar'!R41*2.65</f>
        <v>55.111416383486365</v>
      </c>
      <c r="S41" s="7">
        <f>'C-FTE Mar'!S41*2.65</f>
        <v>49.96768418769431</v>
      </c>
      <c r="T41" s="7">
        <f>'C-FTE Mar'!T41*2.65</f>
        <v>50.702503072807453</v>
      </c>
      <c r="U41" s="7">
        <f>'C-FTE Mar'!U41*2.65</f>
        <v>45.558770877015405</v>
      </c>
      <c r="V41" s="7">
        <f>'C-FTE Mar'!V41*2.65</f>
        <v>34.536487600318125</v>
      </c>
      <c r="W41" s="7">
        <f>'C-FTE Mar'!W41*2.65</f>
        <v>38.21058202588388</v>
      </c>
      <c r="X41" s="7">
        <f>'C-FTE Mar'!X41*2.65</f>
        <v>59.520329694165277</v>
      </c>
      <c r="Y41" s="7">
        <f>'C-FTE Mar'!Y41*2.65</f>
        <v>55.111416383486379</v>
      </c>
      <c r="Z41" s="7">
        <f>'C-FTE Mar'!Z41*2.65</f>
        <v>49.96768418769431</v>
      </c>
      <c r="AA41" s="7">
        <f>'C-FTE Mar'!AA41*2.65</f>
        <v>50.702503072807467</v>
      </c>
      <c r="AB41" s="7">
        <f>'C-FTE Mar'!AB41*2.65</f>
        <v>45.558770877015405</v>
      </c>
      <c r="AC41" s="7">
        <f>'C-FTE Mar'!AC41*2.65</f>
        <v>35.271306485431275</v>
      </c>
      <c r="AD41" s="7">
        <f>'C-FTE Mar'!AD41*2.65</f>
        <v>38.21058202588388</v>
      </c>
      <c r="AE41" s="7">
        <f>'C-FTE Mar'!AE41*2.65</f>
        <v>60.255148579278426</v>
      </c>
      <c r="AF41" s="7">
        <f>'C-FTE Mar'!AF41*2.65</f>
        <v>55.846235268599521</v>
      </c>
    </row>
    <row r="42" spans="1:32" x14ac:dyDescent="0.25">
      <c r="A42" s="3" t="s">
        <v>47</v>
      </c>
      <c r="B42" s="7">
        <f>'C-FTE Mar'!B42*2.65</f>
        <v>36.006125370544424</v>
      </c>
      <c r="C42" s="7">
        <f>'C-FTE Mar'!C42*2.65</f>
        <v>58.05069192393897</v>
      </c>
      <c r="D42" s="7">
        <f>'C-FTE Mar'!D42*2.65</f>
        <v>53.641778613260072</v>
      </c>
      <c r="E42" s="7">
        <f>'C-FTE Mar'!E42*2.65</f>
        <v>49.232865302581153</v>
      </c>
      <c r="F42" s="7">
        <f>'C-FTE Mar'!F42*2.65</f>
        <v>49.232865302581153</v>
      </c>
      <c r="G42" s="7">
        <f>'C-FTE Mar'!G42*2.65</f>
        <v>42.619495336562792</v>
      </c>
      <c r="H42" s="7">
        <f>'C-FTE Mar'!H42*2.65</f>
        <v>33.066849830091819</v>
      </c>
      <c r="I42" s="7">
        <f>'C-FTE Mar'!I42*2.65</f>
        <v>34.536487600318118</v>
      </c>
      <c r="J42" s="7">
        <f>'C-FTE Mar'!J42*2.65</f>
        <v>55.111416383486365</v>
      </c>
      <c r="K42" s="7">
        <f>'C-FTE Mar'!K42*2.65</f>
        <v>51.437321957920616</v>
      </c>
      <c r="L42" s="7">
        <f>'C-FTE Mar'!L42*2.65</f>
        <v>47.028408647241697</v>
      </c>
      <c r="M42" s="7">
        <f>'C-FTE Mar'!M42*2.65</f>
        <v>47.028408647241697</v>
      </c>
      <c r="N42" s="7">
        <f>'C-FTE Mar'!N42*2.65</f>
        <v>41.149857566336486</v>
      </c>
      <c r="O42" s="7">
        <f>'C-FTE Mar'!O42*2.65</f>
        <v>31.59721205986552</v>
      </c>
      <c r="P42" s="7">
        <f>'C-FTE Mar'!P42*2.65</f>
        <v>33.066849830091819</v>
      </c>
      <c r="Q42" s="7">
        <f>'C-FTE Mar'!Q42*2.65</f>
        <v>53.641778613260072</v>
      </c>
      <c r="R42" s="7">
        <f>'C-FTE Mar'!R42*2.65</f>
        <v>49.96768418769431</v>
      </c>
      <c r="S42" s="7">
        <f>'C-FTE Mar'!S42*2.65</f>
        <v>45.558770877015398</v>
      </c>
      <c r="T42" s="7">
        <f>'C-FTE Mar'!T42*2.65</f>
        <v>46.293589762128541</v>
      </c>
      <c r="U42" s="7">
        <f>'C-FTE Mar'!U42*2.65</f>
        <v>40.415038681223344</v>
      </c>
      <c r="V42" s="7">
        <f>'C-FTE Mar'!V42*2.65</f>
        <v>30.862393174752366</v>
      </c>
      <c r="W42" s="7">
        <f>'C-FTE Mar'!W42*2.65</f>
        <v>33.066849830091819</v>
      </c>
      <c r="X42" s="7">
        <f>'C-FTE Mar'!X42*2.65</f>
        <v>53.641778613260058</v>
      </c>
      <c r="Y42" s="7">
        <f>'C-FTE Mar'!Y42*2.65</f>
        <v>49.232865302581168</v>
      </c>
      <c r="Z42" s="7">
        <f>'C-FTE Mar'!Z42*2.65</f>
        <v>45.558770877015405</v>
      </c>
      <c r="AA42" s="7">
        <f>'C-FTE Mar'!AA42*2.65</f>
        <v>46.293589762128548</v>
      </c>
      <c r="AB42" s="7">
        <f>'C-FTE Mar'!AB42*2.65</f>
        <v>40.415038681223344</v>
      </c>
      <c r="AC42" s="7">
        <f>'C-FTE Mar'!AC42*2.65</f>
        <v>31.59721205986552</v>
      </c>
      <c r="AD42" s="7">
        <f>'C-FTE Mar'!AD42*2.65</f>
        <v>33.066849830091819</v>
      </c>
      <c r="AE42" s="7">
        <f>'C-FTE Mar'!AE42*2.65</f>
        <v>53.641778613260058</v>
      </c>
      <c r="AF42" s="7">
        <f>'C-FTE Mar'!AF42*2.65</f>
        <v>50.702503072807453</v>
      </c>
    </row>
    <row r="43" spans="1:32" x14ac:dyDescent="0.25">
      <c r="A43" s="3" t="s">
        <v>48</v>
      </c>
      <c r="B43" s="7">
        <f>'C-FTE Mar'!B43*2.65</f>
        <v>32.332030944978669</v>
      </c>
      <c r="C43" s="7">
        <f>'C-FTE Mar'!C43*2.65</f>
        <v>52.906959728146909</v>
      </c>
      <c r="D43" s="7">
        <f>'C-FTE Mar'!D43*2.65</f>
        <v>49.96768418769431</v>
      </c>
      <c r="E43" s="7">
        <f>'C-FTE Mar'!E43*2.65</f>
        <v>44.089133106789092</v>
      </c>
      <c r="F43" s="7">
        <f>'C-FTE Mar'!F43*2.65</f>
        <v>42.619495336562792</v>
      </c>
      <c r="G43" s="7">
        <f>'C-FTE Mar'!G43*2.65</f>
        <v>36.740944255657574</v>
      </c>
      <c r="H43" s="7">
        <f>'C-FTE Mar'!H43*2.65</f>
        <v>30.127574289639213</v>
      </c>
      <c r="I43" s="7">
        <f>'C-FTE Mar'!I43*2.65</f>
        <v>30.862393174752363</v>
      </c>
      <c r="J43" s="7">
        <f>'C-FTE Mar'!J43*2.65</f>
        <v>50.702503072807453</v>
      </c>
      <c r="K43" s="7">
        <f>'C-FTE Mar'!K43*2.65</f>
        <v>47.763227532354861</v>
      </c>
      <c r="L43" s="7">
        <f>'C-FTE Mar'!L43*2.65</f>
        <v>42.619495336562792</v>
      </c>
      <c r="M43" s="7">
        <f>'C-FTE Mar'!M43*2.65</f>
        <v>41.149857566336486</v>
      </c>
      <c r="N43" s="7">
        <f>'C-FTE Mar'!N43*2.65</f>
        <v>35.271306485431282</v>
      </c>
      <c r="O43" s="7">
        <f>'C-FTE Mar'!O43*2.65</f>
        <v>29.392755404526064</v>
      </c>
      <c r="P43" s="7">
        <f>'C-FTE Mar'!P43*2.65</f>
        <v>30.127574289639217</v>
      </c>
      <c r="Q43" s="7">
        <f>'C-FTE Mar'!Q43*2.65</f>
        <v>49.232865302581153</v>
      </c>
      <c r="R43" s="7">
        <f>'C-FTE Mar'!R43*2.65</f>
        <v>46.293589762128548</v>
      </c>
      <c r="S43" s="7">
        <f>'C-FTE Mar'!S43*2.65</f>
        <v>41.149857566336493</v>
      </c>
      <c r="T43" s="7">
        <f>'C-FTE Mar'!T43*2.65</f>
        <v>40.415038681223329</v>
      </c>
      <c r="U43" s="7">
        <f>'C-FTE Mar'!U43*2.65</f>
        <v>35.271306485431282</v>
      </c>
      <c r="V43" s="7">
        <f>'C-FTE Mar'!V43*2.65</f>
        <v>28.65793651941291</v>
      </c>
      <c r="W43" s="7">
        <f>'C-FTE Mar'!W43*2.65</f>
        <v>29.392755404526064</v>
      </c>
      <c r="X43" s="7">
        <f>'C-FTE Mar'!X43*2.65</f>
        <v>48.498046417468004</v>
      </c>
      <c r="Y43" s="7">
        <f>'C-FTE Mar'!Y43*2.65</f>
        <v>46.293589762128548</v>
      </c>
      <c r="Z43" s="7">
        <f>'C-FTE Mar'!Z43*2.65</f>
        <v>41.149857566336493</v>
      </c>
      <c r="AA43" s="7">
        <f>'C-FTE Mar'!AA43*2.65</f>
        <v>40.415038681223344</v>
      </c>
      <c r="AB43" s="7">
        <f>'C-FTE Mar'!AB43*2.65</f>
        <v>35.271306485431282</v>
      </c>
      <c r="AC43" s="7">
        <f>'C-FTE Mar'!AC43*2.65</f>
        <v>29.392755404526064</v>
      </c>
      <c r="AD43" s="7">
        <f>'C-FTE Mar'!AD43*2.65</f>
        <v>30.127574289639217</v>
      </c>
      <c r="AE43" s="7">
        <f>'C-FTE Mar'!AE43*2.65</f>
        <v>49.232865302581146</v>
      </c>
      <c r="AF43" s="7">
        <f>'C-FTE Mar'!AF43*2.65</f>
        <v>47.028408647241704</v>
      </c>
    </row>
    <row r="44" spans="1:32" x14ac:dyDescent="0.25">
      <c r="A44" s="3" t="s">
        <v>49</v>
      </c>
      <c r="B44" s="7">
        <f>'C-FTE Mar'!B44*2.65</f>
        <v>31.59721205986552</v>
      </c>
      <c r="C44" s="7">
        <f>'C-FTE Mar'!C44*2.65</f>
        <v>49.232865302581153</v>
      </c>
      <c r="D44" s="7">
        <f>'C-FTE Mar'!D44*2.65</f>
        <v>47.028408647241704</v>
      </c>
      <c r="E44" s="7">
        <f>'C-FTE Mar'!E44*2.65</f>
        <v>38.94540091099703</v>
      </c>
      <c r="F44" s="7">
        <f>'C-FTE Mar'!F44*2.65</f>
        <v>40.415038681223336</v>
      </c>
      <c r="G44" s="7">
        <f>'C-FTE Mar'!G44*2.65</f>
        <v>33.801668715204968</v>
      </c>
      <c r="H44" s="7">
        <f>'C-FTE Mar'!H44*2.65</f>
        <v>27.923117634299761</v>
      </c>
      <c r="I44" s="7">
        <f>'C-FTE Mar'!I44*2.65</f>
        <v>30.127574289639206</v>
      </c>
      <c r="J44" s="7">
        <f>'C-FTE Mar'!J44*2.65</f>
        <v>47.028408647241697</v>
      </c>
      <c r="K44" s="7">
        <f>'C-FTE Mar'!K44*2.65</f>
        <v>44.823951991902256</v>
      </c>
      <c r="L44" s="7">
        <f>'C-FTE Mar'!L44*2.65</f>
        <v>37.475763140770724</v>
      </c>
      <c r="M44" s="7">
        <f>'C-FTE Mar'!M44*2.65</f>
        <v>38.94540091099703</v>
      </c>
      <c r="N44" s="7">
        <f>'C-FTE Mar'!N44*2.65</f>
        <v>32.332030944978676</v>
      </c>
      <c r="O44" s="7">
        <f>'C-FTE Mar'!O44*2.65</f>
        <v>27.188298749186607</v>
      </c>
      <c r="P44" s="7">
        <f>'C-FTE Mar'!P44*2.65</f>
        <v>28.657936519412914</v>
      </c>
      <c r="Q44" s="7">
        <f>'C-FTE Mar'!Q44*2.65</f>
        <v>45.558770877015405</v>
      </c>
      <c r="R44" s="7">
        <f>'C-FTE Mar'!R44*2.65</f>
        <v>43.354314221675942</v>
      </c>
      <c r="S44" s="7">
        <f>'C-FTE Mar'!S44*2.65</f>
        <v>36.740944255657574</v>
      </c>
      <c r="T44" s="7">
        <f>'C-FTE Mar'!T44*2.65</f>
        <v>38.21058202588388</v>
      </c>
      <c r="U44" s="7">
        <f>'C-FTE Mar'!U44*2.65</f>
        <v>31.597212059865523</v>
      </c>
      <c r="V44" s="7">
        <f>'C-FTE Mar'!V44*2.65</f>
        <v>27.188298749186611</v>
      </c>
      <c r="W44" s="7">
        <f>'C-FTE Mar'!W44*2.65</f>
        <v>28.657936519412914</v>
      </c>
      <c r="X44" s="7">
        <f>'C-FTE Mar'!X44*2.65</f>
        <v>44.823951991902241</v>
      </c>
      <c r="Y44" s="7">
        <f>'C-FTE Mar'!Y44*2.65</f>
        <v>43.354314221675956</v>
      </c>
      <c r="Z44" s="7">
        <f>'C-FTE Mar'!Z44*2.65</f>
        <v>36.740944255657581</v>
      </c>
      <c r="AA44" s="7">
        <f>'C-FTE Mar'!AA44*2.65</f>
        <v>38.21058202588388</v>
      </c>
      <c r="AB44" s="7">
        <f>'C-FTE Mar'!AB44*2.65</f>
        <v>31.59721205986552</v>
      </c>
      <c r="AC44" s="7">
        <f>'C-FTE Mar'!AC44*2.65</f>
        <v>27.188298749186607</v>
      </c>
      <c r="AD44" s="7">
        <f>'C-FTE Mar'!AD44*2.65</f>
        <v>28.657936519412914</v>
      </c>
      <c r="AE44" s="7">
        <f>'C-FTE Mar'!AE44*2.65</f>
        <v>45.558770877015398</v>
      </c>
      <c r="AF44" s="7">
        <f>'C-FTE Mar'!AF44*2.65</f>
        <v>44.089133106789092</v>
      </c>
    </row>
    <row r="45" spans="1:32" x14ac:dyDescent="0.25">
      <c r="A45" s="3" t="s">
        <v>50</v>
      </c>
      <c r="B45" s="7">
        <f>'C-FTE Mar'!B45*2.65</f>
        <v>30.127574289639217</v>
      </c>
      <c r="C45" s="7">
        <f>'C-FTE Mar'!C45*2.65</f>
        <v>44.089133106789092</v>
      </c>
      <c r="D45" s="7">
        <f>'C-FTE Mar'!D45*2.65</f>
        <v>44.089133106789099</v>
      </c>
      <c r="E45" s="7">
        <f>'C-FTE Mar'!E45*2.65</f>
        <v>33.801668715204976</v>
      </c>
      <c r="F45" s="7">
        <f>'C-FTE Mar'!F45*2.65</f>
        <v>39.680219796110187</v>
      </c>
      <c r="G45" s="7">
        <f>'C-FTE Mar'!G45*2.65</f>
        <v>32.332030944978669</v>
      </c>
      <c r="H45" s="7">
        <f>'C-FTE Mar'!H45*2.65</f>
        <v>26.453479864073458</v>
      </c>
      <c r="I45" s="7">
        <f>'C-FTE Mar'!I45*2.65</f>
        <v>28.65793651941291</v>
      </c>
      <c r="J45" s="7">
        <f>'C-FTE Mar'!J45*2.65</f>
        <v>41.884676451449636</v>
      </c>
      <c r="K45" s="7">
        <f>'C-FTE Mar'!K45*2.65</f>
        <v>41.884676451449643</v>
      </c>
      <c r="L45" s="7">
        <f>'C-FTE Mar'!L45*2.65</f>
        <v>32.332030944978662</v>
      </c>
      <c r="M45" s="7">
        <f>'C-FTE Mar'!M45*2.65</f>
        <v>38.210582025883873</v>
      </c>
      <c r="N45" s="7">
        <f>'C-FTE Mar'!N45*2.65</f>
        <v>30.86239317475237</v>
      </c>
      <c r="O45" s="7">
        <f>'C-FTE Mar'!O45*2.65</f>
        <v>25.718660978960305</v>
      </c>
      <c r="P45" s="7">
        <f>'C-FTE Mar'!P45*2.65</f>
        <v>27.923117634299761</v>
      </c>
      <c r="Q45" s="7">
        <f>'C-FTE Mar'!Q45*2.65</f>
        <v>40.415038681223336</v>
      </c>
      <c r="R45" s="7">
        <f>'C-FTE Mar'!R45*2.65</f>
        <v>41.149857566336486</v>
      </c>
      <c r="S45" s="7">
        <f>'C-FTE Mar'!S45*2.65</f>
        <v>31.597212059865516</v>
      </c>
      <c r="T45" s="7">
        <f>'C-FTE Mar'!T45*2.65</f>
        <v>37.475763140770731</v>
      </c>
      <c r="U45" s="7">
        <f>'C-FTE Mar'!U45*2.65</f>
        <v>30.127574289639217</v>
      </c>
      <c r="V45" s="7">
        <f>'C-FTE Mar'!V45*2.65</f>
        <v>24.983842093847155</v>
      </c>
      <c r="W45" s="7">
        <f>'C-FTE Mar'!W45*2.65</f>
        <v>27.923117634299757</v>
      </c>
      <c r="X45" s="7">
        <f>'C-FTE Mar'!X45*2.65</f>
        <v>40.415038681223344</v>
      </c>
      <c r="Y45" s="7">
        <f>'C-FTE Mar'!Y45*2.65</f>
        <v>41.149857566336493</v>
      </c>
      <c r="Z45" s="7">
        <f>'C-FTE Mar'!Z45*2.65</f>
        <v>31.59721205986552</v>
      </c>
      <c r="AA45" s="7">
        <f>'C-FTE Mar'!AA45*2.65</f>
        <v>37.475763140770738</v>
      </c>
      <c r="AB45" s="7">
        <f>'C-FTE Mar'!AB45*2.65</f>
        <v>30.12757428963922</v>
      </c>
      <c r="AC45" s="7">
        <f>'C-FTE Mar'!AC45*2.65</f>
        <v>25.718660978960305</v>
      </c>
      <c r="AD45" s="7">
        <f>'C-FTE Mar'!AD45*2.65</f>
        <v>27.923117634299761</v>
      </c>
      <c r="AE45" s="7">
        <f>'C-FTE Mar'!AE45*2.65</f>
        <v>40.415038681223329</v>
      </c>
      <c r="AF45" s="7">
        <f>'C-FTE Mar'!AF45*2.65</f>
        <v>41.884676451449636</v>
      </c>
    </row>
    <row r="46" spans="1:32" x14ac:dyDescent="0.25">
      <c r="A46" s="3" t="s">
        <v>51</v>
      </c>
      <c r="B46" s="7">
        <f>'C-FTE Mar'!B46*2.65</f>
        <v>28.657936519412914</v>
      </c>
      <c r="C46" s="7">
        <f>'C-FTE Mar'!C46*2.65</f>
        <v>40.415038681223344</v>
      </c>
      <c r="D46" s="7">
        <f>'C-FTE Mar'!D46*2.65</f>
        <v>41.88467645144965</v>
      </c>
      <c r="E46" s="7">
        <f>'C-FTE Mar'!E46*2.65</f>
        <v>30.86239317475237</v>
      </c>
      <c r="F46" s="7">
        <f>'C-FTE Mar'!F46*2.65</f>
        <v>36.740944255657581</v>
      </c>
      <c r="G46" s="7">
        <f>'C-FTE Mar'!G46*2.65</f>
        <v>30.127574289639213</v>
      </c>
      <c r="H46" s="7">
        <f>'C-FTE Mar'!H46*2.65</f>
        <v>25.718660978960308</v>
      </c>
      <c r="I46" s="7">
        <f>'C-FTE Mar'!I46*2.65</f>
        <v>27.188298749186607</v>
      </c>
      <c r="J46" s="7">
        <f>'C-FTE Mar'!J46*2.65</f>
        <v>38.21058202588388</v>
      </c>
      <c r="K46" s="7">
        <f>'C-FTE Mar'!K46*2.65</f>
        <v>40.415038681223344</v>
      </c>
      <c r="L46" s="7">
        <f>'C-FTE Mar'!L46*2.65</f>
        <v>29.392755404526064</v>
      </c>
      <c r="M46" s="7">
        <f>'C-FTE Mar'!M46*2.65</f>
        <v>35.271306485431268</v>
      </c>
      <c r="N46" s="7">
        <f>'C-FTE Mar'!N46*2.65</f>
        <v>29.392755404526067</v>
      </c>
      <c r="O46" s="7">
        <f>'C-FTE Mar'!O46*2.65</f>
        <v>24.983842093847155</v>
      </c>
      <c r="P46" s="7">
        <f>'C-FTE Mar'!P46*2.65</f>
        <v>25.718660978960308</v>
      </c>
      <c r="Q46" s="7">
        <f>'C-FTE Mar'!Q46*2.65</f>
        <v>36.740944255657581</v>
      </c>
      <c r="R46" s="7">
        <f>'C-FTE Mar'!R46*2.65</f>
        <v>38.94540091099703</v>
      </c>
      <c r="S46" s="7">
        <f>'C-FTE Mar'!S46*2.65</f>
        <v>28.657936519412914</v>
      </c>
      <c r="T46" s="7">
        <f>'C-FTE Mar'!T46*2.65</f>
        <v>34.536487600318118</v>
      </c>
      <c r="U46" s="7">
        <f>'C-FTE Mar'!U46*2.65</f>
        <v>28.657936519412914</v>
      </c>
      <c r="V46" s="7">
        <f>'C-FTE Mar'!V46*2.65</f>
        <v>24.249023208734005</v>
      </c>
      <c r="W46" s="7">
        <f>'C-FTE Mar'!W46*2.65</f>
        <v>25.718660978960305</v>
      </c>
      <c r="X46" s="7">
        <f>'C-FTE Mar'!X46*2.65</f>
        <v>36.740944255657574</v>
      </c>
      <c r="Y46" s="7">
        <f>'C-FTE Mar'!Y46*2.65</f>
        <v>38.945400910997037</v>
      </c>
      <c r="Z46" s="7">
        <f>'C-FTE Mar'!Z46*2.65</f>
        <v>28.657936519412914</v>
      </c>
      <c r="AA46" s="7">
        <f>'C-FTE Mar'!AA46*2.65</f>
        <v>34.536487600318132</v>
      </c>
      <c r="AB46" s="7">
        <f>'C-FTE Mar'!AB46*2.65</f>
        <v>28.657936519412917</v>
      </c>
      <c r="AC46" s="7">
        <f>'C-FTE Mar'!AC46*2.65</f>
        <v>24.249023208734002</v>
      </c>
      <c r="AD46" s="7">
        <f>'C-FTE Mar'!AD46*2.65</f>
        <v>25.718660978960305</v>
      </c>
      <c r="AE46" s="7">
        <f>'C-FTE Mar'!AE46*2.65</f>
        <v>37.475763140770724</v>
      </c>
      <c r="AF46" s="7">
        <f>'C-FTE Mar'!AF46*2.65</f>
        <v>39.68021979611018</v>
      </c>
    </row>
    <row r="47" spans="1:32" x14ac:dyDescent="0.25">
      <c r="A47" s="3" t="s">
        <v>52</v>
      </c>
      <c r="B47" s="7">
        <f>'C-FTE Mar'!B47*2.65</f>
        <v>26.453479864073458</v>
      </c>
      <c r="C47" s="7">
        <f>'C-FTE Mar'!C47*2.65</f>
        <v>39.68021979611018</v>
      </c>
      <c r="D47" s="7">
        <f>'C-FTE Mar'!D47*2.65</f>
        <v>37.475763140770738</v>
      </c>
      <c r="E47" s="7">
        <f>'C-FTE Mar'!E47*2.65</f>
        <v>28.657936519412914</v>
      </c>
      <c r="F47" s="7">
        <f>'C-FTE Mar'!F47*2.65</f>
        <v>34.536487600318125</v>
      </c>
      <c r="G47" s="7">
        <f>'C-FTE Mar'!G47*2.65</f>
        <v>27.923117634299761</v>
      </c>
      <c r="H47" s="7">
        <f>'C-FTE Mar'!H47*2.65</f>
        <v>22.779385438507699</v>
      </c>
      <c r="I47" s="7">
        <f>'C-FTE Mar'!I47*2.65</f>
        <v>25.718660978960298</v>
      </c>
      <c r="J47" s="7">
        <f>'C-FTE Mar'!J47*2.65</f>
        <v>37.475763140770724</v>
      </c>
      <c r="K47" s="7">
        <f>'C-FTE Mar'!K47*2.65</f>
        <v>36.006125370544432</v>
      </c>
      <c r="L47" s="7">
        <f>'C-FTE Mar'!L47*2.65</f>
        <v>27.188298749186607</v>
      </c>
      <c r="M47" s="7">
        <f>'C-FTE Mar'!M47*2.65</f>
        <v>33.066849830091819</v>
      </c>
      <c r="N47" s="7">
        <f>'C-FTE Mar'!N47*2.65</f>
        <v>26.453479864073458</v>
      </c>
      <c r="O47" s="7">
        <f>'C-FTE Mar'!O47*2.65</f>
        <v>22.044566553394546</v>
      </c>
      <c r="P47" s="7">
        <f>'C-FTE Mar'!P47*2.65</f>
        <v>24.249023208734005</v>
      </c>
      <c r="Q47" s="7">
        <f>'C-FTE Mar'!Q47*2.65</f>
        <v>36.740944255657581</v>
      </c>
      <c r="R47" s="7">
        <f>'C-FTE Mar'!R47*2.65</f>
        <v>34.536487600318132</v>
      </c>
      <c r="S47" s="7">
        <f>'C-FTE Mar'!S47*2.65</f>
        <v>26.453479864073458</v>
      </c>
      <c r="T47" s="7">
        <f>'C-FTE Mar'!T47*2.65</f>
        <v>32.332030944978662</v>
      </c>
      <c r="U47" s="7">
        <f>'C-FTE Mar'!U47*2.65</f>
        <v>26.453479864073461</v>
      </c>
      <c r="V47" s="7">
        <f>'C-FTE Mar'!V47*2.65</f>
        <v>22.044566553394546</v>
      </c>
      <c r="W47" s="7">
        <f>'C-FTE Mar'!W47*2.65</f>
        <v>24.249023208734002</v>
      </c>
      <c r="X47" s="7">
        <f>'C-FTE Mar'!X47*2.65</f>
        <v>36.006125370544424</v>
      </c>
      <c r="Y47" s="7">
        <f>'C-FTE Mar'!Y47*2.65</f>
        <v>34.536487600318132</v>
      </c>
      <c r="Z47" s="7">
        <f>'C-FTE Mar'!Z47*2.65</f>
        <v>26.453479864073458</v>
      </c>
      <c r="AA47" s="7">
        <f>'C-FTE Mar'!AA47*2.65</f>
        <v>32.332030944978676</v>
      </c>
      <c r="AB47" s="7">
        <f>'C-FTE Mar'!AB47*2.65</f>
        <v>26.453479864073458</v>
      </c>
      <c r="AC47" s="7">
        <f>'C-FTE Mar'!AC47*2.65</f>
        <v>22.044566553394546</v>
      </c>
      <c r="AD47" s="7">
        <f>'C-FTE Mar'!AD47*2.65</f>
        <v>24.249023208734002</v>
      </c>
      <c r="AE47" s="7">
        <f>'C-FTE Mar'!AE47*2.65</f>
        <v>36.740944255657574</v>
      </c>
      <c r="AF47" s="7">
        <f>'C-FTE Mar'!AF47*2.65</f>
        <v>35.271306485431282</v>
      </c>
    </row>
    <row r="48" spans="1:32" x14ac:dyDescent="0.25">
      <c r="A48" s="3" t="s">
        <v>53</v>
      </c>
      <c r="B48" s="7">
        <f>'C-FTE Mar'!B48*2.65</f>
        <v>24.983842093847151</v>
      </c>
      <c r="C48" s="7">
        <f>'C-FTE Mar'!C48*2.65</f>
        <v>36.006125370544424</v>
      </c>
      <c r="D48" s="7">
        <f>'C-FTE Mar'!D48*2.65</f>
        <v>33.066849830091819</v>
      </c>
      <c r="E48" s="7">
        <f>'C-FTE Mar'!E48*2.65</f>
        <v>26.453479864073458</v>
      </c>
      <c r="F48" s="7">
        <f>'C-FTE Mar'!F48*2.65</f>
        <v>32.332030944978676</v>
      </c>
      <c r="G48" s="7">
        <f>'C-FTE Mar'!G48*2.65</f>
        <v>24.249023208734002</v>
      </c>
      <c r="H48" s="7">
        <f>'C-FTE Mar'!H48*2.65</f>
        <v>19.840109898055093</v>
      </c>
      <c r="I48" s="7">
        <f>'C-FTE Mar'!I48*2.65</f>
        <v>23.514204323620849</v>
      </c>
      <c r="J48" s="7">
        <f>'C-FTE Mar'!J48*2.65</f>
        <v>34.536487600318125</v>
      </c>
      <c r="K48" s="7">
        <f>'C-FTE Mar'!K48*2.65</f>
        <v>31.59721205986552</v>
      </c>
      <c r="L48" s="7">
        <f>'C-FTE Mar'!L48*2.65</f>
        <v>24.983842093847151</v>
      </c>
      <c r="M48" s="7">
        <f>'C-FTE Mar'!M48*2.65</f>
        <v>30.862393174752363</v>
      </c>
      <c r="N48" s="7">
        <f>'C-FTE Mar'!N48*2.65</f>
        <v>23.514204323620852</v>
      </c>
      <c r="O48" s="7">
        <f>'C-FTE Mar'!O48*2.65</f>
        <v>19.10529101294194</v>
      </c>
      <c r="P48" s="7">
        <f>'C-FTE Mar'!P48*2.65</f>
        <v>22.779385438507699</v>
      </c>
      <c r="Q48" s="7">
        <f>'C-FTE Mar'!Q48*2.65</f>
        <v>33.801668715204976</v>
      </c>
      <c r="R48" s="7">
        <f>'C-FTE Mar'!R48*2.65</f>
        <v>30.862393174752366</v>
      </c>
      <c r="S48" s="7">
        <f>'C-FTE Mar'!S48*2.65</f>
        <v>24.983842093847155</v>
      </c>
      <c r="T48" s="7">
        <f>'C-FTE Mar'!T48*2.65</f>
        <v>30.127574289639213</v>
      </c>
      <c r="U48" s="7">
        <f>'C-FTE Mar'!U48*2.65</f>
        <v>22.779385438507703</v>
      </c>
      <c r="V48" s="7">
        <f>'C-FTE Mar'!V48*2.65</f>
        <v>18.370472127828791</v>
      </c>
      <c r="W48" s="7">
        <f>'C-FTE Mar'!W48*2.65</f>
        <v>22.779385438507699</v>
      </c>
      <c r="X48" s="7">
        <f>'C-FTE Mar'!X48*2.65</f>
        <v>33.066849830091819</v>
      </c>
      <c r="Y48" s="7">
        <f>'C-FTE Mar'!Y48*2.65</f>
        <v>30.12757428963922</v>
      </c>
      <c r="Z48" s="7">
        <f>'C-FTE Mar'!Z48*2.65</f>
        <v>24.249023208734005</v>
      </c>
      <c r="AA48" s="7">
        <f>'C-FTE Mar'!AA48*2.65</f>
        <v>30.127574289639217</v>
      </c>
      <c r="AB48" s="7">
        <f>'C-FTE Mar'!AB48*2.65</f>
        <v>23.514204323620852</v>
      </c>
      <c r="AC48" s="7">
        <f>'C-FTE Mar'!AC48*2.65</f>
        <v>18.370472127828787</v>
      </c>
      <c r="AD48" s="7">
        <f>'C-FTE Mar'!AD48*2.65</f>
        <v>22.779385438507699</v>
      </c>
      <c r="AE48" s="7">
        <f>'C-FTE Mar'!AE48*2.65</f>
        <v>33.801668715204968</v>
      </c>
      <c r="AF48" s="7">
        <f>'C-FTE Mar'!AF48*2.65</f>
        <v>30.862393174752366</v>
      </c>
    </row>
    <row r="49" spans="1:33" x14ac:dyDescent="0.25">
      <c r="A49" s="3" t="s">
        <v>54</v>
      </c>
      <c r="B49" s="7">
        <f>'C-FTE Mar'!B49*2.65</f>
        <v>22.044566553394546</v>
      </c>
      <c r="C49" s="7">
        <f>'C-FTE Mar'!C49*2.65</f>
        <v>31.597212059865516</v>
      </c>
      <c r="D49" s="7">
        <f>'C-FTE Mar'!D49*2.65</f>
        <v>30.86239317475237</v>
      </c>
      <c r="E49" s="7">
        <f>'C-FTE Mar'!E49*2.65</f>
        <v>24.983842093847155</v>
      </c>
      <c r="F49" s="7">
        <f>'C-FTE Mar'!F49*2.65</f>
        <v>28.65793651941291</v>
      </c>
      <c r="G49" s="7">
        <f>'C-FTE Mar'!G49*2.65</f>
        <v>21.309747668281396</v>
      </c>
      <c r="H49" s="7">
        <f>'C-FTE Mar'!H49*2.65</f>
        <v>16.900834357602484</v>
      </c>
      <c r="I49" s="7">
        <f>'C-FTE Mar'!I49*2.65</f>
        <v>20.574928783168243</v>
      </c>
      <c r="J49" s="7">
        <f>'C-FTE Mar'!J49*2.65</f>
        <v>30.127574289639213</v>
      </c>
      <c r="K49" s="7">
        <f>'C-FTE Mar'!K49*2.65</f>
        <v>29.392755404526067</v>
      </c>
      <c r="L49" s="7">
        <f>'C-FTE Mar'!L49*2.65</f>
        <v>23.514204323620849</v>
      </c>
      <c r="M49" s="7">
        <f>'C-FTE Mar'!M49*2.65</f>
        <v>27.1882987491866</v>
      </c>
      <c r="N49" s="7">
        <f>'C-FTE Mar'!N49*2.65</f>
        <v>20.574928783168243</v>
      </c>
      <c r="O49" s="7">
        <f>'C-FTE Mar'!O49*2.65</f>
        <v>16.900834357602484</v>
      </c>
      <c r="P49" s="7">
        <f>'C-FTE Mar'!P49*2.65</f>
        <v>20.574928783168247</v>
      </c>
      <c r="Q49" s="7">
        <f>'C-FTE Mar'!Q49*2.65</f>
        <v>28.657936519412914</v>
      </c>
      <c r="R49" s="7">
        <f>'C-FTE Mar'!R49*2.65</f>
        <v>28.657936519412914</v>
      </c>
      <c r="S49" s="7">
        <f>'C-FTE Mar'!S49*2.65</f>
        <v>22.779385438507699</v>
      </c>
      <c r="T49" s="7">
        <f>'C-FTE Mar'!T49*2.65</f>
        <v>27.1882987491866</v>
      </c>
      <c r="U49" s="7">
        <f>'C-FTE Mar'!U49*2.65</f>
        <v>19.840109898055097</v>
      </c>
      <c r="V49" s="7">
        <f>'C-FTE Mar'!V49*2.65</f>
        <v>16.166015472489335</v>
      </c>
      <c r="W49" s="7">
        <f>'C-FTE Mar'!W49*2.65</f>
        <v>19.840109898055093</v>
      </c>
      <c r="X49" s="7">
        <f>'C-FTE Mar'!X49*2.65</f>
        <v>28.65793651941291</v>
      </c>
      <c r="Y49" s="7">
        <f>'C-FTE Mar'!Y49*2.65</f>
        <v>28.657936519412914</v>
      </c>
      <c r="Z49" s="7">
        <f>'C-FTE Mar'!Z49*2.65</f>
        <v>22.779385438507703</v>
      </c>
      <c r="AA49" s="7">
        <f>'C-FTE Mar'!AA49*2.65</f>
        <v>27.188298749186611</v>
      </c>
      <c r="AB49" s="7">
        <f>'C-FTE Mar'!AB49*2.65</f>
        <v>19.840109898055097</v>
      </c>
      <c r="AC49" s="7">
        <f>'C-FTE Mar'!AC49*2.65</f>
        <v>16.166015472489335</v>
      </c>
      <c r="AD49" s="7">
        <f>'C-FTE Mar'!AD49*2.65</f>
        <v>20.574928783168243</v>
      </c>
      <c r="AE49" s="7">
        <f>'C-FTE Mar'!AE49*2.65</f>
        <v>29.392755404526064</v>
      </c>
      <c r="AF49" s="7">
        <f>'C-FTE Mar'!AF49*2.65</f>
        <v>29.392755404526064</v>
      </c>
    </row>
    <row r="50" spans="1:33" x14ac:dyDescent="0.25">
      <c r="A50" s="3" t="s">
        <v>55</v>
      </c>
      <c r="B50" s="7">
        <f>'C-FTE Mar'!B50*2.65</f>
        <v>19.84010989805509</v>
      </c>
      <c r="C50" s="7">
        <f>'C-FTE Mar'!C50*2.65</f>
        <v>27.923117634299761</v>
      </c>
      <c r="D50" s="7">
        <f>'C-FTE Mar'!D50*2.65</f>
        <v>28.657936519412914</v>
      </c>
      <c r="E50" s="7">
        <f>'C-FTE Mar'!E50*2.65</f>
        <v>22.779385438507699</v>
      </c>
      <c r="F50" s="7">
        <f>'C-FTE Mar'!F50*2.65</f>
        <v>26.453479864073458</v>
      </c>
      <c r="G50" s="7">
        <f>'C-FTE Mar'!G50*2.65</f>
        <v>19.10529101294194</v>
      </c>
      <c r="H50" s="7">
        <f>'C-FTE Mar'!H50*2.65</f>
        <v>15.431196587376183</v>
      </c>
      <c r="I50" s="7">
        <f>'C-FTE Mar'!I50*2.65</f>
        <v>18.370472127828787</v>
      </c>
      <c r="J50" s="7">
        <f>'C-FTE Mar'!J50*2.65</f>
        <v>26.453479864073454</v>
      </c>
      <c r="K50" s="7">
        <f>'C-FTE Mar'!K50*2.65</f>
        <v>27.188298749186611</v>
      </c>
      <c r="L50" s="7">
        <f>'C-FTE Mar'!L50*2.65</f>
        <v>22.044566553394546</v>
      </c>
      <c r="M50" s="7">
        <f>'C-FTE Mar'!M50*2.65</f>
        <v>25.718660978960305</v>
      </c>
      <c r="N50" s="7">
        <f>'C-FTE Mar'!N50*2.65</f>
        <v>18.370472127828791</v>
      </c>
      <c r="O50" s="7">
        <f>'C-FTE Mar'!O50*2.65</f>
        <v>14.696377702263032</v>
      </c>
      <c r="P50" s="7">
        <f>'C-FTE Mar'!P50*2.65</f>
        <v>18.370472127828794</v>
      </c>
      <c r="Q50" s="7">
        <f>'C-FTE Mar'!Q50*2.65</f>
        <v>25.718660978960308</v>
      </c>
      <c r="R50" s="7">
        <f>'C-FTE Mar'!R50*2.65</f>
        <v>26.453479864073458</v>
      </c>
      <c r="S50" s="7">
        <f>'C-FTE Mar'!S50*2.65</f>
        <v>21.309747668281396</v>
      </c>
      <c r="T50" s="7">
        <f>'C-FTE Mar'!T50*2.65</f>
        <v>24.983842093847151</v>
      </c>
      <c r="U50" s="7">
        <f>'C-FTE Mar'!U50*2.65</f>
        <v>17.635653242715641</v>
      </c>
      <c r="V50" s="7">
        <f>'C-FTE Mar'!V50*2.65</f>
        <v>14.696377702263032</v>
      </c>
      <c r="W50" s="7">
        <f>'C-FTE Mar'!W50*2.65</f>
        <v>17.635653242715637</v>
      </c>
      <c r="X50" s="7">
        <f>'C-FTE Mar'!X50*2.65</f>
        <v>25.718660978960308</v>
      </c>
      <c r="Y50" s="7">
        <f>'C-FTE Mar'!Y50*2.65</f>
        <v>26.453479864073461</v>
      </c>
      <c r="Z50" s="7">
        <f>'C-FTE Mar'!Z50*2.65</f>
        <v>21.309747668281396</v>
      </c>
      <c r="AA50" s="7">
        <f>'C-FTE Mar'!AA50*2.65</f>
        <v>24.983842093847155</v>
      </c>
      <c r="AB50" s="7">
        <f>'C-FTE Mar'!AB50*2.65</f>
        <v>18.370472127828791</v>
      </c>
      <c r="AC50" s="7">
        <f>'C-FTE Mar'!AC50*2.65</f>
        <v>14.696377702263032</v>
      </c>
      <c r="AD50" s="7">
        <f>'C-FTE Mar'!AD50*2.65</f>
        <v>18.370472127828791</v>
      </c>
      <c r="AE50" s="7">
        <f>'C-FTE Mar'!AE50*2.65</f>
        <v>25.718660978960305</v>
      </c>
      <c r="AF50" s="7">
        <f>'C-FTE Mar'!AF50*2.65</f>
        <v>26.453479864073458</v>
      </c>
    </row>
    <row r="51" spans="1:33" x14ac:dyDescent="0.25">
      <c r="A51" s="17" t="s">
        <v>60</v>
      </c>
      <c r="B51" s="18">
        <f>SUM(B3:B50)</f>
        <v>1217.5948926324922</v>
      </c>
      <c r="C51" s="18">
        <f t="shared" ref="C51:Z51" si="1">SUM(C3:C50)</f>
        <v>2239.7279618248854</v>
      </c>
      <c r="D51" s="18">
        <f t="shared" si="1"/>
        <v>2035.4483117634304</v>
      </c>
      <c r="E51" s="18">
        <f t="shared" si="1"/>
        <v>1765.769780926903</v>
      </c>
      <c r="F51" s="18">
        <f t="shared" si="1"/>
        <v>1726.8243800159059</v>
      </c>
      <c r="G51" s="18">
        <f t="shared" si="1"/>
        <v>1660.6906803557222</v>
      </c>
      <c r="H51" s="18">
        <f t="shared" si="1"/>
        <v>1304.3035210758439</v>
      </c>
      <c r="I51" s="18">
        <f t="shared" si="1"/>
        <v>1155.8701062829871</v>
      </c>
      <c r="J51" s="18">
        <f t="shared" si="1"/>
        <v>2132.444404598366</v>
      </c>
      <c r="K51" s="18">
        <f t="shared" si="1"/>
        <v>1942.861132239173</v>
      </c>
      <c r="L51" s="18">
        <f t="shared" si="1"/>
        <v>1690.0834357602484</v>
      </c>
      <c r="M51" s="18">
        <f t="shared" si="1"/>
        <v>1657.75140481527</v>
      </c>
      <c r="N51" s="18">
        <f t="shared" si="1"/>
        <v>1598.9658940062179</v>
      </c>
      <c r="O51" s="18">
        <f t="shared" si="1"/>
        <v>1258.7447501988288</v>
      </c>
      <c r="P51" s="18">
        <f t="shared" si="1"/>
        <v>1119.12916202733</v>
      </c>
      <c r="Q51" s="18">
        <f t="shared" si="1"/>
        <v>2070.7196182488606</v>
      </c>
      <c r="R51" s="18">
        <f t="shared" si="1"/>
        <v>1892.158629166365</v>
      </c>
      <c r="S51" s="18">
        <f t="shared" si="1"/>
        <v>1650.4032159641383</v>
      </c>
      <c r="T51" s="18">
        <f t="shared" si="1"/>
        <v>1623.9497361000647</v>
      </c>
      <c r="U51" s="18">
        <f t="shared" si="1"/>
        <v>1571.0427763719181</v>
      </c>
      <c r="V51" s="18">
        <f t="shared" si="1"/>
        <v>1241.1090969561135</v>
      </c>
      <c r="W51" s="18">
        <f t="shared" si="1"/>
        <v>1106.6372409804062</v>
      </c>
      <c r="X51" s="18">
        <f t="shared" si="1"/>
        <v>2053.8187838912586</v>
      </c>
      <c r="Y51" s="18">
        <f t="shared" si="1"/>
        <v>1882.6059836598943</v>
      </c>
      <c r="Z51" s="18">
        <f t="shared" si="1"/>
        <v>1647.4639404236862</v>
      </c>
      <c r="AA51" s="18">
        <f t="shared" ref="AA51:AF51" si="2">SUM(AA3:AA50)</f>
        <v>1626.1541927554047</v>
      </c>
      <c r="AB51" s="18">
        <f t="shared" si="2"/>
        <v>1578.3909652230498</v>
      </c>
      <c r="AC51" s="18">
        <f t="shared" si="2"/>
        <v>1250.6617424625842</v>
      </c>
      <c r="AD51" s="18">
        <f t="shared" si="2"/>
        <v>1118.3943431422169</v>
      </c>
      <c r="AE51" s="18">
        <f t="shared" si="2"/>
        <v>2081.7419015255582</v>
      </c>
      <c r="AF51" s="18">
        <f t="shared" si="2"/>
        <v>1914.9380146048732</v>
      </c>
      <c r="AG51" s="21">
        <f>SUM(B51:AF51)</f>
        <v>50816.399999999994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A4F6-4C38-40B7-937C-FED09033F9EF}">
  <sheetPr>
    <tabColor rgb="FF00B0F0"/>
  </sheetPr>
  <dimension ref="A1:AG54"/>
  <sheetViews>
    <sheetView zoomScale="75" zoomScaleNormal="75" workbookViewId="0">
      <pane xSplit="1" ySplit="2" topLeftCell="B3" activePane="bottomRight" state="frozen"/>
      <selection activeCell="I28" sqref="I28"/>
      <selection pane="topRight" activeCell="I28" sqref="I28"/>
      <selection pane="bottomLeft" activeCell="I28" sqref="I28"/>
      <selection pane="bottomRight" activeCell="I28" sqref="I28"/>
    </sheetView>
  </sheetViews>
  <sheetFormatPr defaultColWidth="9.140625" defaultRowHeight="15" x14ac:dyDescent="0.25"/>
  <cols>
    <col min="1" max="1" width="9.7109375" style="3" bestFit="1" customWidth="1"/>
    <col min="2" max="2" width="13.85546875" style="3" bestFit="1" customWidth="1"/>
    <col min="3" max="10" width="7.7109375" style="3" bestFit="1" customWidth="1"/>
    <col min="11" max="32" width="8.85546875" style="3" bestFit="1" customWidth="1"/>
    <col min="33" max="33" width="6.42578125" style="3" bestFit="1" customWidth="1"/>
    <col min="34" max="16384" width="9.140625" style="3"/>
  </cols>
  <sheetData>
    <row r="1" spans="1:32" x14ac:dyDescent="0.25">
      <c r="A1" s="1" t="s">
        <v>57</v>
      </c>
      <c r="B1" s="2">
        <f>'C-FTE Mar'!B1</f>
        <v>46082</v>
      </c>
      <c r="C1" s="2">
        <f>'C-FTE Mar'!C1</f>
        <v>46083</v>
      </c>
      <c r="D1" s="2">
        <f>'C-FTE Mar'!D1</f>
        <v>46084</v>
      </c>
      <c r="E1" s="2">
        <f>'C-FTE Mar'!E1</f>
        <v>46085</v>
      </c>
      <c r="F1" s="2">
        <f>'C-FTE Mar'!F1</f>
        <v>46086</v>
      </c>
      <c r="G1" s="2">
        <f>'C-FTE Mar'!G1</f>
        <v>46087</v>
      </c>
      <c r="H1" s="2">
        <f>'C-FTE Mar'!H1</f>
        <v>46088</v>
      </c>
      <c r="I1" s="2">
        <f>'C-FTE Mar'!I1</f>
        <v>46089</v>
      </c>
      <c r="J1" s="2">
        <f>'C-FTE Mar'!J1</f>
        <v>46090</v>
      </c>
      <c r="K1" s="2">
        <f>'C-FTE Mar'!K1</f>
        <v>46091</v>
      </c>
      <c r="L1" s="2">
        <f>'C-FTE Mar'!L1</f>
        <v>46092</v>
      </c>
      <c r="M1" s="2">
        <f>'C-FTE Mar'!M1</f>
        <v>46093</v>
      </c>
      <c r="N1" s="2">
        <f>'C-FTE Mar'!N1</f>
        <v>46094</v>
      </c>
      <c r="O1" s="2">
        <f>'C-FTE Mar'!O1</f>
        <v>46095</v>
      </c>
      <c r="P1" s="2">
        <f>'C-FTE Mar'!P1</f>
        <v>46096</v>
      </c>
      <c r="Q1" s="2">
        <f>'C-FTE Mar'!Q1</f>
        <v>46097</v>
      </c>
      <c r="R1" s="2">
        <f>'C-FTE Mar'!R1</f>
        <v>46098</v>
      </c>
      <c r="S1" s="2">
        <f>'C-FTE Mar'!S1</f>
        <v>46099</v>
      </c>
      <c r="T1" s="2">
        <f>'C-FTE Mar'!T1</f>
        <v>46100</v>
      </c>
      <c r="U1" s="2">
        <f>'C-FTE Mar'!U1</f>
        <v>46101</v>
      </c>
      <c r="V1" s="2">
        <f>'C-FTE Mar'!V1</f>
        <v>46102</v>
      </c>
      <c r="W1" s="2">
        <f>'C-FTE Mar'!W1</f>
        <v>46103</v>
      </c>
      <c r="X1" s="2">
        <f>'C-FTE Mar'!X1</f>
        <v>46104</v>
      </c>
      <c r="Y1" s="2">
        <f>'C-FTE Mar'!Y1</f>
        <v>46105</v>
      </c>
      <c r="Z1" s="2">
        <f>'C-FTE Mar'!Z1</f>
        <v>46106</v>
      </c>
      <c r="AA1" s="2">
        <f>'C-FTE Mar'!AA1</f>
        <v>46107</v>
      </c>
      <c r="AB1" s="2">
        <f>'C-FTE Mar'!AB1</f>
        <v>46108</v>
      </c>
      <c r="AC1" s="2">
        <f>'C-FTE Mar'!AC1</f>
        <v>46109</v>
      </c>
      <c r="AD1" s="2">
        <f>'C-FTE Mar'!AD1</f>
        <v>46110</v>
      </c>
      <c r="AE1" s="2">
        <f>'C-FTE Mar'!AE1</f>
        <v>46111</v>
      </c>
      <c r="AF1" s="2">
        <f>'C-FTE Mar'!AF1</f>
        <v>46112</v>
      </c>
    </row>
    <row r="2" spans="1:32" x14ac:dyDescent="0.25">
      <c r="A2" s="4">
        <f>'C-FTE Mar'!A2</f>
        <v>0</v>
      </c>
      <c r="B2" s="5" t="str">
        <f>TEXT(B1,"ddd")</f>
        <v>Sun</v>
      </c>
      <c r="C2" s="5" t="str">
        <f t="shared" ref="C2:AF2" si="0">TEXT(C1,"ddd")</f>
        <v>Mon</v>
      </c>
      <c r="D2" s="5" t="str">
        <f t="shared" si="0"/>
        <v>Tue</v>
      </c>
      <c r="E2" s="5" t="str">
        <f t="shared" si="0"/>
        <v>Wed</v>
      </c>
      <c r="F2" s="5" t="str">
        <f t="shared" si="0"/>
        <v>Thu</v>
      </c>
      <c r="G2" s="5" t="str">
        <f t="shared" si="0"/>
        <v>Fri</v>
      </c>
      <c r="H2" s="5" t="str">
        <f t="shared" si="0"/>
        <v>Sat</v>
      </c>
      <c r="I2" s="5" t="str">
        <f t="shared" si="0"/>
        <v>Sun</v>
      </c>
      <c r="J2" s="5" t="str">
        <f t="shared" si="0"/>
        <v>Mon</v>
      </c>
      <c r="K2" s="5" t="str">
        <f t="shared" si="0"/>
        <v>Tue</v>
      </c>
      <c r="L2" s="5" t="str">
        <f t="shared" si="0"/>
        <v>Wed</v>
      </c>
      <c r="M2" s="5" t="str">
        <f t="shared" si="0"/>
        <v>Thu</v>
      </c>
      <c r="N2" s="5" t="str">
        <f t="shared" si="0"/>
        <v>Fri</v>
      </c>
      <c r="O2" s="5" t="str">
        <f t="shared" si="0"/>
        <v>Sat</v>
      </c>
      <c r="P2" s="5" t="str">
        <f t="shared" si="0"/>
        <v>Sun</v>
      </c>
      <c r="Q2" s="5" t="str">
        <f t="shared" si="0"/>
        <v>Mon</v>
      </c>
      <c r="R2" s="5" t="str">
        <f t="shared" si="0"/>
        <v>Tue</v>
      </c>
      <c r="S2" s="5" t="str">
        <f t="shared" si="0"/>
        <v>Wed</v>
      </c>
      <c r="T2" s="5" t="str">
        <f t="shared" si="0"/>
        <v>Thu</v>
      </c>
      <c r="U2" s="5" t="str">
        <f t="shared" si="0"/>
        <v>Fri</v>
      </c>
      <c r="V2" s="5" t="str">
        <f t="shared" si="0"/>
        <v>Sat</v>
      </c>
      <c r="W2" s="5" t="str">
        <f t="shared" si="0"/>
        <v>Sun</v>
      </c>
      <c r="X2" s="5" t="str">
        <f t="shared" si="0"/>
        <v>Mon</v>
      </c>
      <c r="Y2" s="5" t="str">
        <f t="shared" si="0"/>
        <v>Tue</v>
      </c>
      <c r="Z2" s="5" t="str">
        <f t="shared" si="0"/>
        <v>Wed</v>
      </c>
      <c r="AA2" s="5" t="str">
        <f t="shared" si="0"/>
        <v>Thu</v>
      </c>
      <c r="AB2" s="5" t="str">
        <f t="shared" si="0"/>
        <v>Fri</v>
      </c>
      <c r="AC2" s="5" t="str">
        <f t="shared" si="0"/>
        <v>Sat</v>
      </c>
      <c r="AD2" s="5" t="str">
        <f t="shared" si="0"/>
        <v>Sun</v>
      </c>
      <c r="AE2" s="5" t="str">
        <f t="shared" si="0"/>
        <v>Mon</v>
      </c>
      <c r="AF2" s="5" t="str">
        <f t="shared" si="0"/>
        <v>Tue</v>
      </c>
    </row>
    <row r="3" spans="1:32" x14ac:dyDescent="0.25">
      <c r="A3" s="3" t="s">
        <v>8</v>
      </c>
      <c r="B3" s="7">
        <f>'C-FTE Mar'!B3/2</f>
        <v>0</v>
      </c>
      <c r="C3" s="7">
        <f>'C-FTE Mar'!C3/2</f>
        <v>0</v>
      </c>
      <c r="D3" s="7">
        <f>'C-FTE Mar'!D3/2</f>
        <v>0</v>
      </c>
      <c r="E3" s="7">
        <f>'C-FTE Mar'!E3/2</f>
        <v>0</v>
      </c>
      <c r="F3" s="7">
        <f>'C-FTE Mar'!F3/2</f>
        <v>0</v>
      </c>
      <c r="G3" s="7">
        <f>'C-FTE Mar'!G3/2</f>
        <v>0</v>
      </c>
      <c r="H3" s="7">
        <f>'C-FTE Mar'!H3/2</f>
        <v>0</v>
      </c>
      <c r="I3" s="7">
        <f>'C-FTE Mar'!I3/2</f>
        <v>0</v>
      </c>
      <c r="J3" s="7">
        <f>'C-FTE Mar'!J3/2</f>
        <v>0</v>
      </c>
      <c r="K3" s="7">
        <f>'C-FTE Mar'!K3/2</f>
        <v>0</v>
      </c>
      <c r="L3" s="7">
        <f>'C-FTE Mar'!L3/2</f>
        <v>0</v>
      </c>
      <c r="M3" s="7">
        <f>'C-FTE Mar'!M3/2</f>
        <v>0</v>
      </c>
      <c r="N3" s="7">
        <f>'C-FTE Mar'!N3/2</f>
        <v>0</v>
      </c>
      <c r="O3" s="7">
        <f>'C-FTE Mar'!O3/2</f>
        <v>0</v>
      </c>
      <c r="P3" s="7">
        <f>'C-FTE Mar'!P3/2</f>
        <v>0</v>
      </c>
      <c r="Q3" s="7">
        <f>'C-FTE Mar'!Q3/2</f>
        <v>0</v>
      </c>
      <c r="R3" s="7">
        <f>'C-FTE Mar'!R3/2</f>
        <v>0</v>
      </c>
      <c r="S3" s="7">
        <f>'C-FTE Mar'!S3/2</f>
        <v>0</v>
      </c>
      <c r="T3" s="7">
        <f>'C-FTE Mar'!T3/2</f>
        <v>0</v>
      </c>
      <c r="U3" s="7">
        <f>'C-FTE Mar'!U3/2</f>
        <v>0</v>
      </c>
      <c r="V3" s="7">
        <f>'C-FTE Mar'!V3/2</f>
        <v>0</v>
      </c>
      <c r="W3" s="7">
        <f>'C-FTE Mar'!W3/2</f>
        <v>0</v>
      </c>
      <c r="X3" s="7">
        <f>'C-FTE Mar'!X3/2</f>
        <v>0</v>
      </c>
      <c r="Y3" s="7">
        <f>'C-FTE Mar'!Y3/2</f>
        <v>0</v>
      </c>
      <c r="Z3" s="7">
        <f>'C-FTE Mar'!Z3/2</f>
        <v>0</v>
      </c>
      <c r="AA3" s="7">
        <f>'C-FTE Mar'!AA3/2</f>
        <v>0</v>
      </c>
      <c r="AB3" s="7">
        <f>'C-FTE Mar'!AB3/2</f>
        <v>0</v>
      </c>
      <c r="AC3" s="7">
        <f>'C-FTE Mar'!AC3/2</f>
        <v>0</v>
      </c>
      <c r="AD3" s="7">
        <f>'C-FTE Mar'!AD3/2</f>
        <v>0</v>
      </c>
      <c r="AE3" s="7">
        <f>'C-FTE Mar'!AE3/2</f>
        <v>0</v>
      </c>
      <c r="AF3" s="7">
        <f>'C-FTE Mar'!AF3/2</f>
        <v>0</v>
      </c>
    </row>
    <row r="4" spans="1:32" x14ac:dyDescent="0.25">
      <c r="A4" s="3" t="s">
        <v>9</v>
      </c>
      <c r="B4" s="7">
        <f>'C-FTE Mar'!B4/2</f>
        <v>0</v>
      </c>
      <c r="C4" s="7">
        <f>'C-FTE Mar'!C4/2</f>
        <v>0</v>
      </c>
      <c r="D4" s="7">
        <f>'C-FTE Mar'!D4/2</f>
        <v>0</v>
      </c>
      <c r="E4" s="7">
        <f>'C-FTE Mar'!E4/2</f>
        <v>0</v>
      </c>
      <c r="F4" s="7">
        <f>'C-FTE Mar'!F4/2</f>
        <v>0</v>
      </c>
      <c r="G4" s="7">
        <f>'C-FTE Mar'!G4/2</f>
        <v>0</v>
      </c>
      <c r="H4" s="7">
        <f>'C-FTE Mar'!H4/2</f>
        <v>0</v>
      </c>
      <c r="I4" s="7">
        <f>'C-FTE Mar'!I4/2</f>
        <v>0</v>
      </c>
      <c r="J4" s="7">
        <f>'C-FTE Mar'!J4/2</f>
        <v>0</v>
      </c>
      <c r="K4" s="7">
        <f>'C-FTE Mar'!K4/2</f>
        <v>0</v>
      </c>
      <c r="L4" s="7">
        <f>'C-FTE Mar'!L4/2</f>
        <v>0</v>
      </c>
      <c r="M4" s="7">
        <f>'C-FTE Mar'!M4/2</f>
        <v>0</v>
      </c>
      <c r="N4" s="7">
        <f>'C-FTE Mar'!N4/2</f>
        <v>0</v>
      </c>
      <c r="O4" s="7">
        <f>'C-FTE Mar'!O4/2</f>
        <v>0</v>
      </c>
      <c r="P4" s="7">
        <f>'C-FTE Mar'!P4/2</f>
        <v>0</v>
      </c>
      <c r="Q4" s="7">
        <f>'C-FTE Mar'!Q4/2</f>
        <v>0</v>
      </c>
      <c r="R4" s="7">
        <f>'C-FTE Mar'!R4/2</f>
        <v>0</v>
      </c>
      <c r="S4" s="7">
        <f>'C-FTE Mar'!S4/2</f>
        <v>0</v>
      </c>
      <c r="T4" s="7">
        <f>'C-FTE Mar'!T4/2</f>
        <v>0</v>
      </c>
      <c r="U4" s="7">
        <f>'C-FTE Mar'!U4/2</f>
        <v>0</v>
      </c>
      <c r="V4" s="7">
        <f>'C-FTE Mar'!V4/2</f>
        <v>0</v>
      </c>
      <c r="W4" s="7">
        <f>'C-FTE Mar'!W4/2</f>
        <v>0</v>
      </c>
      <c r="X4" s="7">
        <f>'C-FTE Mar'!X4/2</f>
        <v>0</v>
      </c>
      <c r="Y4" s="7">
        <f>'C-FTE Mar'!Y4/2</f>
        <v>0</v>
      </c>
      <c r="Z4" s="7">
        <f>'C-FTE Mar'!Z4/2</f>
        <v>0</v>
      </c>
      <c r="AA4" s="7">
        <f>'C-FTE Mar'!AA4/2</f>
        <v>0</v>
      </c>
      <c r="AB4" s="7">
        <f>'C-FTE Mar'!AB4/2</f>
        <v>0</v>
      </c>
      <c r="AC4" s="7">
        <f>'C-FTE Mar'!AC4/2</f>
        <v>0</v>
      </c>
      <c r="AD4" s="7">
        <f>'C-FTE Mar'!AD4/2</f>
        <v>0</v>
      </c>
      <c r="AE4" s="7">
        <f>'C-FTE Mar'!AE4/2</f>
        <v>0</v>
      </c>
      <c r="AF4" s="7">
        <f>'C-FTE Mar'!AF4/2</f>
        <v>0</v>
      </c>
    </row>
    <row r="5" spans="1:32" x14ac:dyDescent="0.25">
      <c r="A5" s="3" t="s">
        <v>10</v>
      </c>
      <c r="B5" s="7">
        <f>'C-FTE Mar'!B5/2</f>
        <v>0</v>
      </c>
      <c r="C5" s="7">
        <f>'C-FTE Mar'!C5/2</f>
        <v>0</v>
      </c>
      <c r="D5" s="7">
        <f>'C-FTE Mar'!D5/2</f>
        <v>0</v>
      </c>
      <c r="E5" s="7">
        <f>'C-FTE Mar'!E5/2</f>
        <v>0</v>
      </c>
      <c r="F5" s="7">
        <f>'C-FTE Mar'!F5/2</f>
        <v>0</v>
      </c>
      <c r="G5" s="7">
        <f>'C-FTE Mar'!G5/2</f>
        <v>0</v>
      </c>
      <c r="H5" s="7">
        <f>'C-FTE Mar'!H5/2</f>
        <v>0</v>
      </c>
      <c r="I5" s="7">
        <f>'C-FTE Mar'!I5/2</f>
        <v>0</v>
      </c>
      <c r="J5" s="7">
        <f>'C-FTE Mar'!J5/2</f>
        <v>0</v>
      </c>
      <c r="K5" s="7">
        <f>'C-FTE Mar'!K5/2</f>
        <v>0</v>
      </c>
      <c r="L5" s="7">
        <f>'C-FTE Mar'!L5/2</f>
        <v>0</v>
      </c>
      <c r="M5" s="7">
        <f>'C-FTE Mar'!M5/2</f>
        <v>0</v>
      </c>
      <c r="N5" s="7">
        <f>'C-FTE Mar'!N5/2</f>
        <v>0</v>
      </c>
      <c r="O5" s="7">
        <f>'C-FTE Mar'!O5/2</f>
        <v>0</v>
      </c>
      <c r="P5" s="7">
        <f>'C-FTE Mar'!P5/2</f>
        <v>0</v>
      </c>
      <c r="Q5" s="7">
        <f>'C-FTE Mar'!Q5/2</f>
        <v>0</v>
      </c>
      <c r="R5" s="7">
        <f>'C-FTE Mar'!R5/2</f>
        <v>0</v>
      </c>
      <c r="S5" s="7">
        <f>'C-FTE Mar'!S5/2</f>
        <v>0</v>
      </c>
      <c r="T5" s="7">
        <f>'C-FTE Mar'!T5/2</f>
        <v>0</v>
      </c>
      <c r="U5" s="7">
        <f>'C-FTE Mar'!U5/2</f>
        <v>0</v>
      </c>
      <c r="V5" s="7">
        <f>'C-FTE Mar'!V5/2</f>
        <v>0</v>
      </c>
      <c r="W5" s="7">
        <f>'C-FTE Mar'!W5/2</f>
        <v>0</v>
      </c>
      <c r="X5" s="7">
        <f>'C-FTE Mar'!X5/2</f>
        <v>0</v>
      </c>
      <c r="Y5" s="7">
        <f>'C-FTE Mar'!Y5/2</f>
        <v>0</v>
      </c>
      <c r="Z5" s="7">
        <f>'C-FTE Mar'!Z5/2</f>
        <v>0</v>
      </c>
      <c r="AA5" s="7">
        <f>'C-FTE Mar'!AA5/2</f>
        <v>0</v>
      </c>
      <c r="AB5" s="7">
        <f>'C-FTE Mar'!AB5/2</f>
        <v>0</v>
      </c>
      <c r="AC5" s="7">
        <f>'C-FTE Mar'!AC5/2</f>
        <v>0</v>
      </c>
      <c r="AD5" s="7">
        <f>'C-FTE Mar'!AD5/2</f>
        <v>0</v>
      </c>
      <c r="AE5" s="7">
        <f>'C-FTE Mar'!AE5/2</f>
        <v>0</v>
      </c>
      <c r="AF5" s="7">
        <f>'C-FTE Mar'!AF5/2</f>
        <v>0</v>
      </c>
    </row>
    <row r="6" spans="1:32" x14ac:dyDescent="0.25">
      <c r="A6" s="3" t="s">
        <v>11</v>
      </c>
      <c r="B6" s="7">
        <f>'C-FTE Mar'!B6/2</f>
        <v>0</v>
      </c>
      <c r="C6" s="7">
        <f>'C-FTE Mar'!C6/2</f>
        <v>0</v>
      </c>
      <c r="D6" s="7">
        <f>'C-FTE Mar'!D6/2</f>
        <v>0</v>
      </c>
      <c r="E6" s="7">
        <f>'C-FTE Mar'!E6/2</f>
        <v>0</v>
      </c>
      <c r="F6" s="7">
        <f>'C-FTE Mar'!F6/2</f>
        <v>0</v>
      </c>
      <c r="G6" s="7">
        <f>'C-FTE Mar'!G6/2</f>
        <v>0</v>
      </c>
      <c r="H6" s="7">
        <f>'C-FTE Mar'!H6/2</f>
        <v>0</v>
      </c>
      <c r="I6" s="7">
        <f>'C-FTE Mar'!I6/2</f>
        <v>0</v>
      </c>
      <c r="J6" s="7">
        <f>'C-FTE Mar'!J6/2</f>
        <v>0</v>
      </c>
      <c r="K6" s="7">
        <f>'C-FTE Mar'!K6/2</f>
        <v>0</v>
      </c>
      <c r="L6" s="7">
        <f>'C-FTE Mar'!L6/2</f>
        <v>0</v>
      </c>
      <c r="M6" s="7">
        <f>'C-FTE Mar'!M6/2</f>
        <v>0</v>
      </c>
      <c r="N6" s="7">
        <f>'C-FTE Mar'!N6/2</f>
        <v>0</v>
      </c>
      <c r="O6" s="7">
        <f>'C-FTE Mar'!O6/2</f>
        <v>0</v>
      </c>
      <c r="P6" s="7">
        <f>'C-FTE Mar'!P6/2</f>
        <v>0</v>
      </c>
      <c r="Q6" s="7">
        <f>'C-FTE Mar'!Q6/2</f>
        <v>0</v>
      </c>
      <c r="R6" s="7">
        <f>'C-FTE Mar'!R6/2</f>
        <v>0</v>
      </c>
      <c r="S6" s="7">
        <f>'C-FTE Mar'!S6/2</f>
        <v>0</v>
      </c>
      <c r="T6" s="7">
        <f>'C-FTE Mar'!T6/2</f>
        <v>0</v>
      </c>
      <c r="U6" s="7">
        <f>'C-FTE Mar'!U6/2</f>
        <v>0</v>
      </c>
      <c r="V6" s="7">
        <f>'C-FTE Mar'!V6/2</f>
        <v>0</v>
      </c>
      <c r="W6" s="7">
        <f>'C-FTE Mar'!W6/2</f>
        <v>0</v>
      </c>
      <c r="X6" s="7">
        <f>'C-FTE Mar'!X6/2</f>
        <v>0</v>
      </c>
      <c r="Y6" s="7">
        <f>'C-FTE Mar'!Y6/2</f>
        <v>0</v>
      </c>
      <c r="Z6" s="7">
        <f>'C-FTE Mar'!Z6/2</f>
        <v>0</v>
      </c>
      <c r="AA6" s="7">
        <f>'C-FTE Mar'!AA6/2</f>
        <v>0</v>
      </c>
      <c r="AB6" s="7">
        <f>'C-FTE Mar'!AB6/2</f>
        <v>0</v>
      </c>
      <c r="AC6" s="7">
        <f>'C-FTE Mar'!AC6/2</f>
        <v>0</v>
      </c>
      <c r="AD6" s="7">
        <f>'C-FTE Mar'!AD6/2</f>
        <v>0</v>
      </c>
      <c r="AE6" s="7">
        <f>'C-FTE Mar'!AE6/2</f>
        <v>0</v>
      </c>
      <c r="AF6" s="7">
        <f>'C-FTE Mar'!AF6/2</f>
        <v>0</v>
      </c>
    </row>
    <row r="7" spans="1:32" x14ac:dyDescent="0.25">
      <c r="A7" s="3" t="s">
        <v>12</v>
      </c>
      <c r="B7" s="7">
        <f>'C-FTE Mar'!B7/2</f>
        <v>0</v>
      </c>
      <c r="C7" s="7">
        <f>'C-FTE Mar'!C7/2</f>
        <v>0</v>
      </c>
      <c r="D7" s="7">
        <f>'C-FTE Mar'!D7/2</f>
        <v>0</v>
      </c>
      <c r="E7" s="7">
        <f>'C-FTE Mar'!E7/2</f>
        <v>0</v>
      </c>
      <c r="F7" s="7">
        <f>'C-FTE Mar'!F7/2</f>
        <v>0</v>
      </c>
      <c r="G7" s="7">
        <f>'C-FTE Mar'!G7/2</f>
        <v>0</v>
      </c>
      <c r="H7" s="7">
        <f>'C-FTE Mar'!H7/2</f>
        <v>0</v>
      </c>
      <c r="I7" s="7">
        <f>'C-FTE Mar'!I7/2</f>
        <v>0</v>
      </c>
      <c r="J7" s="7">
        <f>'C-FTE Mar'!J7/2</f>
        <v>0</v>
      </c>
      <c r="K7" s="7">
        <f>'C-FTE Mar'!K7/2</f>
        <v>0</v>
      </c>
      <c r="L7" s="7">
        <f>'C-FTE Mar'!L7/2</f>
        <v>0</v>
      </c>
      <c r="M7" s="7">
        <f>'C-FTE Mar'!M7/2</f>
        <v>0</v>
      </c>
      <c r="N7" s="7">
        <f>'C-FTE Mar'!N7/2</f>
        <v>0</v>
      </c>
      <c r="O7" s="7">
        <f>'C-FTE Mar'!O7/2</f>
        <v>0</v>
      </c>
      <c r="P7" s="7">
        <f>'C-FTE Mar'!P7/2</f>
        <v>0</v>
      </c>
      <c r="Q7" s="7">
        <f>'C-FTE Mar'!Q7/2</f>
        <v>0</v>
      </c>
      <c r="R7" s="7">
        <f>'C-FTE Mar'!R7/2</f>
        <v>0</v>
      </c>
      <c r="S7" s="7">
        <f>'C-FTE Mar'!S7/2</f>
        <v>0</v>
      </c>
      <c r="T7" s="7">
        <f>'C-FTE Mar'!T7/2</f>
        <v>0</v>
      </c>
      <c r="U7" s="7">
        <f>'C-FTE Mar'!U7/2</f>
        <v>0</v>
      </c>
      <c r="V7" s="7">
        <f>'C-FTE Mar'!V7/2</f>
        <v>0</v>
      </c>
      <c r="W7" s="7">
        <f>'C-FTE Mar'!W7/2</f>
        <v>0</v>
      </c>
      <c r="X7" s="7">
        <f>'C-FTE Mar'!X7/2</f>
        <v>0</v>
      </c>
      <c r="Y7" s="7">
        <f>'C-FTE Mar'!Y7/2</f>
        <v>0</v>
      </c>
      <c r="Z7" s="7">
        <f>'C-FTE Mar'!Z7/2</f>
        <v>0</v>
      </c>
      <c r="AA7" s="7">
        <f>'C-FTE Mar'!AA7/2</f>
        <v>0</v>
      </c>
      <c r="AB7" s="7">
        <f>'C-FTE Mar'!AB7/2</f>
        <v>0</v>
      </c>
      <c r="AC7" s="7">
        <f>'C-FTE Mar'!AC7/2</f>
        <v>0</v>
      </c>
      <c r="AD7" s="7">
        <f>'C-FTE Mar'!AD7/2</f>
        <v>0</v>
      </c>
      <c r="AE7" s="7">
        <f>'C-FTE Mar'!AE7/2</f>
        <v>0</v>
      </c>
      <c r="AF7" s="7">
        <f>'C-FTE Mar'!AF7/2</f>
        <v>0</v>
      </c>
    </row>
    <row r="8" spans="1:32" x14ac:dyDescent="0.25">
      <c r="A8" s="3" t="s">
        <v>13</v>
      </c>
      <c r="B8" s="7">
        <f>'C-FTE Mar'!B8/2</f>
        <v>0</v>
      </c>
      <c r="C8" s="7">
        <f>'C-FTE Mar'!C8/2</f>
        <v>0</v>
      </c>
      <c r="D8" s="7">
        <f>'C-FTE Mar'!D8/2</f>
        <v>0</v>
      </c>
      <c r="E8" s="7">
        <f>'C-FTE Mar'!E8/2</f>
        <v>0</v>
      </c>
      <c r="F8" s="7">
        <f>'C-FTE Mar'!F8/2</f>
        <v>0</v>
      </c>
      <c r="G8" s="7">
        <f>'C-FTE Mar'!G8/2</f>
        <v>0</v>
      </c>
      <c r="H8" s="7">
        <f>'C-FTE Mar'!H8/2</f>
        <v>0</v>
      </c>
      <c r="I8" s="7">
        <f>'C-FTE Mar'!I8/2</f>
        <v>0</v>
      </c>
      <c r="J8" s="7">
        <f>'C-FTE Mar'!J8/2</f>
        <v>0</v>
      </c>
      <c r="K8" s="7">
        <f>'C-FTE Mar'!K8/2</f>
        <v>0</v>
      </c>
      <c r="L8" s="7">
        <f>'C-FTE Mar'!L8/2</f>
        <v>0</v>
      </c>
      <c r="M8" s="7">
        <f>'C-FTE Mar'!M8/2</f>
        <v>0</v>
      </c>
      <c r="N8" s="7">
        <f>'C-FTE Mar'!N8/2</f>
        <v>0</v>
      </c>
      <c r="O8" s="7">
        <f>'C-FTE Mar'!O8/2</f>
        <v>0</v>
      </c>
      <c r="P8" s="7">
        <f>'C-FTE Mar'!P8/2</f>
        <v>0</v>
      </c>
      <c r="Q8" s="7">
        <f>'C-FTE Mar'!Q8/2</f>
        <v>0</v>
      </c>
      <c r="R8" s="7">
        <f>'C-FTE Mar'!R8/2</f>
        <v>0</v>
      </c>
      <c r="S8" s="7">
        <f>'C-FTE Mar'!S8/2</f>
        <v>0</v>
      </c>
      <c r="T8" s="7">
        <f>'C-FTE Mar'!T8/2</f>
        <v>0</v>
      </c>
      <c r="U8" s="7">
        <f>'C-FTE Mar'!U8/2</f>
        <v>0</v>
      </c>
      <c r="V8" s="7">
        <f>'C-FTE Mar'!V8/2</f>
        <v>0</v>
      </c>
      <c r="W8" s="7">
        <f>'C-FTE Mar'!W8/2</f>
        <v>0</v>
      </c>
      <c r="X8" s="7">
        <f>'C-FTE Mar'!X8/2</f>
        <v>0</v>
      </c>
      <c r="Y8" s="7">
        <f>'C-FTE Mar'!Y8/2</f>
        <v>0</v>
      </c>
      <c r="Z8" s="7">
        <f>'C-FTE Mar'!Z8/2</f>
        <v>0</v>
      </c>
      <c r="AA8" s="7">
        <f>'C-FTE Mar'!AA8/2</f>
        <v>0</v>
      </c>
      <c r="AB8" s="7">
        <f>'C-FTE Mar'!AB8/2</f>
        <v>0</v>
      </c>
      <c r="AC8" s="7">
        <f>'C-FTE Mar'!AC8/2</f>
        <v>0</v>
      </c>
      <c r="AD8" s="7">
        <f>'C-FTE Mar'!AD8/2</f>
        <v>0</v>
      </c>
      <c r="AE8" s="7">
        <f>'C-FTE Mar'!AE8/2</f>
        <v>0</v>
      </c>
      <c r="AF8" s="7">
        <f>'C-FTE Mar'!AF8/2</f>
        <v>0</v>
      </c>
    </row>
    <row r="9" spans="1:32" x14ac:dyDescent="0.25">
      <c r="A9" s="3" t="s">
        <v>14</v>
      </c>
      <c r="B9" s="7">
        <f>'C-FTE Mar'!B9/2</f>
        <v>0</v>
      </c>
      <c r="C9" s="7">
        <f>'C-FTE Mar'!C9/2</f>
        <v>0</v>
      </c>
      <c r="D9" s="7">
        <f>'C-FTE Mar'!D9/2</f>
        <v>0</v>
      </c>
      <c r="E9" s="7">
        <f>'C-FTE Mar'!E9/2</f>
        <v>0</v>
      </c>
      <c r="F9" s="7">
        <f>'C-FTE Mar'!F9/2</f>
        <v>0</v>
      </c>
      <c r="G9" s="7">
        <f>'C-FTE Mar'!G9/2</f>
        <v>0</v>
      </c>
      <c r="H9" s="7">
        <f>'C-FTE Mar'!H9/2</f>
        <v>0</v>
      </c>
      <c r="I9" s="7">
        <f>'C-FTE Mar'!I9/2</f>
        <v>0</v>
      </c>
      <c r="J9" s="7">
        <f>'C-FTE Mar'!J9/2</f>
        <v>0</v>
      </c>
      <c r="K9" s="7">
        <f>'C-FTE Mar'!K9/2</f>
        <v>0</v>
      </c>
      <c r="L9" s="7">
        <f>'C-FTE Mar'!L9/2</f>
        <v>0</v>
      </c>
      <c r="M9" s="7">
        <f>'C-FTE Mar'!M9/2</f>
        <v>0</v>
      </c>
      <c r="N9" s="7">
        <f>'C-FTE Mar'!N9/2</f>
        <v>0</v>
      </c>
      <c r="O9" s="7">
        <f>'C-FTE Mar'!O9/2</f>
        <v>0</v>
      </c>
      <c r="P9" s="7">
        <f>'C-FTE Mar'!P9/2</f>
        <v>0</v>
      </c>
      <c r="Q9" s="7">
        <f>'C-FTE Mar'!Q9/2</f>
        <v>0</v>
      </c>
      <c r="R9" s="7">
        <f>'C-FTE Mar'!R9/2</f>
        <v>0</v>
      </c>
      <c r="S9" s="7">
        <f>'C-FTE Mar'!S9/2</f>
        <v>0</v>
      </c>
      <c r="T9" s="7">
        <f>'C-FTE Mar'!T9/2</f>
        <v>0</v>
      </c>
      <c r="U9" s="7">
        <f>'C-FTE Mar'!U9/2</f>
        <v>0</v>
      </c>
      <c r="V9" s="7">
        <f>'C-FTE Mar'!V9/2</f>
        <v>0</v>
      </c>
      <c r="W9" s="7">
        <f>'C-FTE Mar'!W9/2</f>
        <v>0</v>
      </c>
      <c r="X9" s="7">
        <f>'C-FTE Mar'!X9/2</f>
        <v>0</v>
      </c>
      <c r="Y9" s="7">
        <f>'C-FTE Mar'!Y9/2</f>
        <v>0</v>
      </c>
      <c r="Z9" s="7">
        <f>'C-FTE Mar'!Z9/2</f>
        <v>0</v>
      </c>
      <c r="AA9" s="7">
        <f>'C-FTE Mar'!AA9/2</f>
        <v>0</v>
      </c>
      <c r="AB9" s="7">
        <f>'C-FTE Mar'!AB9/2</f>
        <v>0</v>
      </c>
      <c r="AC9" s="7">
        <f>'C-FTE Mar'!AC9/2</f>
        <v>0</v>
      </c>
      <c r="AD9" s="7">
        <f>'C-FTE Mar'!AD9/2</f>
        <v>0</v>
      </c>
      <c r="AE9" s="7">
        <f>'C-FTE Mar'!AE9/2</f>
        <v>0</v>
      </c>
      <c r="AF9" s="7">
        <f>'C-FTE Mar'!AF9/2</f>
        <v>0</v>
      </c>
    </row>
    <row r="10" spans="1:32" x14ac:dyDescent="0.25">
      <c r="A10" s="3" t="s">
        <v>15</v>
      </c>
      <c r="B10" s="7">
        <f>'C-FTE Mar'!B10/2</f>
        <v>0</v>
      </c>
      <c r="C10" s="7">
        <f>'C-FTE Mar'!C10/2</f>
        <v>0</v>
      </c>
      <c r="D10" s="7">
        <f>'C-FTE Mar'!D10/2</f>
        <v>0</v>
      </c>
      <c r="E10" s="7">
        <f>'C-FTE Mar'!E10/2</f>
        <v>0</v>
      </c>
      <c r="F10" s="7">
        <f>'C-FTE Mar'!F10/2</f>
        <v>0</v>
      </c>
      <c r="G10" s="7">
        <f>'C-FTE Mar'!G10/2</f>
        <v>0</v>
      </c>
      <c r="H10" s="7">
        <f>'C-FTE Mar'!H10/2</f>
        <v>0</v>
      </c>
      <c r="I10" s="7">
        <f>'C-FTE Mar'!I10/2</f>
        <v>0</v>
      </c>
      <c r="J10" s="7">
        <f>'C-FTE Mar'!J10/2</f>
        <v>0</v>
      </c>
      <c r="K10" s="7">
        <f>'C-FTE Mar'!K10/2</f>
        <v>0</v>
      </c>
      <c r="L10" s="7">
        <f>'C-FTE Mar'!L10/2</f>
        <v>0</v>
      </c>
      <c r="M10" s="7">
        <f>'C-FTE Mar'!M10/2</f>
        <v>0</v>
      </c>
      <c r="N10" s="7">
        <f>'C-FTE Mar'!N10/2</f>
        <v>0</v>
      </c>
      <c r="O10" s="7">
        <f>'C-FTE Mar'!O10/2</f>
        <v>0</v>
      </c>
      <c r="P10" s="7">
        <f>'C-FTE Mar'!P10/2</f>
        <v>0</v>
      </c>
      <c r="Q10" s="7">
        <f>'C-FTE Mar'!Q10/2</f>
        <v>0</v>
      </c>
      <c r="R10" s="7">
        <f>'C-FTE Mar'!R10/2</f>
        <v>0</v>
      </c>
      <c r="S10" s="7">
        <f>'C-FTE Mar'!S10/2</f>
        <v>0</v>
      </c>
      <c r="T10" s="7">
        <f>'C-FTE Mar'!T10/2</f>
        <v>0</v>
      </c>
      <c r="U10" s="7">
        <f>'C-FTE Mar'!U10/2</f>
        <v>0</v>
      </c>
      <c r="V10" s="7">
        <f>'C-FTE Mar'!V10/2</f>
        <v>0</v>
      </c>
      <c r="W10" s="7">
        <f>'C-FTE Mar'!W10/2</f>
        <v>0</v>
      </c>
      <c r="X10" s="7">
        <f>'C-FTE Mar'!X10/2</f>
        <v>0</v>
      </c>
      <c r="Y10" s="7">
        <f>'C-FTE Mar'!Y10/2</f>
        <v>0</v>
      </c>
      <c r="Z10" s="7">
        <f>'C-FTE Mar'!Z10/2</f>
        <v>0</v>
      </c>
      <c r="AA10" s="7">
        <f>'C-FTE Mar'!AA10/2</f>
        <v>0</v>
      </c>
      <c r="AB10" s="7">
        <f>'C-FTE Mar'!AB10/2</f>
        <v>0</v>
      </c>
      <c r="AC10" s="7">
        <f>'C-FTE Mar'!AC10/2</f>
        <v>0</v>
      </c>
      <c r="AD10" s="7">
        <f>'C-FTE Mar'!AD10/2</f>
        <v>0</v>
      </c>
      <c r="AE10" s="7">
        <f>'C-FTE Mar'!AE10/2</f>
        <v>0</v>
      </c>
      <c r="AF10" s="7">
        <f>'C-FTE Mar'!AF10/2</f>
        <v>0</v>
      </c>
    </row>
    <row r="11" spans="1:32" x14ac:dyDescent="0.25">
      <c r="A11" s="3" t="s">
        <v>16</v>
      </c>
      <c r="B11" s="7">
        <f>'C-FTE Mar'!B11/2</f>
        <v>0</v>
      </c>
      <c r="C11" s="7">
        <f>'C-FTE Mar'!C11/2</f>
        <v>0</v>
      </c>
      <c r="D11" s="7">
        <f>'C-FTE Mar'!D11/2</f>
        <v>0</v>
      </c>
      <c r="E11" s="7">
        <f>'C-FTE Mar'!E11/2</f>
        <v>0</v>
      </c>
      <c r="F11" s="7">
        <f>'C-FTE Mar'!F11/2</f>
        <v>0</v>
      </c>
      <c r="G11" s="7">
        <f>'C-FTE Mar'!G11/2</f>
        <v>0</v>
      </c>
      <c r="H11" s="7">
        <f>'C-FTE Mar'!H11/2</f>
        <v>0</v>
      </c>
      <c r="I11" s="7">
        <f>'C-FTE Mar'!I11/2</f>
        <v>0</v>
      </c>
      <c r="J11" s="7">
        <f>'C-FTE Mar'!J11/2</f>
        <v>0</v>
      </c>
      <c r="K11" s="7">
        <f>'C-FTE Mar'!K11/2</f>
        <v>0</v>
      </c>
      <c r="L11" s="7">
        <f>'C-FTE Mar'!L11/2</f>
        <v>0</v>
      </c>
      <c r="M11" s="7">
        <f>'C-FTE Mar'!M11/2</f>
        <v>0</v>
      </c>
      <c r="N11" s="7">
        <f>'C-FTE Mar'!N11/2</f>
        <v>0</v>
      </c>
      <c r="O11" s="7">
        <f>'C-FTE Mar'!O11/2</f>
        <v>0</v>
      </c>
      <c r="P11" s="7">
        <f>'C-FTE Mar'!P11/2</f>
        <v>0</v>
      </c>
      <c r="Q11" s="7">
        <f>'C-FTE Mar'!Q11/2</f>
        <v>0</v>
      </c>
      <c r="R11" s="7">
        <f>'C-FTE Mar'!R11/2</f>
        <v>0</v>
      </c>
      <c r="S11" s="7">
        <f>'C-FTE Mar'!S11/2</f>
        <v>0</v>
      </c>
      <c r="T11" s="7">
        <f>'C-FTE Mar'!T11/2</f>
        <v>0</v>
      </c>
      <c r="U11" s="7">
        <f>'C-FTE Mar'!U11/2</f>
        <v>0</v>
      </c>
      <c r="V11" s="7">
        <f>'C-FTE Mar'!V11/2</f>
        <v>0</v>
      </c>
      <c r="W11" s="7">
        <f>'C-FTE Mar'!W11/2</f>
        <v>0</v>
      </c>
      <c r="X11" s="7">
        <f>'C-FTE Mar'!X11/2</f>
        <v>0</v>
      </c>
      <c r="Y11" s="7">
        <f>'C-FTE Mar'!Y11/2</f>
        <v>0</v>
      </c>
      <c r="Z11" s="7">
        <f>'C-FTE Mar'!Z11/2</f>
        <v>0</v>
      </c>
      <c r="AA11" s="7">
        <f>'C-FTE Mar'!AA11/2</f>
        <v>0</v>
      </c>
      <c r="AB11" s="7">
        <f>'C-FTE Mar'!AB11/2</f>
        <v>0</v>
      </c>
      <c r="AC11" s="7">
        <f>'C-FTE Mar'!AC11/2</f>
        <v>0</v>
      </c>
      <c r="AD11" s="7">
        <f>'C-FTE Mar'!AD11/2</f>
        <v>0</v>
      </c>
      <c r="AE11" s="7">
        <f>'C-FTE Mar'!AE11/2</f>
        <v>0</v>
      </c>
      <c r="AF11" s="7">
        <f>'C-FTE Mar'!AF11/2</f>
        <v>0</v>
      </c>
    </row>
    <row r="12" spans="1:32" x14ac:dyDescent="0.25">
      <c r="A12" s="3" t="s">
        <v>17</v>
      </c>
      <c r="B12" s="7">
        <f>'C-FTE Mar'!B12/2</f>
        <v>0</v>
      </c>
      <c r="C12" s="7">
        <f>'C-FTE Mar'!C12/2</f>
        <v>0</v>
      </c>
      <c r="D12" s="7">
        <f>'C-FTE Mar'!D12/2</f>
        <v>0</v>
      </c>
      <c r="E12" s="7">
        <f>'C-FTE Mar'!E12/2</f>
        <v>0</v>
      </c>
      <c r="F12" s="7">
        <f>'C-FTE Mar'!F12/2</f>
        <v>0</v>
      </c>
      <c r="G12" s="7">
        <f>'C-FTE Mar'!G12/2</f>
        <v>0</v>
      </c>
      <c r="H12" s="7">
        <f>'C-FTE Mar'!H12/2</f>
        <v>0</v>
      </c>
      <c r="I12" s="7">
        <f>'C-FTE Mar'!I12/2</f>
        <v>0</v>
      </c>
      <c r="J12" s="7">
        <f>'C-FTE Mar'!J12/2</f>
        <v>0</v>
      </c>
      <c r="K12" s="7">
        <f>'C-FTE Mar'!K12/2</f>
        <v>0</v>
      </c>
      <c r="L12" s="7">
        <f>'C-FTE Mar'!L12/2</f>
        <v>0</v>
      </c>
      <c r="M12" s="7">
        <f>'C-FTE Mar'!M12/2</f>
        <v>0</v>
      </c>
      <c r="N12" s="7">
        <f>'C-FTE Mar'!N12/2</f>
        <v>0</v>
      </c>
      <c r="O12" s="7">
        <f>'C-FTE Mar'!O12/2</f>
        <v>0</v>
      </c>
      <c r="P12" s="7">
        <f>'C-FTE Mar'!P12/2</f>
        <v>0</v>
      </c>
      <c r="Q12" s="7">
        <f>'C-FTE Mar'!Q12/2</f>
        <v>0</v>
      </c>
      <c r="R12" s="7">
        <f>'C-FTE Mar'!R12/2</f>
        <v>0</v>
      </c>
      <c r="S12" s="7">
        <f>'C-FTE Mar'!S12/2</f>
        <v>0</v>
      </c>
      <c r="T12" s="7">
        <f>'C-FTE Mar'!T12/2</f>
        <v>0</v>
      </c>
      <c r="U12" s="7">
        <f>'C-FTE Mar'!U12/2</f>
        <v>0</v>
      </c>
      <c r="V12" s="7">
        <f>'C-FTE Mar'!V12/2</f>
        <v>0</v>
      </c>
      <c r="W12" s="7">
        <f>'C-FTE Mar'!W12/2</f>
        <v>0</v>
      </c>
      <c r="X12" s="7">
        <f>'C-FTE Mar'!X12/2</f>
        <v>0</v>
      </c>
      <c r="Y12" s="7">
        <f>'C-FTE Mar'!Y12/2</f>
        <v>0</v>
      </c>
      <c r="Z12" s="7">
        <f>'C-FTE Mar'!Z12/2</f>
        <v>0</v>
      </c>
      <c r="AA12" s="7">
        <f>'C-FTE Mar'!AA12/2</f>
        <v>0</v>
      </c>
      <c r="AB12" s="7">
        <f>'C-FTE Mar'!AB12/2</f>
        <v>0</v>
      </c>
      <c r="AC12" s="7">
        <f>'C-FTE Mar'!AC12/2</f>
        <v>0</v>
      </c>
      <c r="AD12" s="7">
        <f>'C-FTE Mar'!AD12/2</f>
        <v>0</v>
      </c>
      <c r="AE12" s="7">
        <f>'C-FTE Mar'!AE12/2</f>
        <v>0</v>
      </c>
      <c r="AF12" s="7">
        <f>'C-FTE Mar'!AF12/2</f>
        <v>0</v>
      </c>
    </row>
    <row r="13" spans="1:32" x14ac:dyDescent="0.25">
      <c r="A13" s="3" t="s">
        <v>18</v>
      </c>
      <c r="B13" s="7">
        <f>'C-FTE Mar'!B13/2</f>
        <v>0</v>
      </c>
      <c r="C13" s="7">
        <f>'C-FTE Mar'!C13/2</f>
        <v>0</v>
      </c>
      <c r="D13" s="7">
        <f>'C-FTE Mar'!D13/2</f>
        <v>0</v>
      </c>
      <c r="E13" s="7">
        <f>'C-FTE Mar'!E13/2</f>
        <v>0</v>
      </c>
      <c r="F13" s="7">
        <f>'C-FTE Mar'!F13/2</f>
        <v>0</v>
      </c>
      <c r="G13" s="7">
        <f>'C-FTE Mar'!G13/2</f>
        <v>0</v>
      </c>
      <c r="H13" s="7">
        <f>'C-FTE Mar'!H13/2</f>
        <v>0</v>
      </c>
      <c r="I13" s="7">
        <f>'C-FTE Mar'!I13/2</f>
        <v>0</v>
      </c>
      <c r="J13" s="7">
        <f>'C-FTE Mar'!J13/2</f>
        <v>0</v>
      </c>
      <c r="K13" s="7">
        <f>'C-FTE Mar'!K13/2</f>
        <v>0</v>
      </c>
      <c r="L13" s="7">
        <f>'C-FTE Mar'!L13/2</f>
        <v>0</v>
      </c>
      <c r="M13" s="7">
        <f>'C-FTE Mar'!M13/2</f>
        <v>0</v>
      </c>
      <c r="N13" s="7">
        <f>'C-FTE Mar'!N13/2</f>
        <v>0</v>
      </c>
      <c r="O13" s="7">
        <f>'C-FTE Mar'!O13/2</f>
        <v>0</v>
      </c>
      <c r="P13" s="7">
        <f>'C-FTE Mar'!P13/2</f>
        <v>0</v>
      </c>
      <c r="Q13" s="7">
        <f>'C-FTE Mar'!Q13/2</f>
        <v>0</v>
      </c>
      <c r="R13" s="7">
        <f>'C-FTE Mar'!R13/2</f>
        <v>0</v>
      </c>
      <c r="S13" s="7">
        <f>'C-FTE Mar'!S13/2</f>
        <v>0</v>
      </c>
      <c r="T13" s="7">
        <f>'C-FTE Mar'!T13/2</f>
        <v>0</v>
      </c>
      <c r="U13" s="7">
        <f>'C-FTE Mar'!U13/2</f>
        <v>0</v>
      </c>
      <c r="V13" s="7">
        <f>'C-FTE Mar'!V13/2</f>
        <v>0</v>
      </c>
      <c r="W13" s="7">
        <f>'C-FTE Mar'!W13/2</f>
        <v>0</v>
      </c>
      <c r="X13" s="7">
        <f>'C-FTE Mar'!X13/2</f>
        <v>0</v>
      </c>
      <c r="Y13" s="7">
        <f>'C-FTE Mar'!Y13/2</f>
        <v>0</v>
      </c>
      <c r="Z13" s="7">
        <f>'C-FTE Mar'!Z13/2</f>
        <v>0</v>
      </c>
      <c r="AA13" s="7">
        <f>'C-FTE Mar'!AA13/2</f>
        <v>0</v>
      </c>
      <c r="AB13" s="7">
        <f>'C-FTE Mar'!AB13/2</f>
        <v>0</v>
      </c>
      <c r="AC13" s="7">
        <f>'C-FTE Mar'!AC13/2</f>
        <v>0</v>
      </c>
      <c r="AD13" s="7">
        <f>'C-FTE Mar'!AD13/2</f>
        <v>0</v>
      </c>
      <c r="AE13" s="7">
        <f>'C-FTE Mar'!AE13/2</f>
        <v>0</v>
      </c>
      <c r="AF13" s="7">
        <f>'C-FTE Mar'!AF13/2</f>
        <v>0</v>
      </c>
    </row>
    <row r="14" spans="1:32" x14ac:dyDescent="0.25">
      <c r="A14" s="3" t="s">
        <v>19</v>
      </c>
      <c r="B14" s="7">
        <f>'C-FTE Mar'!B14/2</f>
        <v>0</v>
      </c>
      <c r="C14" s="7">
        <f>'C-FTE Mar'!C14/2</f>
        <v>0</v>
      </c>
      <c r="D14" s="7">
        <f>'C-FTE Mar'!D14/2</f>
        <v>0</v>
      </c>
      <c r="E14" s="7">
        <f>'C-FTE Mar'!E14/2</f>
        <v>0</v>
      </c>
      <c r="F14" s="7">
        <f>'C-FTE Mar'!F14/2</f>
        <v>0</v>
      </c>
      <c r="G14" s="7">
        <f>'C-FTE Mar'!G14/2</f>
        <v>0</v>
      </c>
      <c r="H14" s="7">
        <f>'C-FTE Mar'!H14/2</f>
        <v>0</v>
      </c>
      <c r="I14" s="7">
        <f>'C-FTE Mar'!I14/2</f>
        <v>0</v>
      </c>
      <c r="J14" s="7">
        <f>'C-FTE Mar'!J14/2</f>
        <v>0</v>
      </c>
      <c r="K14" s="7">
        <f>'C-FTE Mar'!K14/2</f>
        <v>0</v>
      </c>
      <c r="L14" s="7">
        <f>'C-FTE Mar'!L14/2</f>
        <v>0</v>
      </c>
      <c r="M14" s="7">
        <f>'C-FTE Mar'!M14/2</f>
        <v>0</v>
      </c>
      <c r="N14" s="7">
        <f>'C-FTE Mar'!N14/2</f>
        <v>0</v>
      </c>
      <c r="O14" s="7">
        <f>'C-FTE Mar'!O14/2</f>
        <v>0</v>
      </c>
      <c r="P14" s="7">
        <f>'C-FTE Mar'!P14/2</f>
        <v>0</v>
      </c>
      <c r="Q14" s="7">
        <f>'C-FTE Mar'!Q14/2</f>
        <v>0</v>
      </c>
      <c r="R14" s="7">
        <f>'C-FTE Mar'!R14/2</f>
        <v>0</v>
      </c>
      <c r="S14" s="7">
        <f>'C-FTE Mar'!S14/2</f>
        <v>0</v>
      </c>
      <c r="T14" s="7">
        <f>'C-FTE Mar'!T14/2</f>
        <v>0</v>
      </c>
      <c r="U14" s="7">
        <f>'C-FTE Mar'!U14/2</f>
        <v>0</v>
      </c>
      <c r="V14" s="7">
        <f>'C-FTE Mar'!V14/2</f>
        <v>0</v>
      </c>
      <c r="W14" s="7">
        <f>'C-FTE Mar'!W14/2</f>
        <v>0</v>
      </c>
      <c r="X14" s="7">
        <f>'C-FTE Mar'!X14/2</f>
        <v>0</v>
      </c>
      <c r="Y14" s="7">
        <f>'C-FTE Mar'!Y14/2</f>
        <v>0</v>
      </c>
      <c r="Z14" s="7">
        <f>'C-FTE Mar'!Z14/2</f>
        <v>0</v>
      </c>
      <c r="AA14" s="7">
        <f>'C-FTE Mar'!AA14/2</f>
        <v>0</v>
      </c>
      <c r="AB14" s="7">
        <f>'C-FTE Mar'!AB14/2</f>
        <v>0</v>
      </c>
      <c r="AC14" s="7">
        <f>'C-FTE Mar'!AC14/2</f>
        <v>0</v>
      </c>
      <c r="AD14" s="7">
        <f>'C-FTE Mar'!AD14/2</f>
        <v>0</v>
      </c>
      <c r="AE14" s="7">
        <f>'C-FTE Mar'!AE14/2</f>
        <v>0</v>
      </c>
      <c r="AF14" s="7">
        <f>'C-FTE Mar'!AF14/2</f>
        <v>0</v>
      </c>
    </row>
    <row r="15" spans="1:32" x14ac:dyDescent="0.25">
      <c r="A15" s="3" t="s">
        <v>20</v>
      </c>
      <c r="B15" s="7">
        <f>'C-FTE Mar'!B15/2</f>
        <v>0</v>
      </c>
      <c r="C15" s="7">
        <f>'C-FTE Mar'!C15/2</f>
        <v>0</v>
      </c>
      <c r="D15" s="7">
        <f>'C-FTE Mar'!D15/2</f>
        <v>0</v>
      </c>
      <c r="E15" s="7">
        <f>'C-FTE Mar'!E15/2</f>
        <v>0</v>
      </c>
      <c r="F15" s="7">
        <f>'C-FTE Mar'!F15/2</f>
        <v>0</v>
      </c>
      <c r="G15" s="7">
        <f>'C-FTE Mar'!G15/2</f>
        <v>0</v>
      </c>
      <c r="H15" s="7">
        <f>'C-FTE Mar'!H15/2</f>
        <v>0</v>
      </c>
      <c r="I15" s="7">
        <f>'C-FTE Mar'!I15/2</f>
        <v>0</v>
      </c>
      <c r="J15" s="7">
        <f>'C-FTE Mar'!J15/2</f>
        <v>0</v>
      </c>
      <c r="K15" s="7">
        <f>'C-FTE Mar'!K15/2</f>
        <v>0</v>
      </c>
      <c r="L15" s="7">
        <f>'C-FTE Mar'!L15/2</f>
        <v>0</v>
      </c>
      <c r="M15" s="7">
        <f>'C-FTE Mar'!M15/2</f>
        <v>0</v>
      </c>
      <c r="N15" s="7">
        <f>'C-FTE Mar'!N15/2</f>
        <v>0</v>
      </c>
      <c r="O15" s="7">
        <f>'C-FTE Mar'!O15/2</f>
        <v>0</v>
      </c>
      <c r="P15" s="7">
        <f>'C-FTE Mar'!P15/2</f>
        <v>0</v>
      </c>
      <c r="Q15" s="7">
        <f>'C-FTE Mar'!Q15/2</f>
        <v>0</v>
      </c>
      <c r="R15" s="7">
        <f>'C-FTE Mar'!R15/2</f>
        <v>0</v>
      </c>
      <c r="S15" s="7">
        <f>'C-FTE Mar'!S15/2</f>
        <v>0</v>
      </c>
      <c r="T15" s="7">
        <f>'C-FTE Mar'!T15/2</f>
        <v>0</v>
      </c>
      <c r="U15" s="7">
        <f>'C-FTE Mar'!U15/2</f>
        <v>0</v>
      </c>
      <c r="V15" s="7">
        <f>'C-FTE Mar'!V15/2</f>
        <v>0</v>
      </c>
      <c r="W15" s="7">
        <f>'C-FTE Mar'!W15/2</f>
        <v>0</v>
      </c>
      <c r="X15" s="7">
        <f>'C-FTE Mar'!X15/2</f>
        <v>0</v>
      </c>
      <c r="Y15" s="7">
        <f>'C-FTE Mar'!Y15/2</f>
        <v>0</v>
      </c>
      <c r="Z15" s="7">
        <f>'C-FTE Mar'!Z15/2</f>
        <v>0</v>
      </c>
      <c r="AA15" s="7">
        <f>'C-FTE Mar'!AA15/2</f>
        <v>0</v>
      </c>
      <c r="AB15" s="7">
        <f>'C-FTE Mar'!AB15/2</f>
        <v>0</v>
      </c>
      <c r="AC15" s="7">
        <f>'C-FTE Mar'!AC15/2</f>
        <v>0</v>
      </c>
      <c r="AD15" s="7">
        <f>'C-FTE Mar'!AD15/2</f>
        <v>0</v>
      </c>
      <c r="AE15" s="7">
        <f>'C-FTE Mar'!AE15/2</f>
        <v>0</v>
      </c>
      <c r="AF15" s="7">
        <f>'C-FTE Mar'!AF15/2</f>
        <v>0</v>
      </c>
    </row>
    <row r="16" spans="1:32" x14ac:dyDescent="0.25">
      <c r="A16" s="3" t="s">
        <v>21</v>
      </c>
      <c r="B16" s="7">
        <f>'C-FTE Mar'!B16/2</f>
        <v>0</v>
      </c>
      <c r="C16" s="7">
        <f>'C-FTE Mar'!C16/2</f>
        <v>0</v>
      </c>
      <c r="D16" s="7">
        <f>'C-FTE Mar'!D16/2</f>
        <v>0</v>
      </c>
      <c r="E16" s="7">
        <f>'C-FTE Mar'!E16/2</f>
        <v>0</v>
      </c>
      <c r="F16" s="7">
        <f>'C-FTE Mar'!F16/2</f>
        <v>0</v>
      </c>
      <c r="G16" s="7">
        <f>'C-FTE Mar'!G16/2</f>
        <v>0</v>
      </c>
      <c r="H16" s="7">
        <f>'C-FTE Mar'!H16/2</f>
        <v>0</v>
      </c>
      <c r="I16" s="7">
        <f>'C-FTE Mar'!I16/2</f>
        <v>0</v>
      </c>
      <c r="J16" s="7">
        <f>'C-FTE Mar'!J16/2</f>
        <v>0</v>
      </c>
      <c r="K16" s="7">
        <f>'C-FTE Mar'!K16/2</f>
        <v>0</v>
      </c>
      <c r="L16" s="7">
        <f>'C-FTE Mar'!L16/2</f>
        <v>0</v>
      </c>
      <c r="M16" s="7">
        <f>'C-FTE Mar'!M16/2</f>
        <v>0</v>
      </c>
      <c r="N16" s="7">
        <f>'C-FTE Mar'!N16/2</f>
        <v>0</v>
      </c>
      <c r="O16" s="7">
        <f>'C-FTE Mar'!O16/2</f>
        <v>0</v>
      </c>
      <c r="P16" s="7">
        <f>'C-FTE Mar'!P16/2</f>
        <v>0</v>
      </c>
      <c r="Q16" s="7">
        <f>'C-FTE Mar'!Q16/2</f>
        <v>0</v>
      </c>
      <c r="R16" s="7">
        <f>'C-FTE Mar'!R16/2</f>
        <v>0</v>
      </c>
      <c r="S16" s="7">
        <f>'C-FTE Mar'!S16/2</f>
        <v>0</v>
      </c>
      <c r="T16" s="7">
        <f>'C-FTE Mar'!T16/2</f>
        <v>0</v>
      </c>
      <c r="U16" s="7">
        <f>'C-FTE Mar'!U16/2</f>
        <v>0</v>
      </c>
      <c r="V16" s="7">
        <f>'C-FTE Mar'!V16/2</f>
        <v>0</v>
      </c>
      <c r="W16" s="7">
        <f>'C-FTE Mar'!W16/2</f>
        <v>0</v>
      </c>
      <c r="X16" s="7">
        <f>'C-FTE Mar'!X16/2</f>
        <v>0</v>
      </c>
      <c r="Y16" s="7">
        <f>'C-FTE Mar'!Y16/2</f>
        <v>0</v>
      </c>
      <c r="Z16" s="7">
        <f>'C-FTE Mar'!Z16/2</f>
        <v>0</v>
      </c>
      <c r="AA16" s="7">
        <f>'C-FTE Mar'!AA16/2</f>
        <v>0</v>
      </c>
      <c r="AB16" s="7">
        <f>'C-FTE Mar'!AB16/2</f>
        <v>0</v>
      </c>
      <c r="AC16" s="7">
        <f>'C-FTE Mar'!AC16/2</f>
        <v>0</v>
      </c>
      <c r="AD16" s="7">
        <f>'C-FTE Mar'!AD16/2</f>
        <v>0</v>
      </c>
      <c r="AE16" s="7">
        <f>'C-FTE Mar'!AE16/2</f>
        <v>0</v>
      </c>
      <c r="AF16" s="7">
        <f>'C-FTE Mar'!AF16/2</f>
        <v>0</v>
      </c>
    </row>
    <row r="17" spans="1:32" x14ac:dyDescent="0.25">
      <c r="A17" s="3" t="s">
        <v>22</v>
      </c>
      <c r="B17" s="7">
        <f>'C-FTE Mar'!B17/2</f>
        <v>0</v>
      </c>
      <c r="C17" s="7">
        <f>'C-FTE Mar'!C17/2</f>
        <v>0</v>
      </c>
      <c r="D17" s="7">
        <f>'C-FTE Mar'!D17/2</f>
        <v>0</v>
      </c>
      <c r="E17" s="7">
        <f>'C-FTE Mar'!E17/2</f>
        <v>0</v>
      </c>
      <c r="F17" s="7">
        <f>'C-FTE Mar'!F17/2</f>
        <v>0</v>
      </c>
      <c r="G17" s="7">
        <f>'C-FTE Mar'!G17/2</f>
        <v>0</v>
      </c>
      <c r="H17" s="7">
        <f>'C-FTE Mar'!H17/2</f>
        <v>0</v>
      </c>
      <c r="I17" s="7">
        <f>'C-FTE Mar'!I17/2</f>
        <v>0</v>
      </c>
      <c r="J17" s="7">
        <f>'C-FTE Mar'!J17/2</f>
        <v>0</v>
      </c>
      <c r="K17" s="7">
        <f>'C-FTE Mar'!K17/2</f>
        <v>0</v>
      </c>
      <c r="L17" s="7">
        <f>'C-FTE Mar'!L17/2</f>
        <v>0</v>
      </c>
      <c r="M17" s="7">
        <f>'C-FTE Mar'!M17/2</f>
        <v>0</v>
      </c>
      <c r="N17" s="7">
        <f>'C-FTE Mar'!N17/2</f>
        <v>0</v>
      </c>
      <c r="O17" s="7">
        <f>'C-FTE Mar'!O17/2</f>
        <v>0</v>
      </c>
      <c r="P17" s="7">
        <f>'C-FTE Mar'!P17/2</f>
        <v>0</v>
      </c>
      <c r="Q17" s="7">
        <f>'C-FTE Mar'!Q17/2</f>
        <v>0</v>
      </c>
      <c r="R17" s="7">
        <f>'C-FTE Mar'!R17/2</f>
        <v>0</v>
      </c>
      <c r="S17" s="7">
        <f>'C-FTE Mar'!S17/2</f>
        <v>0</v>
      </c>
      <c r="T17" s="7">
        <f>'C-FTE Mar'!T17/2</f>
        <v>0</v>
      </c>
      <c r="U17" s="7">
        <f>'C-FTE Mar'!U17/2</f>
        <v>0</v>
      </c>
      <c r="V17" s="7">
        <f>'C-FTE Mar'!V17/2</f>
        <v>0</v>
      </c>
      <c r="W17" s="7">
        <f>'C-FTE Mar'!W17/2</f>
        <v>0</v>
      </c>
      <c r="X17" s="7">
        <f>'C-FTE Mar'!X17/2</f>
        <v>0</v>
      </c>
      <c r="Y17" s="7">
        <f>'C-FTE Mar'!Y17/2</f>
        <v>0</v>
      </c>
      <c r="Z17" s="7">
        <f>'C-FTE Mar'!Z17/2</f>
        <v>0</v>
      </c>
      <c r="AA17" s="7">
        <f>'C-FTE Mar'!AA17/2</f>
        <v>0</v>
      </c>
      <c r="AB17" s="7">
        <f>'C-FTE Mar'!AB17/2</f>
        <v>0</v>
      </c>
      <c r="AC17" s="7">
        <f>'C-FTE Mar'!AC17/2</f>
        <v>0</v>
      </c>
      <c r="AD17" s="7">
        <f>'C-FTE Mar'!AD17/2</f>
        <v>0</v>
      </c>
      <c r="AE17" s="7">
        <f>'C-FTE Mar'!AE17/2</f>
        <v>0</v>
      </c>
      <c r="AF17" s="7">
        <f>'C-FTE Mar'!AF17/2</f>
        <v>0</v>
      </c>
    </row>
    <row r="18" spans="1:32" x14ac:dyDescent="0.25">
      <c r="A18" s="3" t="s">
        <v>23</v>
      </c>
      <c r="B18" s="7">
        <f>'C-FTE Mar'!B18/2</f>
        <v>0</v>
      </c>
      <c r="C18" s="7">
        <f>'C-FTE Mar'!C18/2</f>
        <v>0</v>
      </c>
      <c r="D18" s="7">
        <f>'C-FTE Mar'!D18/2</f>
        <v>0</v>
      </c>
      <c r="E18" s="7">
        <f>'C-FTE Mar'!E18/2</f>
        <v>0</v>
      </c>
      <c r="F18" s="7">
        <f>'C-FTE Mar'!F18/2</f>
        <v>0</v>
      </c>
      <c r="G18" s="7">
        <f>'C-FTE Mar'!G18/2</f>
        <v>0</v>
      </c>
      <c r="H18" s="7">
        <f>'C-FTE Mar'!H18/2</f>
        <v>0</v>
      </c>
      <c r="I18" s="7">
        <f>'C-FTE Mar'!I18/2</f>
        <v>0</v>
      </c>
      <c r="J18" s="7">
        <f>'C-FTE Mar'!J18/2</f>
        <v>0</v>
      </c>
      <c r="K18" s="7">
        <f>'C-FTE Mar'!K18/2</f>
        <v>0</v>
      </c>
      <c r="L18" s="7">
        <f>'C-FTE Mar'!L18/2</f>
        <v>0</v>
      </c>
      <c r="M18" s="7">
        <f>'C-FTE Mar'!M18/2</f>
        <v>0</v>
      </c>
      <c r="N18" s="7">
        <f>'C-FTE Mar'!N18/2</f>
        <v>0</v>
      </c>
      <c r="O18" s="7">
        <f>'C-FTE Mar'!O18/2</f>
        <v>0</v>
      </c>
      <c r="P18" s="7">
        <f>'C-FTE Mar'!P18/2</f>
        <v>0</v>
      </c>
      <c r="Q18" s="7">
        <f>'C-FTE Mar'!Q18/2</f>
        <v>0</v>
      </c>
      <c r="R18" s="7">
        <f>'C-FTE Mar'!R18/2</f>
        <v>0</v>
      </c>
      <c r="S18" s="7">
        <f>'C-FTE Mar'!S18/2</f>
        <v>0</v>
      </c>
      <c r="T18" s="7">
        <f>'C-FTE Mar'!T18/2</f>
        <v>0</v>
      </c>
      <c r="U18" s="7">
        <f>'C-FTE Mar'!U18/2</f>
        <v>0</v>
      </c>
      <c r="V18" s="7">
        <f>'C-FTE Mar'!V18/2</f>
        <v>0</v>
      </c>
      <c r="W18" s="7">
        <f>'C-FTE Mar'!W18/2</f>
        <v>0</v>
      </c>
      <c r="X18" s="7">
        <f>'C-FTE Mar'!X18/2</f>
        <v>0</v>
      </c>
      <c r="Y18" s="7">
        <f>'C-FTE Mar'!Y18/2</f>
        <v>0</v>
      </c>
      <c r="Z18" s="7">
        <f>'C-FTE Mar'!Z18/2</f>
        <v>0</v>
      </c>
      <c r="AA18" s="7">
        <f>'C-FTE Mar'!AA18/2</f>
        <v>0</v>
      </c>
      <c r="AB18" s="7">
        <f>'C-FTE Mar'!AB18/2</f>
        <v>0</v>
      </c>
      <c r="AC18" s="7">
        <f>'C-FTE Mar'!AC18/2</f>
        <v>0</v>
      </c>
      <c r="AD18" s="7">
        <f>'C-FTE Mar'!AD18/2</f>
        <v>0</v>
      </c>
      <c r="AE18" s="7">
        <f>'C-FTE Mar'!AE18/2</f>
        <v>0</v>
      </c>
      <c r="AF18" s="7">
        <f>'C-FTE Mar'!AF18/2</f>
        <v>0</v>
      </c>
    </row>
    <row r="19" spans="1:32" x14ac:dyDescent="0.25">
      <c r="A19" s="3" t="s">
        <v>24</v>
      </c>
      <c r="B19" s="7">
        <f>'C-FTE Mar'!B19/2</f>
        <v>2.3569662352685992</v>
      </c>
      <c r="C19" s="7">
        <f>'C-FTE Mar'!C19/2</f>
        <v>4.4366423252114808</v>
      </c>
      <c r="D19" s="7">
        <f>'C-FTE Mar'!D19/2</f>
        <v>4.2979972525486225</v>
      </c>
      <c r="E19" s="7">
        <f>'C-FTE Mar'!E19/2</f>
        <v>3.7434169618971875</v>
      </c>
      <c r="F19" s="7">
        <f>'C-FTE Mar'!F19/2</f>
        <v>3.7434169618971875</v>
      </c>
      <c r="G19" s="7">
        <f>'C-FTE Mar'!G19/2</f>
        <v>3.8820620345600463</v>
      </c>
      <c r="H19" s="7">
        <f>'C-FTE Mar'!H19/2</f>
        <v>3.0501915985828933</v>
      </c>
      <c r="I19" s="7">
        <f>'C-FTE Mar'!I19/2</f>
        <v>2.2183211626057404</v>
      </c>
      <c r="J19" s="7">
        <f>'C-FTE Mar'!J19/2</f>
        <v>4.1593521798857633</v>
      </c>
      <c r="K19" s="7">
        <f>'C-FTE Mar'!K19/2</f>
        <v>4.1593521798857642</v>
      </c>
      <c r="L19" s="7">
        <f>'C-FTE Mar'!L19/2</f>
        <v>3.6047718892343283</v>
      </c>
      <c r="M19" s="7">
        <f>'C-FTE Mar'!M19/2</f>
        <v>3.6047718892343279</v>
      </c>
      <c r="N19" s="7">
        <f>'C-FTE Mar'!N19/2</f>
        <v>3.7434169618971875</v>
      </c>
      <c r="O19" s="7">
        <f>'C-FTE Mar'!O19/2</f>
        <v>2.9115465259200346</v>
      </c>
      <c r="P19" s="7">
        <f>'C-FTE Mar'!P19/2</f>
        <v>2.2183211626057409</v>
      </c>
      <c r="Q19" s="7">
        <f>'C-FTE Mar'!Q19/2</f>
        <v>4.020707107222905</v>
      </c>
      <c r="R19" s="7">
        <f>'C-FTE Mar'!R19/2</f>
        <v>4.020707107222905</v>
      </c>
      <c r="S19" s="7">
        <f>'C-FTE Mar'!S19/2</f>
        <v>3.4661268165714696</v>
      </c>
      <c r="T19" s="7">
        <f>'C-FTE Mar'!T19/2</f>
        <v>3.6047718892343283</v>
      </c>
      <c r="U19" s="7">
        <f>'C-FTE Mar'!U19/2</f>
        <v>3.743416961897188</v>
      </c>
      <c r="V19" s="7">
        <f>'C-FTE Mar'!V19/2</f>
        <v>2.9115465259200346</v>
      </c>
      <c r="W19" s="7">
        <f>'C-FTE Mar'!W19/2</f>
        <v>2.0796760899428817</v>
      </c>
      <c r="X19" s="7">
        <f>'C-FTE Mar'!X19/2</f>
        <v>4.020707107222905</v>
      </c>
      <c r="Y19" s="7">
        <f>'C-FTE Mar'!Y19/2</f>
        <v>4.0207071072229059</v>
      </c>
      <c r="Z19" s="7">
        <f>'C-FTE Mar'!Z19/2</f>
        <v>3.46612681657147</v>
      </c>
      <c r="AA19" s="7">
        <f>'C-FTE Mar'!AA19/2</f>
        <v>3.6047718892343288</v>
      </c>
      <c r="AB19" s="7">
        <f>'C-FTE Mar'!AB19/2</f>
        <v>3.743416961897188</v>
      </c>
      <c r="AC19" s="7">
        <f>'C-FTE Mar'!AC19/2</f>
        <v>2.9115465259200346</v>
      </c>
      <c r="AD19" s="7">
        <f>'C-FTE Mar'!AD19/2</f>
        <v>2.2183211626057409</v>
      </c>
      <c r="AE19" s="7">
        <f>'C-FTE Mar'!AE19/2</f>
        <v>4.1593521798857633</v>
      </c>
      <c r="AF19" s="7">
        <f>'C-FTE Mar'!AF19/2</f>
        <v>4.020707107222905</v>
      </c>
    </row>
    <row r="20" spans="1:32" x14ac:dyDescent="0.25">
      <c r="A20" s="3" t="s">
        <v>25</v>
      </c>
      <c r="B20" s="7">
        <f>'C-FTE Mar'!B20/2</f>
        <v>2.9115465259200346</v>
      </c>
      <c r="C20" s="7">
        <f>'C-FTE Mar'!C20/2</f>
        <v>5.5458029065143517</v>
      </c>
      <c r="D20" s="7">
        <f>'C-FTE Mar'!D20/2</f>
        <v>5.4071578338514934</v>
      </c>
      <c r="E20" s="7">
        <f>'C-FTE Mar'!E20/2</f>
        <v>4.7139324705371992</v>
      </c>
      <c r="F20" s="7">
        <f>'C-FTE Mar'!F20/2</f>
        <v>4.7139324705371992</v>
      </c>
      <c r="G20" s="7">
        <f>'C-FTE Mar'!G20/2</f>
        <v>4.57528739787434</v>
      </c>
      <c r="H20" s="7">
        <f>'C-FTE Mar'!H20/2</f>
        <v>3.46612681657147</v>
      </c>
      <c r="I20" s="7">
        <f>'C-FTE Mar'!I20/2</f>
        <v>2.7729014532571759</v>
      </c>
      <c r="J20" s="7">
        <f>'C-FTE Mar'!J20/2</f>
        <v>5.2685127611886333</v>
      </c>
      <c r="K20" s="7">
        <f>'C-FTE Mar'!K20/2</f>
        <v>5.1298676885257759</v>
      </c>
      <c r="L20" s="7">
        <f>'C-FTE Mar'!L20/2</f>
        <v>4.4366423252114808</v>
      </c>
      <c r="M20" s="7">
        <f>'C-FTE Mar'!M20/2</f>
        <v>4.57528739787434</v>
      </c>
      <c r="N20" s="7">
        <f>'C-FTE Mar'!N20/2</f>
        <v>4.4366423252114817</v>
      </c>
      <c r="O20" s="7">
        <f>'C-FTE Mar'!O20/2</f>
        <v>3.3274817439086108</v>
      </c>
      <c r="P20" s="7">
        <f>'C-FTE Mar'!P20/2</f>
        <v>2.6342563805943171</v>
      </c>
      <c r="Q20" s="7">
        <f>'C-FTE Mar'!Q20/2</f>
        <v>5.1298676885257759</v>
      </c>
      <c r="R20" s="7">
        <f>'C-FTE Mar'!R20/2</f>
        <v>4.9912226158629167</v>
      </c>
      <c r="S20" s="7">
        <f>'C-FTE Mar'!S20/2</f>
        <v>4.4366423252114817</v>
      </c>
      <c r="T20" s="7">
        <f>'C-FTE Mar'!T20/2</f>
        <v>4.4366423252114808</v>
      </c>
      <c r="U20" s="7">
        <f>'C-FTE Mar'!U20/2</f>
        <v>4.2979972525486234</v>
      </c>
      <c r="V20" s="7">
        <f>'C-FTE Mar'!V20/2</f>
        <v>3.3274817439086113</v>
      </c>
      <c r="W20" s="7">
        <f>'C-FTE Mar'!W20/2</f>
        <v>2.6342563805943167</v>
      </c>
      <c r="X20" s="7">
        <f>'C-FTE Mar'!X20/2</f>
        <v>5.129867688525775</v>
      </c>
      <c r="Y20" s="7">
        <f>'C-FTE Mar'!Y20/2</f>
        <v>4.9912226158629176</v>
      </c>
      <c r="Z20" s="7">
        <f>'C-FTE Mar'!Z20/2</f>
        <v>4.4366423252114817</v>
      </c>
      <c r="AA20" s="7">
        <f>'C-FTE Mar'!AA20/2</f>
        <v>4.4366423252114817</v>
      </c>
      <c r="AB20" s="7">
        <f>'C-FTE Mar'!AB20/2</f>
        <v>4.2979972525486234</v>
      </c>
      <c r="AC20" s="7">
        <f>'C-FTE Mar'!AC20/2</f>
        <v>3.3274817439086108</v>
      </c>
      <c r="AD20" s="7">
        <f>'C-FTE Mar'!AD20/2</f>
        <v>2.6342563805943171</v>
      </c>
      <c r="AE20" s="7">
        <f>'C-FTE Mar'!AE20/2</f>
        <v>5.2685127611886342</v>
      </c>
      <c r="AF20" s="7">
        <f>'C-FTE Mar'!AF20/2</f>
        <v>5.1298676885257759</v>
      </c>
    </row>
    <row r="21" spans="1:32" x14ac:dyDescent="0.25">
      <c r="A21" s="3" t="s">
        <v>26</v>
      </c>
      <c r="B21" s="7">
        <f>'C-FTE Mar'!B21/2</f>
        <v>3.6047718892343288</v>
      </c>
      <c r="C21" s="7">
        <f>'C-FTE Mar'!C21/2</f>
        <v>7.9027691417829518</v>
      </c>
      <c r="D21" s="7">
        <f>'C-FTE Mar'!D21/2</f>
        <v>7.2095437784686576</v>
      </c>
      <c r="E21" s="7">
        <f>'C-FTE Mar'!E21/2</f>
        <v>6.2390282698286459</v>
      </c>
      <c r="F21" s="7">
        <f>'C-FTE Mar'!F21/2</f>
        <v>6.2390282698286459</v>
      </c>
      <c r="G21" s="7">
        <f>'C-FTE Mar'!G21/2</f>
        <v>5.9617381245029284</v>
      </c>
      <c r="H21" s="7">
        <f>'C-FTE Mar'!H21/2</f>
        <v>4.4366423252114817</v>
      </c>
      <c r="I21" s="7">
        <f>'C-FTE Mar'!I21/2</f>
        <v>3.3274817439086104</v>
      </c>
      <c r="J21" s="7">
        <f>'C-FTE Mar'!J21/2</f>
        <v>7.4868339237943742</v>
      </c>
      <c r="K21" s="7">
        <f>'C-FTE Mar'!K21/2</f>
        <v>6.932253633142941</v>
      </c>
      <c r="L21" s="7">
        <f>'C-FTE Mar'!L21/2</f>
        <v>5.9617381245029275</v>
      </c>
      <c r="M21" s="7">
        <f>'C-FTE Mar'!M21/2</f>
        <v>6.1003831971657867</v>
      </c>
      <c r="N21" s="7">
        <f>'C-FTE Mar'!N21/2</f>
        <v>5.6844479791772109</v>
      </c>
      <c r="O21" s="7">
        <f>'C-FTE Mar'!O21/2</f>
        <v>4.2979972525486225</v>
      </c>
      <c r="P21" s="7">
        <f>'C-FTE Mar'!P21/2</f>
        <v>3.3274817439086113</v>
      </c>
      <c r="Q21" s="7">
        <f>'C-FTE Mar'!Q21/2</f>
        <v>7.3481888511315159</v>
      </c>
      <c r="R21" s="7">
        <f>'C-FTE Mar'!R21/2</f>
        <v>6.7936085604800818</v>
      </c>
      <c r="S21" s="7">
        <f>'C-FTE Mar'!S21/2</f>
        <v>5.8230930518400701</v>
      </c>
      <c r="T21" s="7">
        <f>'C-FTE Mar'!T21/2</f>
        <v>5.9617381245029275</v>
      </c>
      <c r="U21" s="7">
        <f>'C-FTE Mar'!U21/2</f>
        <v>5.6844479791772109</v>
      </c>
      <c r="V21" s="7">
        <f>'C-FTE Mar'!V21/2</f>
        <v>4.1593521798857633</v>
      </c>
      <c r="W21" s="7">
        <f>'C-FTE Mar'!W21/2</f>
        <v>3.1888366712457521</v>
      </c>
      <c r="X21" s="7">
        <f>'C-FTE Mar'!X21/2</f>
        <v>7.2095437784686576</v>
      </c>
      <c r="Y21" s="7">
        <f>'C-FTE Mar'!Y21/2</f>
        <v>6.6549634878172226</v>
      </c>
      <c r="Z21" s="7">
        <f>'C-FTE Mar'!Z21/2</f>
        <v>5.8230930518400701</v>
      </c>
      <c r="AA21" s="7">
        <f>'C-FTE Mar'!AA21/2</f>
        <v>5.9617381245029284</v>
      </c>
      <c r="AB21" s="7">
        <f>'C-FTE Mar'!AB21/2</f>
        <v>5.6844479791772118</v>
      </c>
      <c r="AC21" s="7">
        <f>'C-FTE Mar'!AC21/2</f>
        <v>4.2979972525486225</v>
      </c>
      <c r="AD21" s="7">
        <f>'C-FTE Mar'!AD21/2</f>
        <v>3.3274817439086108</v>
      </c>
      <c r="AE21" s="7">
        <f>'C-FTE Mar'!AE21/2</f>
        <v>7.348188851131515</v>
      </c>
      <c r="AF21" s="7">
        <f>'C-FTE Mar'!AF21/2</f>
        <v>6.7936085604800809</v>
      </c>
    </row>
    <row r="22" spans="1:32" x14ac:dyDescent="0.25">
      <c r="A22" s="3" t="s">
        <v>27</v>
      </c>
      <c r="B22" s="7">
        <f>'C-FTE Mar'!B22/2</f>
        <v>4.2979972525486216</v>
      </c>
      <c r="C22" s="7">
        <f>'C-FTE Mar'!C22/2</f>
        <v>10.121090304388693</v>
      </c>
      <c r="D22" s="7">
        <f>'C-FTE Mar'!D22/2</f>
        <v>9.289219868411541</v>
      </c>
      <c r="E22" s="7">
        <f>'C-FTE Mar'!E22/2</f>
        <v>7.7641240691200926</v>
      </c>
      <c r="F22" s="7">
        <f>'C-FTE Mar'!F22/2</f>
        <v>8.0414142144458101</v>
      </c>
      <c r="G22" s="7">
        <f>'C-FTE Mar'!G22/2</f>
        <v>7.6254789964572334</v>
      </c>
      <c r="H22" s="7">
        <f>'C-FTE Mar'!H22/2</f>
        <v>5.5458029065143517</v>
      </c>
      <c r="I22" s="7">
        <f>'C-FTE Mar'!I22/2</f>
        <v>4.0207071072229041</v>
      </c>
      <c r="J22" s="7">
        <f>'C-FTE Mar'!J22/2</f>
        <v>9.705155086400115</v>
      </c>
      <c r="K22" s="7">
        <f>'C-FTE Mar'!K22/2</f>
        <v>8.8732846504229634</v>
      </c>
      <c r="L22" s="7">
        <f>'C-FTE Mar'!L22/2</f>
        <v>7.348188851131515</v>
      </c>
      <c r="M22" s="7">
        <f>'C-FTE Mar'!M22/2</f>
        <v>7.6254789964572325</v>
      </c>
      <c r="N22" s="7">
        <f>'C-FTE Mar'!N22/2</f>
        <v>7.3481888511315168</v>
      </c>
      <c r="O22" s="7">
        <f>'C-FTE Mar'!O22/2</f>
        <v>5.4071578338514925</v>
      </c>
      <c r="P22" s="7">
        <f>'C-FTE Mar'!P22/2</f>
        <v>4.020707107222905</v>
      </c>
      <c r="Q22" s="7">
        <f>'C-FTE Mar'!Q22/2</f>
        <v>9.4278649410743984</v>
      </c>
      <c r="R22" s="7">
        <f>'C-FTE Mar'!R22/2</f>
        <v>8.7346395777601042</v>
      </c>
      <c r="S22" s="7">
        <f>'C-FTE Mar'!S22/2</f>
        <v>7.2095437784686576</v>
      </c>
      <c r="T22" s="7">
        <f>'C-FTE Mar'!T22/2</f>
        <v>7.4868339237943742</v>
      </c>
      <c r="U22" s="7">
        <f>'C-FTE Mar'!U22/2</f>
        <v>7.2095437784686576</v>
      </c>
      <c r="V22" s="7">
        <f>'C-FTE Mar'!V22/2</f>
        <v>5.2685127611886342</v>
      </c>
      <c r="W22" s="7">
        <f>'C-FTE Mar'!W22/2</f>
        <v>3.8820620345600463</v>
      </c>
      <c r="X22" s="7">
        <f>'C-FTE Mar'!X22/2</f>
        <v>9.2892198684115392</v>
      </c>
      <c r="Y22" s="7">
        <f>'C-FTE Mar'!Y22/2</f>
        <v>8.5959945050972468</v>
      </c>
      <c r="Z22" s="7">
        <f>'C-FTE Mar'!Z22/2</f>
        <v>7.2095437784686576</v>
      </c>
      <c r="AA22" s="7">
        <f>'C-FTE Mar'!AA22/2</f>
        <v>7.486833923794376</v>
      </c>
      <c r="AB22" s="7">
        <f>'C-FTE Mar'!AB22/2</f>
        <v>7.2095437784686576</v>
      </c>
      <c r="AC22" s="7">
        <f>'C-FTE Mar'!AC22/2</f>
        <v>5.4071578338514925</v>
      </c>
      <c r="AD22" s="7">
        <f>'C-FTE Mar'!AD22/2</f>
        <v>3.8820620345600463</v>
      </c>
      <c r="AE22" s="7">
        <f>'C-FTE Mar'!AE22/2</f>
        <v>9.4278649410743984</v>
      </c>
      <c r="AF22" s="7">
        <f>'C-FTE Mar'!AF22/2</f>
        <v>8.7346395777601042</v>
      </c>
    </row>
    <row r="23" spans="1:32" x14ac:dyDescent="0.25">
      <c r="A23" s="3" t="s">
        <v>28</v>
      </c>
      <c r="B23" s="7">
        <f>'C-FTE Mar'!B23/2</f>
        <v>5.4071578338514934</v>
      </c>
      <c r="C23" s="7">
        <f>'C-FTE Mar'!C23/2</f>
        <v>11.784831176342998</v>
      </c>
      <c r="D23" s="7">
        <f>'C-FTE Mar'!D23/2</f>
        <v>11.230250885691563</v>
      </c>
      <c r="E23" s="7">
        <f>'C-FTE Mar'!E23/2</f>
        <v>9.15057479574868</v>
      </c>
      <c r="F23" s="7">
        <f>'C-FTE Mar'!F23/2</f>
        <v>9.2892198684115392</v>
      </c>
      <c r="G23" s="7">
        <f>'C-FTE Mar'!G23/2</f>
        <v>9.4278649410743984</v>
      </c>
      <c r="H23" s="7">
        <f>'C-FTE Mar'!H23/2</f>
        <v>6.9322536331429401</v>
      </c>
      <c r="I23" s="7">
        <f>'C-FTE Mar'!I23/2</f>
        <v>5.129867688525775</v>
      </c>
      <c r="J23" s="7">
        <f>'C-FTE Mar'!J23/2</f>
        <v>11.230250885691561</v>
      </c>
      <c r="K23" s="7">
        <f>'C-FTE Mar'!K23/2</f>
        <v>10.675670595040128</v>
      </c>
      <c r="L23" s="7">
        <f>'C-FTE Mar'!L23/2</f>
        <v>8.7346395777601025</v>
      </c>
      <c r="M23" s="7">
        <f>'C-FTE Mar'!M23/2</f>
        <v>9.0119297230858209</v>
      </c>
      <c r="N23" s="7">
        <f>'C-FTE Mar'!N23/2</f>
        <v>9.0119297230858226</v>
      </c>
      <c r="O23" s="7">
        <f>'C-FTE Mar'!O23/2</f>
        <v>6.6549634878172217</v>
      </c>
      <c r="P23" s="7">
        <f>'C-FTE Mar'!P23/2</f>
        <v>4.9912226158629167</v>
      </c>
      <c r="Q23" s="7">
        <f>'C-FTE Mar'!Q23/2</f>
        <v>10.952960740365846</v>
      </c>
      <c r="R23" s="7">
        <f>'C-FTE Mar'!R23/2</f>
        <v>10.398380449714409</v>
      </c>
      <c r="S23" s="7">
        <f>'C-FTE Mar'!S23/2</f>
        <v>8.5959945050972451</v>
      </c>
      <c r="T23" s="7">
        <f>'C-FTE Mar'!T23/2</f>
        <v>8.7346395777601025</v>
      </c>
      <c r="U23" s="7">
        <f>'C-FTE Mar'!U23/2</f>
        <v>8.8732846504229634</v>
      </c>
      <c r="V23" s="7">
        <f>'C-FTE Mar'!V23/2</f>
        <v>6.5163184151543634</v>
      </c>
      <c r="W23" s="7">
        <f>'C-FTE Mar'!W23/2</f>
        <v>4.8525775432000575</v>
      </c>
      <c r="X23" s="7">
        <f>'C-FTE Mar'!X23/2</f>
        <v>10.814315667702985</v>
      </c>
      <c r="Y23" s="7">
        <f>'C-FTE Mar'!Y23/2</f>
        <v>10.398380449714411</v>
      </c>
      <c r="Z23" s="7">
        <f>'C-FTE Mar'!Z23/2</f>
        <v>8.5959945050972468</v>
      </c>
      <c r="AA23" s="7">
        <f>'C-FTE Mar'!AA23/2</f>
        <v>8.7346395777601042</v>
      </c>
      <c r="AB23" s="7">
        <f>'C-FTE Mar'!AB23/2</f>
        <v>8.8732846504229634</v>
      </c>
      <c r="AC23" s="7">
        <f>'C-FTE Mar'!AC23/2</f>
        <v>6.5163184151543634</v>
      </c>
      <c r="AD23" s="7">
        <f>'C-FTE Mar'!AD23/2</f>
        <v>4.9912226158629167</v>
      </c>
      <c r="AE23" s="7">
        <f>'C-FTE Mar'!AE23/2</f>
        <v>10.952960740365844</v>
      </c>
      <c r="AF23" s="7">
        <f>'C-FTE Mar'!AF23/2</f>
        <v>10.537025522377268</v>
      </c>
    </row>
    <row r="24" spans="1:32" x14ac:dyDescent="0.25">
      <c r="A24" s="3" t="s">
        <v>29</v>
      </c>
      <c r="B24" s="7">
        <f>'C-FTE Mar'!B24/2</f>
        <v>6.6549634878172217</v>
      </c>
      <c r="C24" s="7">
        <f>'C-FTE Mar'!C24/2</f>
        <v>13.587217120960162</v>
      </c>
      <c r="D24" s="7">
        <f>'C-FTE Mar'!D24/2</f>
        <v>12.893991757645869</v>
      </c>
      <c r="E24" s="7">
        <f>'C-FTE Mar'!E24/2</f>
        <v>10.398380449714409</v>
      </c>
      <c r="F24" s="7">
        <f>'C-FTE Mar'!F24/2</f>
        <v>10.675670595040128</v>
      </c>
      <c r="G24" s="7">
        <f>'C-FTE Mar'!G24/2</f>
        <v>11.091605813028703</v>
      </c>
      <c r="H24" s="7">
        <f>'C-FTE Mar'!H24/2</f>
        <v>8.1800592871086693</v>
      </c>
      <c r="I24" s="7">
        <f>'C-FTE Mar'!I24/2</f>
        <v>6.3776733424915042</v>
      </c>
      <c r="J24" s="7">
        <f>'C-FTE Mar'!J24/2</f>
        <v>12.893991757645866</v>
      </c>
      <c r="K24" s="7">
        <f>'C-FTE Mar'!K24/2</f>
        <v>12.339411466994434</v>
      </c>
      <c r="L24" s="7">
        <f>'C-FTE Mar'!L24/2</f>
        <v>9.9824452317258334</v>
      </c>
      <c r="M24" s="7">
        <f>'C-FTE Mar'!M24/2</f>
        <v>10.259735377051548</v>
      </c>
      <c r="N24" s="7">
        <f>'C-FTE Mar'!N24/2</f>
        <v>10.675670595040128</v>
      </c>
      <c r="O24" s="7">
        <f>'C-FTE Mar'!O24/2</f>
        <v>7.9027691417829509</v>
      </c>
      <c r="P24" s="7">
        <f>'C-FTE Mar'!P24/2</f>
        <v>6.1003831971657876</v>
      </c>
      <c r="Q24" s="7">
        <f>'C-FTE Mar'!Q24/2</f>
        <v>12.616701612320151</v>
      </c>
      <c r="R24" s="7">
        <f>'C-FTE Mar'!R24/2</f>
        <v>12.062121321668714</v>
      </c>
      <c r="S24" s="7">
        <f>'C-FTE Mar'!S24/2</f>
        <v>9.705155086400115</v>
      </c>
      <c r="T24" s="7">
        <f>'C-FTE Mar'!T24/2</f>
        <v>9.9824452317258334</v>
      </c>
      <c r="U24" s="7">
        <f>'C-FTE Mar'!U24/2</f>
        <v>10.398380449714409</v>
      </c>
      <c r="V24" s="7">
        <f>'C-FTE Mar'!V24/2</f>
        <v>7.7641240691200926</v>
      </c>
      <c r="W24" s="7">
        <f>'C-FTE Mar'!W24/2</f>
        <v>6.1003831971657867</v>
      </c>
      <c r="X24" s="7">
        <f>'C-FTE Mar'!X24/2</f>
        <v>12.478056539657292</v>
      </c>
      <c r="Y24" s="7">
        <f>'C-FTE Mar'!Y24/2</f>
        <v>11.923476249005859</v>
      </c>
      <c r="Z24" s="7">
        <f>'C-FTE Mar'!Z24/2</f>
        <v>9.7051550864001168</v>
      </c>
      <c r="AA24" s="7">
        <f>'C-FTE Mar'!AA24/2</f>
        <v>9.9824452317258352</v>
      </c>
      <c r="AB24" s="7">
        <f>'C-FTE Mar'!AB24/2</f>
        <v>10.537025522377268</v>
      </c>
      <c r="AC24" s="7">
        <f>'C-FTE Mar'!AC24/2</f>
        <v>7.9027691417829509</v>
      </c>
      <c r="AD24" s="7">
        <f>'C-FTE Mar'!AD24/2</f>
        <v>6.1003831971657867</v>
      </c>
      <c r="AE24" s="7">
        <f>'C-FTE Mar'!AE24/2</f>
        <v>12.616701612320151</v>
      </c>
      <c r="AF24" s="7">
        <f>'C-FTE Mar'!AF24/2</f>
        <v>12.200766394331575</v>
      </c>
    </row>
    <row r="25" spans="1:32" x14ac:dyDescent="0.25">
      <c r="A25" s="3" t="s">
        <v>30</v>
      </c>
      <c r="B25" s="7">
        <f>'C-FTE Mar'!B25/2</f>
        <v>7.348188851131515</v>
      </c>
      <c r="C25" s="7">
        <f>'C-FTE Mar'!C25/2</f>
        <v>15.389603065577324</v>
      </c>
      <c r="D25" s="7">
        <f>'C-FTE Mar'!D25/2</f>
        <v>14.419087556937315</v>
      </c>
      <c r="E25" s="7">
        <f>'C-FTE Mar'!E25/2</f>
        <v>11.230250885691563</v>
      </c>
      <c r="F25" s="7">
        <f>'C-FTE Mar'!F25/2</f>
        <v>11.923476249005857</v>
      </c>
      <c r="G25" s="7">
        <f>'C-FTE Mar'!G25/2</f>
        <v>11.923476249005857</v>
      </c>
      <c r="H25" s="7">
        <f>'C-FTE Mar'!H25/2</f>
        <v>9.15057479574868</v>
      </c>
      <c r="I25" s="7">
        <f>'C-FTE Mar'!I25/2</f>
        <v>6.9322536331429392</v>
      </c>
      <c r="J25" s="7">
        <f>'C-FTE Mar'!J25/2</f>
        <v>14.557732629600173</v>
      </c>
      <c r="K25" s="7">
        <f>'C-FTE Mar'!K25/2</f>
        <v>13.725862193623021</v>
      </c>
      <c r="L25" s="7">
        <f>'C-FTE Mar'!L25/2</f>
        <v>10.675670595040126</v>
      </c>
      <c r="M25" s="7">
        <f>'C-FTE Mar'!M25/2</f>
        <v>11.368895958354418</v>
      </c>
      <c r="N25" s="7">
        <f>'C-FTE Mar'!N25/2</f>
        <v>11.507541031017281</v>
      </c>
      <c r="O25" s="7">
        <f>'C-FTE Mar'!O25/2</f>
        <v>8.8732846504229634</v>
      </c>
      <c r="P25" s="7">
        <f>'C-FTE Mar'!P25/2</f>
        <v>6.7936085604800809</v>
      </c>
      <c r="Q25" s="7">
        <f>'C-FTE Mar'!Q25/2</f>
        <v>14.1417974116116</v>
      </c>
      <c r="R25" s="7">
        <f>'C-FTE Mar'!R25/2</f>
        <v>13.309926975634445</v>
      </c>
      <c r="S25" s="7">
        <f>'C-FTE Mar'!S25/2</f>
        <v>10.537025522377268</v>
      </c>
      <c r="T25" s="7">
        <f>'C-FTE Mar'!T25/2</f>
        <v>11.091605813028703</v>
      </c>
      <c r="U25" s="7">
        <f>'C-FTE Mar'!U25/2</f>
        <v>11.368895958354422</v>
      </c>
      <c r="V25" s="7">
        <f>'C-FTE Mar'!V25/2</f>
        <v>8.7346395777601025</v>
      </c>
      <c r="W25" s="7">
        <f>'C-FTE Mar'!W25/2</f>
        <v>6.6549634878172217</v>
      </c>
      <c r="X25" s="7">
        <f>'C-FTE Mar'!X25/2</f>
        <v>14.141797411611597</v>
      </c>
      <c r="Y25" s="7">
        <f>'C-FTE Mar'!Y25/2</f>
        <v>13.309926975634445</v>
      </c>
      <c r="Z25" s="7">
        <f>'C-FTE Mar'!Z25/2</f>
        <v>10.398380449714411</v>
      </c>
      <c r="AA25" s="7">
        <f>'C-FTE Mar'!AA25/2</f>
        <v>11.230250885691564</v>
      </c>
      <c r="AB25" s="7">
        <f>'C-FTE Mar'!AB25/2</f>
        <v>11.368895958354424</v>
      </c>
      <c r="AC25" s="7">
        <f>'C-FTE Mar'!AC25/2</f>
        <v>8.7346395777601042</v>
      </c>
      <c r="AD25" s="7">
        <f>'C-FTE Mar'!AD25/2</f>
        <v>6.7936085604800818</v>
      </c>
      <c r="AE25" s="7">
        <f>'C-FTE Mar'!AE25/2</f>
        <v>14.280442484274456</v>
      </c>
      <c r="AF25" s="7">
        <f>'C-FTE Mar'!AF25/2</f>
        <v>13.448572048297303</v>
      </c>
    </row>
    <row r="26" spans="1:32" x14ac:dyDescent="0.25">
      <c r="A26" s="3" t="s">
        <v>31</v>
      </c>
      <c r="B26" s="7">
        <f>'C-FTE Mar'!B26/2</f>
        <v>7.7641240691200926</v>
      </c>
      <c r="C26" s="7">
        <f>'C-FTE Mar'!C26/2</f>
        <v>16.498763646880196</v>
      </c>
      <c r="D26" s="7">
        <f>'C-FTE Mar'!D26/2</f>
        <v>15.389603065577328</v>
      </c>
      <c r="E26" s="7">
        <f>'C-FTE Mar'!E26/2</f>
        <v>11.784831176342998</v>
      </c>
      <c r="F26" s="7">
        <f>'C-FTE Mar'!F26/2</f>
        <v>12.339411466994433</v>
      </c>
      <c r="G26" s="7">
        <f>'C-FTE Mar'!G26/2</f>
        <v>12.616701612320151</v>
      </c>
      <c r="H26" s="7">
        <f>'C-FTE Mar'!H26/2</f>
        <v>9.8438001590629742</v>
      </c>
      <c r="I26" s="7">
        <f>'C-FTE Mar'!I26/2</f>
        <v>7.3481888511315159</v>
      </c>
      <c r="J26" s="7">
        <f>'C-FTE Mar'!J26/2</f>
        <v>15.805538283565902</v>
      </c>
      <c r="K26" s="7">
        <f>'C-FTE Mar'!K26/2</f>
        <v>14.696377702263035</v>
      </c>
      <c r="L26" s="7">
        <f>'C-FTE Mar'!L26/2</f>
        <v>11.36889595835442</v>
      </c>
      <c r="M26" s="7">
        <f>'C-FTE Mar'!M26/2</f>
        <v>11.784831176342996</v>
      </c>
      <c r="N26" s="7">
        <f>'C-FTE Mar'!N26/2</f>
        <v>12.200766394331575</v>
      </c>
      <c r="O26" s="7">
        <f>'C-FTE Mar'!O26/2</f>
        <v>9.5665100137372558</v>
      </c>
      <c r="P26" s="7">
        <f>'C-FTE Mar'!P26/2</f>
        <v>7.0708987058058002</v>
      </c>
      <c r="Q26" s="7">
        <f>'C-FTE Mar'!Q26/2</f>
        <v>15.250957992914467</v>
      </c>
      <c r="R26" s="7">
        <f>'C-FTE Mar'!R26/2</f>
        <v>14.419087556937313</v>
      </c>
      <c r="S26" s="7">
        <f>'C-FTE Mar'!S26/2</f>
        <v>11.091605813028703</v>
      </c>
      <c r="T26" s="7">
        <f>'C-FTE Mar'!T26/2</f>
        <v>11.507541031017277</v>
      </c>
      <c r="U26" s="7">
        <f>'C-FTE Mar'!U26/2</f>
        <v>11.923476249005859</v>
      </c>
      <c r="V26" s="7">
        <f>'C-FTE Mar'!V26/2</f>
        <v>9.4278649410743984</v>
      </c>
      <c r="W26" s="7">
        <f>'C-FTE Mar'!W26/2</f>
        <v>7.0708987058057975</v>
      </c>
      <c r="X26" s="7">
        <f>'C-FTE Mar'!X26/2</f>
        <v>15.250957992914469</v>
      </c>
      <c r="Y26" s="7">
        <f>'C-FTE Mar'!Y26/2</f>
        <v>14.280442484274458</v>
      </c>
      <c r="Z26" s="7">
        <f>'C-FTE Mar'!Z26/2</f>
        <v>11.091605813028705</v>
      </c>
      <c r="AA26" s="7">
        <f>'C-FTE Mar'!AA26/2</f>
        <v>11.507541031017281</v>
      </c>
      <c r="AB26" s="7">
        <f>'C-FTE Mar'!AB26/2</f>
        <v>12.062121321668716</v>
      </c>
      <c r="AC26" s="7">
        <f>'C-FTE Mar'!AC26/2</f>
        <v>9.4278649410743967</v>
      </c>
      <c r="AD26" s="7">
        <f>'C-FTE Mar'!AD26/2</f>
        <v>7.0708987058057984</v>
      </c>
      <c r="AE26" s="7">
        <f>'C-FTE Mar'!AE26/2</f>
        <v>15.389603065577326</v>
      </c>
      <c r="AF26" s="7">
        <f>'C-FTE Mar'!AF26/2</f>
        <v>14.557732629600173</v>
      </c>
    </row>
    <row r="27" spans="1:32" x14ac:dyDescent="0.25">
      <c r="A27" s="3" t="s">
        <v>32</v>
      </c>
      <c r="B27" s="7">
        <f>'C-FTE Mar'!B27/2</f>
        <v>8.0414142144458083</v>
      </c>
      <c r="C27" s="7">
        <f>'C-FTE Mar'!C27/2</f>
        <v>16.637408719543053</v>
      </c>
      <c r="D27" s="7">
        <f>'C-FTE Mar'!D27/2</f>
        <v>16.08282842889162</v>
      </c>
      <c r="E27" s="7">
        <f>'C-FTE Mar'!E27/2</f>
        <v>12.616701612320149</v>
      </c>
      <c r="F27" s="7">
        <f>'C-FTE Mar'!F27/2</f>
        <v>12.200766394331575</v>
      </c>
      <c r="G27" s="7">
        <f>'C-FTE Mar'!G27/2</f>
        <v>13.171281902971586</v>
      </c>
      <c r="H27" s="7">
        <f>'C-FTE Mar'!H27/2</f>
        <v>10.121090304388691</v>
      </c>
      <c r="I27" s="7">
        <f>'C-FTE Mar'!I27/2</f>
        <v>7.6254789964572334</v>
      </c>
      <c r="J27" s="7">
        <f>'C-FTE Mar'!J27/2</f>
        <v>15.805538283565902</v>
      </c>
      <c r="K27" s="7">
        <f>'C-FTE Mar'!K27/2</f>
        <v>15.250957992914469</v>
      </c>
      <c r="L27" s="7">
        <f>'C-FTE Mar'!L27/2</f>
        <v>12.062121321668714</v>
      </c>
      <c r="M27" s="7">
        <f>'C-FTE Mar'!M27/2</f>
        <v>11.646186103680137</v>
      </c>
      <c r="N27" s="7">
        <f>'C-FTE Mar'!N27/2</f>
        <v>12.616701612320149</v>
      </c>
      <c r="O27" s="7">
        <f>'C-FTE Mar'!O27/2</f>
        <v>9.705155086400115</v>
      </c>
      <c r="P27" s="7">
        <f>'C-FTE Mar'!P27/2</f>
        <v>7.3481888511315177</v>
      </c>
      <c r="Q27" s="7">
        <f>'C-FTE Mar'!Q27/2</f>
        <v>15.389603065577328</v>
      </c>
      <c r="R27" s="7">
        <f>'C-FTE Mar'!R27/2</f>
        <v>14.97366784758875</v>
      </c>
      <c r="S27" s="7">
        <f>'C-FTE Mar'!S27/2</f>
        <v>11.784831176342999</v>
      </c>
      <c r="T27" s="7">
        <f>'C-FTE Mar'!T27/2</f>
        <v>11.507541031017277</v>
      </c>
      <c r="U27" s="7">
        <f>'C-FTE Mar'!U27/2</f>
        <v>12.478056539657294</v>
      </c>
      <c r="V27" s="7">
        <f>'C-FTE Mar'!V27/2</f>
        <v>9.7051550864001168</v>
      </c>
      <c r="W27" s="7">
        <f>'C-FTE Mar'!W27/2</f>
        <v>7.3481888511315168</v>
      </c>
      <c r="X27" s="7">
        <f>'C-FTE Mar'!X27/2</f>
        <v>15.250957992914469</v>
      </c>
      <c r="Y27" s="7">
        <f>'C-FTE Mar'!Y27/2</f>
        <v>14.835022774925893</v>
      </c>
      <c r="Z27" s="7">
        <f>'C-FTE Mar'!Z27/2</f>
        <v>11.784831176342999</v>
      </c>
      <c r="AA27" s="7">
        <f>'C-FTE Mar'!AA27/2</f>
        <v>11.507541031017281</v>
      </c>
      <c r="AB27" s="7">
        <f>'C-FTE Mar'!AB27/2</f>
        <v>12.478056539657292</v>
      </c>
      <c r="AC27" s="7">
        <f>'C-FTE Mar'!AC27/2</f>
        <v>9.705155086400115</v>
      </c>
      <c r="AD27" s="7">
        <f>'C-FTE Mar'!AD27/2</f>
        <v>7.348188851131515</v>
      </c>
      <c r="AE27" s="7">
        <f>'C-FTE Mar'!AE27/2</f>
        <v>15.528248138240185</v>
      </c>
      <c r="AF27" s="7">
        <f>'C-FTE Mar'!AF27/2</f>
        <v>15.112312920251609</v>
      </c>
    </row>
    <row r="28" spans="1:32" x14ac:dyDescent="0.25">
      <c r="A28" s="3" t="s">
        <v>33</v>
      </c>
      <c r="B28" s="7">
        <f>'C-FTE Mar'!B28/2</f>
        <v>8.5959945050972433</v>
      </c>
      <c r="C28" s="7">
        <f>'C-FTE Mar'!C28/2</f>
        <v>17.053343937531629</v>
      </c>
      <c r="D28" s="7">
        <f>'C-FTE Mar'!D28/2</f>
        <v>16.360118574217339</v>
      </c>
      <c r="E28" s="7">
        <f>'C-FTE Mar'!E28/2</f>
        <v>14.141797411611597</v>
      </c>
      <c r="F28" s="7">
        <f>'C-FTE Mar'!F28/2</f>
        <v>12.616701612320151</v>
      </c>
      <c r="G28" s="7">
        <f>'C-FTE Mar'!G28/2</f>
        <v>13.171281902971586</v>
      </c>
      <c r="H28" s="7">
        <f>'C-FTE Mar'!H28/2</f>
        <v>10.537025522377268</v>
      </c>
      <c r="I28" s="7">
        <f>'C-FTE Mar'!I28/2</f>
        <v>8.1800592871086675</v>
      </c>
      <c r="J28" s="7">
        <f>'C-FTE Mar'!J28/2</f>
        <v>16.221473501554478</v>
      </c>
      <c r="K28" s="7">
        <f>'C-FTE Mar'!K28/2</f>
        <v>15.666893210903046</v>
      </c>
      <c r="L28" s="7">
        <f>'C-FTE Mar'!L28/2</f>
        <v>13.587217120960162</v>
      </c>
      <c r="M28" s="7">
        <f>'C-FTE Mar'!M28/2</f>
        <v>12.200766394331573</v>
      </c>
      <c r="N28" s="7">
        <f>'C-FTE Mar'!N28/2</f>
        <v>12.616701612320149</v>
      </c>
      <c r="O28" s="7">
        <f>'C-FTE Mar'!O28/2</f>
        <v>10.121090304388693</v>
      </c>
      <c r="P28" s="7">
        <f>'C-FTE Mar'!P28/2</f>
        <v>7.9027691417829518</v>
      </c>
      <c r="Q28" s="7">
        <f>'C-FTE Mar'!Q28/2</f>
        <v>15.805538283565904</v>
      </c>
      <c r="R28" s="7">
        <f>'C-FTE Mar'!R28/2</f>
        <v>15.250957992914467</v>
      </c>
      <c r="S28" s="7">
        <f>'C-FTE Mar'!S28/2</f>
        <v>13.171281902971586</v>
      </c>
      <c r="T28" s="7">
        <f>'C-FTE Mar'!T28/2</f>
        <v>11.923476249005855</v>
      </c>
      <c r="U28" s="7">
        <f>'C-FTE Mar'!U28/2</f>
        <v>12.478056539657294</v>
      </c>
      <c r="V28" s="7">
        <f>'C-FTE Mar'!V28/2</f>
        <v>10.121090304388693</v>
      </c>
      <c r="W28" s="7">
        <f>'C-FTE Mar'!W28/2</f>
        <v>7.9027691417829509</v>
      </c>
      <c r="X28" s="7">
        <f>'C-FTE Mar'!X28/2</f>
        <v>15.666893210903043</v>
      </c>
      <c r="Y28" s="7">
        <f>'C-FTE Mar'!Y28/2</f>
        <v>15.112312920251609</v>
      </c>
      <c r="Z28" s="7">
        <f>'C-FTE Mar'!Z28/2</f>
        <v>13.171281902971586</v>
      </c>
      <c r="AA28" s="7">
        <f>'C-FTE Mar'!AA28/2</f>
        <v>11.923476249005857</v>
      </c>
      <c r="AB28" s="7">
        <f>'C-FTE Mar'!AB28/2</f>
        <v>12.478056539657292</v>
      </c>
      <c r="AC28" s="7">
        <f>'C-FTE Mar'!AC28/2</f>
        <v>10.121090304388693</v>
      </c>
      <c r="AD28" s="7">
        <f>'C-FTE Mar'!AD28/2</f>
        <v>7.9027691417829509</v>
      </c>
      <c r="AE28" s="7">
        <f>'C-FTE Mar'!AE28/2</f>
        <v>15.944183356228761</v>
      </c>
      <c r="AF28" s="7">
        <f>'C-FTE Mar'!AF28/2</f>
        <v>15.389603065577326</v>
      </c>
    </row>
    <row r="29" spans="1:32" x14ac:dyDescent="0.25">
      <c r="A29" s="3" t="s">
        <v>34</v>
      </c>
      <c r="B29" s="7">
        <f>'C-FTE Mar'!B29/2</f>
        <v>9.8438001590629742</v>
      </c>
      <c r="C29" s="7">
        <f>'C-FTE Mar'!C29/2</f>
        <v>18.855729882148793</v>
      </c>
      <c r="D29" s="7">
        <f>'C-FTE Mar'!D29/2</f>
        <v>16.914698864868775</v>
      </c>
      <c r="E29" s="7">
        <f>'C-FTE Mar'!E29/2</f>
        <v>15.944183356228763</v>
      </c>
      <c r="F29" s="7">
        <f>'C-FTE Mar'!F29/2</f>
        <v>14.141797411611599</v>
      </c>
      <c r="G29" s="7">
        <f>'C-FTE Mar'!G29/2</f>
        <v>13.725862193623021</v>
      </c>
      <c r="H29" s="7">
        <f>'C-FTE Mar'!H29/2</f>
        <v>11.646186103680138</v>
      </c>
      <c r="I29" s="7">
        <f>'C-FTE Mar'!I29/2</f>
        <v>9.4278649410743967</v>
      </c>
      <c r="J29" s="7">
        <f>'C-FTE Mar'!J29/2</f>
        <v>18.023859446171642</v>
      </c>
      <c r="K29" s="7">
        <f>'C-FTE Mar'!K29/2</f>
        <v>16.08282842889162</v>
      </c>
      <c r="L29" s="7">
        <f>'C-FTE Mar'!L29/2</f>
        <v>15.250957992914467</v>
      </c>
      <c r="M29" s="7">
        <f>'C-FTE Mar'!M29/2</f>
        <v>13.58721712096016</v>
      </c>
      <c r="N29" s="7">
        <f>'C-FTE Mar'!N29/2</f>
        <v>13.171281902971586</v>
      </c>
      <c r="O29" s="7">
        <f>'C-FTE Mar'!O29/2</f>
        <v>11.230250885691563</v>
      </c>
      <c r="P29" s="7">
        <f>'C-FTE Mar'!P29/2</f>
        <v>9.1505747957486818</v>
      </c>
      <c r="Q29" s="7">
        <f>'C-FTE Mar'!Q29/2</f>
        <v>17.469279155520208</v>
      </c>
      <c r="R29" s="7">
        <f>'C-FTE Mar'!R29/2</f>
        <v>15.666893210903046</v>
      </c>
      <c r="S29" s="7">
        <f>'C-FTE Mar'!S29/2</f>
        <v>14.835022774925891</v>
      </c>
      <c r="T29" s="7">
        <f>'C-FTE Mar'!T29/2</f>
        <v>13.309926975634442</v>
      </c>
      <c r="U29" s="7">
        <f>'C-FTE Mar'!U29/2</f>
        <v>13.032636830308729</v>
      </c>
      <c r="V29" s="7">
        <f>'C-FTE Mar'!V29/2</f>
        <v>11.091605813028703</v>
      </c>
      <c r="W29" s="7">
        <f>'C-FTE Mar'!W29/2</f>
        <v>9.0119297230858226</v>
      </c>
      <c r="X29" s="7">
        <f>'C-FTE Mar'!X29/2</f>
        <v>17.330634082857351</v>
      </c>
      <c r="Y29" s="7">
        <f>'C-FTE Mar'!Y29/2</f>
        <v>15.666893210903046</v>
      </c>
      <c r="Z29" s="7">
        <f>'C-FTE Mar'!Z29/2</f>
        <v>14.835022774925893</v>
      </c>
      <c r="AA29" s="7">
        <f>'C-FTE Mar'!AA29/2</f>
        <v>13.309926975634447</v>
      </c>
      <c r="AB29" s="7">
        <f>'C-FTE Mar'!AB29/2</f>
        <v>13.032636830308729</v>
      </c>
      <c r="AC29" s="7">
        <f>'C-FTE Mar'!AC29/2</f>
        <v>11.091605813028703</v>
      </c>
      <c r="AD29" s="7">
        <f>'C-FTE Mar'!AD29/2</f>
        <v>9.15057479574868</v>
      </c>
      <c r="AE29" s="7">
        <f>'C-FTE Mar'!AE29/2</f>
        <v>17.469279155520205</v>
      </c>
      <c r="AF29" s="7">
        <f>'C-FTE Mar'!AF29/2</f>
        <v>15.944183356228761</v>
      </c>
    </row>
    <row r="30" spans="1:32" x14ac:dyDescent="0.25">
      <c r="A30" s="3" t="s">
        <v>35</v>
      </c>
      <c r="B30" s="7">
        <f>'C-FTE Mar'!B30/2</f>
        <v>10.675670595040128</v>
      </c>
      <c r="C30" s="7">
        <f>'C-FTE Mar'!C30/2</f>
        <v>20.103535536114524</v>
      </c>
      <c r="D30" s="7">
        <f>'C-FTE Mar'!D30/2</f>
        <v>17.330634082857351</v>
      </c>
      <c r="E30" s="7">
        <f>'C-FTE Mar'!E30/2</f>
        <v>16.776053792205914</v>
      </c>
      <c r="F30" s="7">
        <f>'C-FTE Mar'!F30/2</f>
        <v>15.112312920251609</v>
      </c>
      <c r="G30" s="7">
        <f>'C-FTE Mar'!G30/2</f>
        <v>14.835022774925891</v>
      </c>
      <c r="H30" s="7">
        <f>'C-FTE Mar'!H30/2</f>
        <v>12.062121321668716</v>
      </c>
      <c r="I30" s="7">
        <f>'C-FTE Mar'!I30/2</f>
        <v>10.121090304388691</v>
      </c>
      <c r="J30" s="7">
        <f>'C-FTE Mar'!J30/2</f>
        <v>19.133020027474512</v>
      </c>
      <c r="K30" s="7">
        <f>'C-FTE Mar'!K30/2</f>
        <v>16.498763646880199</v>
      </c>
      <c r="L30" s="7">
        <f>'C-FTE Mar'!L30/2</f>
        <v>16.08282842889162</v>
      </c>
      <c r="M30" s="7">
        <f>'C-FTE Mar'!M30/2</f>
        <v>14.419087556937312</v>
      </c>
      <c r="N30" s="7">
        <f>'C-FTE Mar'!N30/2</f>
        <v>14.280442484274456</v>
      </c>
      <c r="O30" s="7">
        <f>'C-FTE Mar'!O30/2</f>
        <v>11.646186103680138</v>
      </c>
      <c r="P30" s="7">
        <f>'C-FTE Mar'!P30/2</f>
        <v>9.843800159062976</v>
      </c>
      <c r="Q30" s="7">
        <f>'C-FTE Mar'!Q30/2</f>
        <v>18.578439736823078</v>
      </c>
      <c r="R30" s="7">
        <f>'C-FTE Mar'!R30/2</f>
        <v>16.08282842889162</v>
      </c>
      <c r="S30" s="7">
        <f>'C-FTE Mar'!S30/2</f>
        <v>15.666893210903043</v>
      </c>
      <c r="T30" s="7">
        <f>'C-FTE Mar'!T30/2</f>
        <v>14.141797411611597</v>
      </c>
      <c r="U30" s="7">
        <f>'C-FTE Mar'!U30/2</f>
        <v>14.003152338948739</v>
      </c>
      <c r="V30" s="7">
        <f>'C-FTE Mar'!V30/2</f>
        <v>11.507541031017279</v>
      </c>
      <c r="W30" s="7">
        <f>'C-FTE Mar'!W30/2</f>
        <v>9.705155086400115</v>
      </c>
      <c r="X30" s="7">
        <f>'C-FTE Mar'!X30/2</f>
        <v>18.439794664160218</v>
      </c>
      <c r="Y30" s="7">
        <f>'C-FTE Mar'!Y30/2</f>
        <v>16.082828428891624</v>
      </c>
      <c r="Z30" s="7">
        <f>'C-FTE Mar'!Z30/2</f>
        <v>15.666893210903044</v>
      </c>
      <c r="AA30" s="7">
        <f>'C-FTE Mar'!AA30/2</f>
        <v>14.141797411611599</v>
      </c>
      <c r="AB30" s="7">
        <f>'C-FTE Mar'!AB30/2</f>
        <v>14.141797411611599</v>
      </c>
      <c r="AC30" s="7">
        <f>'C-FTE Mar'!AC30/2</f>
        <v>11.646186103680138</v>
      </c>
      <c r="AD30" s="7">
        <f>'C-FTE Mar'!AD30/2</f>
        <v>9.8438001590629742</v>
      </c>
      <c r="AE30" s="7">
        <f>'C-FTE Mar'!AE30/2</f>
        <v>18.717084809485936</v>
      </c>
      <c r="AF30" s="7">
        <f>'C-FTE Mar'!AF30/2</f>
        <v>16.360118574217339</v>
      </c>
    </row>
    <row r="31" spans="1:32" x14ac:dyDescent="0.25">
      <c r="A31" s="3" t="s">
        <v>36</v>
      </c>
      <c r="B31" s="7">
        <f>'C-FTE Mar'!B31/2</f>
        <v>10.398380449714409</v>
      </c>
      <c r="C31" s="7">
        <f>'C-FTE Mar'!C31/2</f>
        <v>20.380825681440239</v>
      </c>
      <c r="D31" s="7">
        <f>'C-FTE Mar'!D31/2</f>
        <v>17.330634082857351</v>
      </c>
      <c r="E31" s="7">
        <f>'C-FTE Mar'!E31/2</f>
        <v>16.221473501554481</v>
      </c>
      <c r="F31" s="7">
        <f>'C-FTE Mar'!F31/2</f>
        <v>15.112312920251609</v>
      </c>
      <c r="G31" s="7">
        <f>'C-FTE Mar'!G31/2</f>
        <v>14.97366784758875</v>
      </c>
      <c r="H31" s="7">
        <f>'C-FTE Mar'!H31/2</f>
        <v>11.923476249005857</v>
      </c>
      <c r="I31" s="7">
        <f>'C-FTE Mar'!I31/2</f>
        <v>9.8438001590629725</v>
      </c>
      <c r="J31" s="7">
        <f>'C-FTE Mar'!J31/2</f>
        <v>19.41031017280023</v>
      </c>
      <c r="K31" s="7">
        <f>'C-FTE Mar'!K31/2</f>
        <v>16.498763646880199</v>
      </c>
      <c r="L31" s="7">
        <f>'C-FTE Mar'!L31/2</f>
        <v>15.528248138240183</v>
      </c>
      <c r="M31" s="7">
        <f>'C-FTE Mar'!M31/2</f>
        <v>14.557732629600171</v>
      </c>
      <c r="N31" s="7">
        <f>'C-FTE Mar'!N31/2</f>
        <v>14.419087556937315</v>
      </c>
      <c r="O31" s="7">
        <f>'C-FTE Mar'!O31/2</f>
        <v>11.507541031017279</v>
      </c>
      <c r="P31" s="7">
        <f>'C-FTE Mar'!P31/2</f>
        <v>9.5665100137372576</v>
      </c>
      <c r="Q31" s="7">
        <f>'C-FTE Mar'!Q31/2</f>
        <v>18.855729882148797</v>
      </c>
      <c r="R31" s="7">
        <f>'C-FTE Mar'!R31/2</f>
        <v>16.08282842889162</v>
      </c>
      <c r="S31" s="7">
        <f>'C-FTE Mar'!S31/2</f>
        <v>15.250957992914469</v>
      </c>
      <c r="T31" s="7">
        <f>'C-FTE Mar'!T31/2</f>
        <v>14.280442484274454</v>
      </c>
      <c r="U31" s="7">
        <f>'C-FTE Mar'!U31/2</f>
        <v>14.141797411611599</v>
      </c>
      <c r="V31" s="7">
        <f>'C-FTE Mar'!V31/2</f>
        <v>11.36889595835442</v>
      </c>
      <c r="W31" s="7">
        <f>'C-FTE Mar'!W31/2</f>
        <v>9.4278649410743984</v>
      </c>
      <c r="X31" s="7">
        <f>'C-FTE Mar'!X31/2</f>
        <v>18.717084809485936</v>
      </c>
      <c r="Y31" s="7">
        <f>'C-FTE Mar'!Y31/2</f>
        <v>16.082828428891624</v>
      </c>
      <c r="Z31" s="7">
        <f>'C-FTE Mar'!Z31/2</f>
        <v>15.25095799291447</v>
      </c>
      <c r="AA31" s="7">
        <f>'C-FTE Mar'!AA31/2</f>
        <v>14.280442484274458</v>
      </c>
      <c r="AB31" s="7">
        <f>'C-FTE Mar'!AB31/2</f>
        <v>14.280442484274458</v>
      </c>
      <c r="AC31" s="7">
        <f>'C-FTE Mar'!AC31/2</f>
        <v>11.368895958354422</v>
      </c>
      <c r="AD31" s="7">
        <f>'C-FTE Mar'!AD31/2</f>
        <v>9.5665100137372576</v>
      </c>
      <c r="AE31" s="7">
        <f>'C-FTE Mar'!AE31/2</f>
        <v>18.855729882148797</v>
      </c>
      <c r="AF31" s="7">
        <f>'C-FTE Mar'!AF31/2</f>
        <v>16.221473501554481</v>
      </c>
    </row>
    <row r="32" spans="1:32" x14ac:dyDescent="0.25">
      <c r="A32" s="3" t="s">
        <v>37</v>
      </c>
      <c r="B32" s="7">
        <f>'C-FTE Mar'!B32/2</f>
        <v>9.9824452317258334</v>
      </c>
      <c r="C32" s="7">
        <f>'C-FTE Mar'!C32/2</f>
        <v>20.103535536114524</v>
      </c>
      <c r="D32" s="7">
        <f>'C-FTE Mar'!D32/2</f>
        <v>16.637408719543057</v>
      </c>
      <c r="E32" s="7">
        <f>'C-FTE Mar'!E32/2</f>
        <v>15.250957992914467</v>
      </c>
      <c r="F32" s="7">
        <f>'C-FTE Mar'!F32/2</f>
        <v>14.557732629600174</v>
      </c>
      <c r="G32" s="7">
        <f>'C-FTE Mar'!G32/2</f>
        <v>14.419087556937315</v>
      </c>
      <c r="H32" s="7">
        <f>'C-FTE Mar'!H32/2</f>
        <v>11.36889595835442</v>
      </c>
      <c r="I32" s="7">
        <f>'C-FTE Mar'!I32/2</f>
        <v>9.4278649410743967</v>
      </c>
      <c r="J32" s="7">
        <f>'C-FTE Mar'!J32/2</f>
        <v>19.133020027474512</v>
      </c>
      <c r="K32" s="7">
        <f>'C-FTE Mar'!K32/2</f>
        <v>15.805538283565904</v>
      </c>
      <c r="L32" s="7">
        <f>'C-FTE Mar'!L32/2</f>
        <v>14.557732629600173</v>
      </c>
      <c r="M32" s="7">
        <f>'C-FTE Mar'!M32/2</f>
        <v>14.003152338948738</v>
      </c>
      <c r="N32" s="7">
        <f>'C-FTE Mar'!N32/2</f>
        <v>13.86450726628588</v>
      </c>
      <c r="O32" s="7">
        <f>'C-FTE Mar'!O32/2</f>
        <v>10.952960740365844</v>
      </c>
      <c r="P32" s="7">
        <f>'C-FTE Mar'!P32/2</f>
        <v>9.1505747957486818</v>
      </c>
      <c r="Q32" s="7">
        <f>'C-FTE Mar'!Q32/2</f>
        <v>18.578439736823078</v>
      </c>
      <c r="R32" s="7">
        <f>'C-FTE Mar'!R32/2</f>
        <v>15.389603065577328</v>
      </c>
      <c r="S32" s="7">
        <f>'C-FTE Mar'!S32/2</f>
        <v>14.280442484274456</v>
      </c>
      <c r="T32" s="7">
        <f>'C-FTE Mar'!T32/2</f>
        <v>13.725862193623019</v>
      </c>
      <c r="U32" s="7">
        <f>'C-FTE Mar'!U32/2</f>
        <v>13.587217120960162</v>
      </c>
      <c r="V32" s="7">
        <f>'C-FTE Mar'!V32/2</f>
        <v>10.814315667702985</v>
      </c>
      <c r="W32" s="7">
        <f>'C-FTE Mar'!W32/2</f>
        <v>9.0119297230858226</v>
      </c>
      <c r="X32" s="7">
        <f>'C-FTE Mar'!X32/2</f>
        <v>18.30114959149736</v>
      </c>
      <c r="Y32" s="7">
        <f>'C-FTE Mar'!Y32/2</f>
        <v>15.389603065577328</v>
      </c>
      <c r="Z32" s="7">
        <f>'C-FTE Mar'!Z32/2</f>
        <v>14.141797411611599</v>
      </c>
      <c r="AA32" s="7">
        <f>'C-FTE Mar'!AA32/2</f>
        <v>13.725862193623023</v>
      </c>
      <c r="AB32" s="7">
        <f>'C-FTE Mar'!AB32/2</f>
        <v>13.587217120960164</v>
      </c>
      <c r="AC32" s="7">
        <f>'C-FTE Mar'!AC32/2</f>
        <v>10.814315667702985</v>
      </c>
      <c r="AD32" s="7">
        <f>'C-FTE Mar'!AD32/2</f>
        <v>9.15057479574868</v>
      </c>
      <c r="AE32" s="7">
        <f>'C-FTE Mar'!AE32/2</f>
        <v>18.578439736823075</v>
      </c>
      <c r="AF32" s="7">
        <f>'C-FTE Mar'!AF32/2</f>
        <v>15.666893210903043</v>
      </c>
    </row>
    <row r="33" spans="1:32" x14ac:dyDescent="0.25">
      <c r="A33" s="3" t="s">
        <v>38</v>
      </c>
      <c r="B33" s="7">
        <f>'C-FTE Mar'!B33/2</f>
        <v>9.9824452317258334</v>
      </c>
      <c r="C33" s="7">
        <f>'C-FTE Mar'!C33/2</f>
        <v>19.133020027474515</v>
      </c>
      <c r="D33" s="7">
        <f>'C-FTE Mar'!D33/2</f>
        <v>15.944183356228763</v>
      </c>
      <c r="E33" s="7">
        <f>'C-FTE Mar'!E33/2</f>
        <v>14.557732629600174</v>
      </c>
      <c r="F33" s="7">
        <f>'C-FTE Mar'!F33/2</f>
        <v>13.587217120960164</v>
      </c>
      <c r="G33" s="7">
        <f>'C-FTE Mar'!G33/2</f>
        <v>13.864507266285878</v>
      </c>
      <c r="H33" s="7">
        <f>'C-FTE Mar'!H33/2</f>
        <v>10.814315667702987</v>
      </c>
      <c r="I33" s="7">
        <f>'C-FTE Mar'!I33/2</f>
        <v>9.4278649410743967</v>
      </c>
      <c r="J33" s="7">
        <f>'C-FTE Mar'!J33/2</f>
        <v>18.162504518834499</v>
      </c>
      <c r="K33" s="7">
        <f>'C-FTE Mar'!K33/2</f>
        <v>15.250957992914469</v>
      </c>
      <c r="L33" s="7">
        <f>'C-FTE Mar'!L33/2</f>
        <v>14.003152338948736</v>
      </c>
      <c r="M33" s="7">
        <f>'C-FTE Mar'!M33/2</f>
        <v>13.032636830308725</v>
      </c>
      <c r="N33" s="7">
        <f>'C-FTE Mar'!N33/2</f>
        <v>13.309926975634445</v>
      </c>
      <c r="O33" s="7">
        <f>'C-FTE Mar'!O33/2</f>
        <v>10.398380449714409</v>
      </c>
      <c r="P33" s="7">
        <f>'C-FTE Mar'!P33/2</f>
        <v>9.1505747957486818</v>
      </c>
      <c r="Q33" s="7">
        <f>'C-FTE Mar'!Q33/2</f>
        <v>17.607924228183069</v>
      </c>
      <c r="R33" s="7">
        <f>'C-FTE Mar'!R33/2</f>
        <v>14.835022774925893</v>
      </c>
      <c r="S33" s="7">
        <f>'C-FTE Mar'!S33/2</f>
        <v>13.725862193623019</v>
      </c>
      <c r="T33" s="7">
        <f>'C-FTE Mar'!T33/2</f>
        <v>12.755346684983007</v>
      </c>
      <c r="U33" s="7">
        <f>'C-FTE Mar'!U33/2</f>
        <v>13.032636830308729</v>
      </c>
      <c r="V33" s="7">
        <f>'C-FTE Mar'!V33/2</f>
        <v>10.259735377051552</v>
      </c>
      <c r="W33" s="7">
        <f>'C-FTE Mar'!W33/2</f>
        <v>9.0119297230858226</v>
      </c>
      <c r="X33" s="7">
        <f>'C-FTE Mar'!X33/2</f>
        <v>17.469279155520208</v>
      </c>
      <c r="Y33" s="7">
        <f>'C-FTE Mar'!Y33/2</f>
        <v>14.835022774925893</v>
      </c>
      <c r="Z33" s="7">
        <f>'C-FTE Mar'!Z33/2</f>
        <v>13.725862193623021</v>
      </c>
      <c r="AA33" s="7">
        <f>'C-FTE Mar'!AA33/2</f>
        <v>12.75534668498301</v>
      </c>
      <c r="AB33" s="7">
        <f>'C-FTE Mar'!AB33/2</f>
        <v>13.171281902971588</v>
      </c>
      <c r="AC33" s="7">
        <f>'C-FTE Mar'!AC33/2</f>
        <v>10.398380449714409</v>
      </c>
      <c r="AD33" s="7">
        <f>'C-FTE Mar'!AD33/2</f>
        <v>9.15057479574868</v>
      </c>
      <c r="AE33" s="7">
        <f>'C-FTE Mar'!AE33/2</f>
        <v>17.746569300845923</v>
      </c>
      <c r="AF33" s="7">
        <f>'C-FTE Mar'!AF33/2</f>
        <v>15.112312920251609</v>
      </c>
    </row>
    <row r="34" spans="1:32" x14ac:dyDescent="0.25">
      <c r="A34" s="3" t="s">
        <v>39</v>
      </c>
      <c r="B34" s="7">
        <f>'C-FTE Mar'!B34/2</f>
        <v>10.25973537705155</v>
      </c>
      <c r="C34" s="7">
        <f>'C-FTE Mar'!C34/2</f>
        <v>19.271665100137369</v>
      </c>
      <c r="D34" s="7">
        <f>'C-FTE Mar'!D34/2</f>
        <v>16.221473501554478</v>
      </c>
      <c r="E34" s="7">
        <f>'C-FTE Mar'!E34/2</f>
        <v>14.696377702263032</v>
      </c>
      <c r="F34" s="7">
        <f>'C-FTE Mar'!F34/2</f>
        <v>13.587217120960164</v>
      </c>
      <c r="G34" s="7">
        <f>'C-FTE Mar'!G34/2</f>
        <v>14.003152338948739</v>
      </c>
      <c r="H34" s="7">
        <f>'C-FTE Mar'!H34/2</f>
        <v>10.814315667702987</v>
      </c>
      <c r="I34" s="7">
        <f>'C-FTE Mar'!I34/2</f>
        <v>9.7051550864001133</v>
      </c>
      <c r="J34" s="7">
        <f>'C-FTE Mar'!J34/2</f>
        <v>18.439794664160218</v>
      </c>
      <c r="K34" s="7">
        <f>'C-FTE Mar'!K34/2</f>
        <v>15.528248138240185</v>
      </c>
      <c r="L34" s="7">
        <f>'C-FTE Mar'!L34/2</f>
        <v>14.141797411611595</v>
      </c>
      <c r="M34" s="7">
        <f>'C-FTE Mar'!M34/2</f>
        <v>13.032636830308725</v>
      </c>
      <c r="N34" s="7">
        <f>'C-FTE Mar'!N34/2</f>
        <v>13.448572048297304</v>
      </c>
      <c r="O34" s="7">
        <f>'C-FTE Mar'!O34/2</f>
        <v>10.398380449714409</v>
      </c>
      <c r="P34" s="7">
        <f>'C-FTE Mar'!P34/2</f>
        <v>9.4278649410743984</v>
      </c>
      <c r="Q34" s="7">
        <f>'C-FTE Mar'!Q34/2</f>
        <v>17.885214373508784</v>
      </c>
      <c r="R34" s="7">
        <f>'C-FTE Mar'!R34/2</f>
        <v>15.112312920251609</v>
      </c>
      <c r="S34" s="7">
        <f>'C-FTE Mar'!S34/2</f>
        <v>13.725862193623019</v>
      </c>
      <c r="T34" s="7">
        <f>'C-FTE Mar'!T34/2</f>
        <v>12.755346684983007</v>
      </c>
      <c r="U34" s="7">
        <f>'C-FTE Mar'!U34/2</f>
        <v>13.171281902971586</v>
      </c>
      <c r="V34" s="7">
        <f>'C-FTE Mar'!V34/2</f>
        <v>10.259735377051552</v>
      </c>
      <c r="W34" s="7">
        <f>'C-FTE Mar'!W34/2</f>
        <v>9.2892198684115392</v>
      </c>
      <c r="X34" s="7">
        <f>'C-FTE Mar'!X34/2</f>
        <v>17.746569300845927</v>
      </c>
      <c r="Y34" s="7">
        <f>'C-FTE Mar'!Y34/2</f>
        <v>14.97366784758875</v>
      </c>
      <c r="Z34" s="7">
        <f>'C-FTE Mar'!Z34/2</f>
        <v>13.725862193623021</v>
      </c>
      <c r="AA34" s="7">
        <f>'C-FTE Mar'!AA34/2</f>
        <v>12.75534668498301</v>
      </c>
      <c r="AB34" s="7">
        <f>'C-FTE Mar'!AB34/2</f>
        <v>13.309926975634447</v>
      </c>
      <c r="AC34" s="7">
        <f>'C-FTE Mar'!AC34/2</f>
        <v>10.398380449714409</v>
      </c>
      <c r="AD34" s="7">
        <f>'C-FTE Mar'!AD34/2</f>
        <v>9.4278649410743984</v>
      </c>
      <c r="AE34" s="7">
        <f>'C-FTE Mar'!AE34/2</f>
        <v>17.885214373508784</v>
      </c>
      <c r="AF34" s="7">
        <f>'C-FTE Mar'!AF34/2</f>
        <v>15.250957992914469</v>
      </c>
    </row>
    <row r="35" spans="1:32" x14ac:dyDescent="0.25">
      <c r="A35" s="3" t="s">
        <v>40</v>
      </c>
      <c r="B35" s="7">
        <f>'C-FTE Mar'!B35/2</f>
        <v>10.814315667702987</v>
      </c>
      <c r="C35" s="7">
        <f>'C-FTE Mar'!C35/2</f>
        <v>20.242180608777385</v>
      </c>
      <c r="D35" s="7">
        <f>'C-FTE Mar'!D35/2</f>
        <v>16.776053792205918</v>
      </c>
      <c r="E35" s="7">
        <f>'C-FTE Mar'!E35/2</f>
        <v>14.835022774925893</v>
      </c>
      <c r="F35" s="7">
        <f>'C-FTE Mar'!F35/2</f>
        <v>14.419087556937315</v>
      </c>
      <c r="G35" s="7">
        <f>'C-FTE Mar'!G35/2</f>
        <v>14.557732629600174</v>
      </c>
      <c r="H35" s="7">
        <f>'C-FTE Mar'!H35/2</f>
        <v>10.952960740365844</v>
      </c>
      <c r="I35" s="7">
        <f>'C-FTE Mar'!I35/2</f>
        <v>10.25973537705155</v>
      </c>
      <c r="J35" s="7">
        <f>'C-FTE Mar'!J35/2</f>
        <v>19.271665100137369</v>
      </c>
      <c r="K35" s="7">
        <f>'C-FTE Mar'!K35/2</f>
        <v>15.944183356228763</v>
      </c>
      <c r="L35" s="7">
        <f>'C-FTE Mar'!L35/2</f>
        <v>14.280442484274456</v>
      </c>
      <c r="M35" s="7">
        <f>'C-FTE Mar'!M35/2</f>
        <v>13.725862193623019</v>
      </c>
      <c r="N35" s="7">
        <f>'C-FTE Mar'!N35/2</f>
        <v>14.003152338948739</v>
      </c>
      <c r="O35" s="7">
        <f>'C-FTE Mar'!O35/2</f>
        <v>10.537025522377268</v>
      </c>
      <c r="P35" s="7">
        <f>'C-FTE Mar'!P35/2</f>
        <v>9.843800159062976</v>
      </c>
      <c r="Q35" s="7">
        <f>'C-FTE Mar'!Q35/2</f>
        <v>18.717084809485939</v>
      </c>
      <c r="R35" s="7">
        <f>'C-FTE Mar'!R35/2</f>
        <v>15.528248138240185</v>
      </c>
      <c r="S35" s="7">
        <f>'C-FTE Mar'!S35/2</f>
        <v>13.864507266285878</v>
      </c>
      <c r="T35" s="7">
        <f>'C-FTE Mar'!T35/2</f>
        <v>13.448572048297301</v>
      </c>
      <c r="U35" s="7">
        <f>'C-FTE Mar'!U35/2</f>
        <v>13.86450726628588</v>
      </c>
      <c r="V35" s="7">
        <f>'C-FTE Mar'!V35/2</f>
        <v>10.398380449714409</v>
      </c>
      <c r="W35" s="7">
        <f>'C-FTE Mar'!W35/2</f>
        <v>9.8438001590629742</v>
      </c>
      <c r="X35" s="7">
        <f>'C-FTE Mar'!X35/2</f>
        <v>18.578439736823078</v>
      </c>
      <c r="Y35" s="7">
        <f>'C-FTE Mar'!Y35/2</f>
        <v>15.389603065577328</v>
      </c>
      <c r="Z35" s="7">
        <f>'C-FTE Mar'!Z35/2</f>
        <v>13.86450726628588</v>
      </c>
      <c r="AA35" s="7">
        <f>'C-FTE Mar'!AA35/2</f>
        <v>13.448572048297304</v>
      </c>
      <c r="AB35" s="7">
        <f>'C-FTE Mar'!AB35/2</f>
        <v>13.86450726628588</v>
      </c>
      <c r="AC35" s="7">
        <f>'C-FTE Mar'!AC35/2</f>
        <v>10.537025522377268</v>
      </c>
      <c r="AD35" s="7">
        <f>'C-FTE Mar'!AD35/2</f>
        <v>9.8438001590629742</v>
      </c>
      <c r="AE35" s="7">
        <f>'C-FTE Mar'!AE35/2</f>
        <v>18.855729882148797</v>
      </c>
      <c r="AF35" s="7">
        <f>'C-FTE Mar'!AF35/2</f>
        <v>15.666893210903043</v>
      </c>
    </row>
    <row r="36" spans="1:32" x14ac:dyDescent="0.25">
      <c r="A36" s="3" t="s">
        <v>41</v>
      </c>
      <c r="B36" s="7">
        <f>'C-FTE Mar'!B36/2</f>
        <v>10.675670595040128</v>
      </c>
      <c r="C36" s="7">
        <f>'C-FTE Mar'!C36/2</f>
        <v>19.271665100137369</v>
      </c>
      <c r="D36" s="7">
        <f>'C-FTE Mar'!D36/2</f>
        <v>16.498763646880199</v>
      </c>
      <c r="E36" s="7">
        <f>'C-FTE Mar'!E36/2</f>
        <v>14.835022774925893</v>
      </c>
      <c r="F36" s="7">
        <f>'C-FTE Mar'!F36/2</f>
        <v>13.86450726628588</v>
      </c>
      <c r="G36" s="7">
        <f>'C-FTE Mar'!G36/2</f>
        <v>14.419087556937315</v>
      </c>
      <c r="H36" s="7">
        <f>'C-FTE Mar'!H36/2</f>
        <v>10.814315667702987</v>
      </c>
      <c r="I36" s="7">
        <f>'C-FTE Mar'!I36/2</f>
        <v>10.25973537705155</v>
      </c>
      <c r="J36" s="7">
        <f>'C-FTE Mar'!J36/2</f>
        <v>18.439794664160218</v>
      </c>
      <c r="K36" s="7">
        <f>'C-FTE Mar'!K36/2</f>
        <v>15.805538283565904</v>
      </c>
      <c r="L36" s="7">
        <f>'C-FTE Mar'!L36/2</f>
        <v>14.280442484274456</v>
      </c>
      <c r="M36" s="7">
        <f>'C-FTE Mar'!M36/2</f>
        <v>13.309926975634442</v>
      </c>
      <c r="N36" s="7">
        <f>'C-FTE Mar'!N36/2</f>
        <v>14.003152338948739</v>
      </c>
      <c r="O36" s="7">
        <f>'C-FTE Mar'!O36/2</f>
        <v>10.398380449714409</v>
      </c>
      <c r="P36" s="7">
        <f>'C-FTE Mar'!P36/2</f>
        <v>9.843800159062976</v>
      </c>
      <c r="Q36" s="7">
        <f>'C-FTE Mar'!Q36/2</f>
        <v>17.885214373508784</v>
      </c>
      <c r="R36" s="7">
        <f>'C-FTE Mar'!R36/2</f>
        <v>15.389603065577328</v>
      </c>
      <c r="S36" s="7">
        <f>'C-FTE Mar'!S36/2</f>
        <v>13.864507266285878</v>
      </c>
      <c r="T36" s="7">
        <f>'C-FTE Mar'!T36/2</f>
        <v>13.032636830308725</v>
      </c>
      <c r="U36" s="7">
        <f>'C-FTE Mar'!U36/2</f>
        <v>13.725862193623021</v>
      </c>
      <c r="V36" s="7">
        <f>'C-FTE Mar'!V36/2</f>
        <v>10.259735377051552</v>
      </c>
      <c r="W36" s="7">
        <f>'C-FTE Mar'!W36/2</f>
        <v>9.705155086400115</v>
      </c>
      <c r="X36" s="7">
        <f>'C-FTE Mar'!X36/2</f>
        <v>17.746569300845927</v>
      </c>
      <c r="Y36" s="7">
        <f>'C-FTE Mar'!Y36/2</f>
        <v>15.250957992914469</v>
      </c>
      <c r="Z36" s="7">
        <f>'C-FTE Mar'!Z36/2</f>
        <v>13.86450726628588</v>
      </c>
      <c r="AA36" s="7">
        <f>'C-FTE Mar'!AA36/2</f>
        <v>13.032636830308729</v>
      </c>
      <c r="AB36" s="7">
        <f>'C-FTE Mar'!AB36/2</f>
        <v>13.725862193623023</v>
      </c>
      <c r="AC36" s="7">
        <f>'C-FTE Mar'!AC36/2</f>
        <v>10.398380449714409</v>
      </c>
      <c r="AD36" s="7">
        <f>'C-FTE Mar'!AD36/2</f>
        <v>9.8438001590629742</v>
      </c>
      <c r="AE36" s="7">
        <f>'C-FTE Mar'!AE36/2</f>
        <v>18.023859446171642</v>
      </c>
      <c r="AF36" s="7">
        <f>'C-FTE Mar'!AF36/2</f>
        <v>15.528248138240185</v>
      </c>
    </row>
    <row r="37" spans="1:32" x14ac:dyDescent="0.25">
      <c r="A37" s="3" t="s">
        <v>42</v>
      </c>
      <c r="B37" s="7">
        <f>'C-FTE Mar'!B37/2</f>
        <v>9.8438001590629742</v>
      </c>
      <c r="C37" s="7">
        <f>'C-FTE Mar'!C37/2</f>
        <v>17.746569300845923</v>
      </c>
      <c r="D37" s="7">
        <f>'C-FTE Mar'!D37/2</f>
        <v>15.944183356228763</v>
      </c>
      <c r="E37" s="7">
        <f>'C-FTE Mar'!E37/2</f>
        <v>14.557732629600174</v>
      </c>
      <c r="F37" s="7">
        <f>'C-FTE Mar'!F37/2</f>
        <v>13.032636830308727</v>
      </c>
      <c r="G37" s="7">
        <f>'C-FTE Mar'!G37/2</f>
        <v>13.587217120960162</v>
      </c>
      <c r="H37" s="7">
        <f>'C-FTE Mar'!H37/2</f>
        <v>10.259735377051552</v>
      </c>
      <c r="I37" s="7">
        <f>'C-FTE Mar'!I37/2</f>
        <v>9.4278649410743967</v>
      </c>
      <c r="J37" s="7">
        <f>'C-FTE Mar'!J37/2</f>
        <v>16.914698864868772</v>
      </c>
      <c r="K37" s="7">
        <f>'C-FTE Mar'!K37/2</f>
        <v>15.250957992914469</v>
      </c>
      <c r="L37" s="7">
        <f>'C-FTE Mar'!L37/2</f>
        <v>14.003152338948736</v>
      </c>
      <c r="M37" s="7">
        <f>'C-FTE Mar'!M37/2</f>
        <v>12.47805653965729</v>
      </c>
      <c r="N37" s="7">
        <f>'C-FTE Mar'!N37/2</f>
        <v>13.171281902971586</v>
      </c>
      <c r="O37" s="7">
        <f>'C-FTE Mar'!O37/2</f>
        <v>9.8438001590629742</v>
      </c>
      <c r="P37" s="7">
        <f>'C-FTE Mar'!P37/2</f>
        <v>9.1505747957486818</v>
      </c>
      <c r="Q37" s="7">
        <f>'C-FTE Mar'!Q37/2</f>
        <v>16.360118574217339</v>
      </c>
      <c r="R37" s="7">
        <f>'C-FTE Mar'!R37/2</f>
        <v>14.835022774925893</v>
      </c>
      <c r="S37" s="7">
        <f>'C-FTE Mar'!S37/2</f>
        <v>13.587217120960164</v>
      </c>
      <c r="T37" s="7">
        <f>'C-FTE Mar'!T37/2</f>
        <v>12.339411466994433</v>
      </c>
      <c r="U37" s="7">
        <f>'C-FTE Mar'!U37/2</f>
        <v>12.893991757645869</v>
      </c>
      <c r="V37" s="7">
        <f>'C-FTE Mar'!V37/2</f>
        <v>9.7051550864001168</v>
      </c>
      <c r="W37" s="7">
        <f>'C-FTE Mar'!W37/2</f>
        <v>9.0119297230858226</v>
      </c>
      <c r="X37" s="7">
        <f>'C-FTE Mar'!X37/2</f>
        <v>16.221473501554478</v>
      </c>
      <c r="Y37" s="7">
        <f>'C-FTE Mar'!Y37/2</f>
        <v>14.696377702263034</v>
      </c>
      <c r="Z37" s="7">
        <f>'C-FTE Mar'!Z37/2</f>
        <v>13.587217120960164</v>
      </c>
      <c r="AA37" s="7">
        <f>'C-FTE Mar'!AA37/2</f>
        <v>12.339411466994433</v>
      </c>
      <c r="AB37" s="7">
        <f>'C-FTE Mar'!AB37/2</f>
        <v>13.032636830308729</v>
      </c>
      <c r="AC37" s="7">
        <f>'C-FTE Mar'!AC37/2</f>
        <v>9.8438001590629742</v>
      </c>
      <c r="AD37" s="7">
        <f>'C-FTE Mar'!AD37/2</f>
        <v>9.15057479574868</v>
      </c>
      <c r="AE37" s="7">
        <f>'C-FTE Mar'!AE37/2</f>
        <v>16.498763646880196</v>
      </c>
      <c r="AF37" s="7">
        <f>'C-FTE Mar'!AF37/2</f>
        <v>14.973667847588748</v>
      </c>
    </row>
    <row r="38" spans="1:32" x14ac:dyDescent="0.25">
      <c r="A38" s="3" t="s">
        <v>43</v>
      </c>
      <c r="B38" s="7">
        <f>'C-FTE Mar'!B38/2</f>
        <v>8.5959945050972433</v>
      </c>
      <c r="C38" s="7">
        <f>'C-FTE Mar'!C38/2</f>
        <v>16.360118574217339</v>
      </c>
      <c r="D38" s="7">
        <f>'C-FTE Mar'!D38/2</f>
        <v>15.112312920251609</v>
      </c>
      <c r="E38" s="7">
        <f>'C-FTE Mar'!E38/2</f>
        <v>13.725862193623019</v>
      </c>
      <c r="F38" s="7">
        <f>'C-FTE Mar'!F38/2</f>
        <v>12.478056539657292</v>
      </c>
      <c r="G38" s="7">
        <f>'C-FTE Mar'!G38/2</f>
        <v>12.200766394331573</v>
      </c>
      <c r="H38" s="7">
        <f>'C-FTE Mar'!H38/2</f>
        <v>9.5665100137372558</v>
      </c>
      <c r="I38" s="7">
        <f>'C-FTE Mar'!I38/2</f>
        <v>8.1800592871086675</v>
      </c>
      <c r="J38" s="7">
        <f>'C-FTE Mar'!J38/2</f>
        <v>15.528248138240183</v>
      </c>
      <c r="K38" s="7">
        <f>'C-FTE Mar'!K38/2</f>
        <v>14.419087556937317</v>
      </c>
      <c r="L38" s="7">
        <f>'C-FTE Mar'!L38/2</f>
        <v>13.032636830308725</v>
      </c>
      <c r="M38" s="7">
        <f>'C-FTE Mar'!M38/2</f>
        <v>12.062121321668714</v>
      </c>
      <c r="N38" s="7">
        <f>'C-FTE Mar'!N38/2</f>
        <v>11.64618610368014</v>
      </c>
      <c r="O38" s="7">
        <f>'C-FTE Mar'!O38/2</f>
        <v>9.2892198684115392</v>
      </c>
      <c r="P38" s="7">
        <f>'C-FTE Mar'!P38/2</f>
        <v>7.9027691417829518</v>
      </c>
      <c r="Q38" s="7">
        <f>'C-FTE Mar'!Q38/2</f>
        <v>15.112312920251611</v>
      </c>
      <c r="R38" s="7">
        <f>'C-FTE Mar'!R38/2</f>
        <v>14.141797411611597</v>
      </c>
      <c r="S38" s="7">
        <f>'C-FTE Mar'!S38/2</f>
        <v>12.755346684983008</v>
      </c>
      <c r="T38" s="7">
        <f>'C-FTE Mar'!T38/2</f>
        <v>11.784831176342996</v>
      </c>
      <c r="U38" s="7">
        <f>'C-FTE Mar'!U38/2</f>
        <v>11.507541031017281</v>
      </c>
      <c r="V38" s="7">
        <f>'C-FTE Mar'!V38/2</f>
        <v>9.1505747957486818</v>
      </c>
      <c r="W38" s="7">
        <f>'C-FTE Mar'!W38/2</f>
        <v>7.7641240691200926</v>
      </c>
      <c r="X38" s="7">
        <f>'C-FTE Mar'!X38/2</f>
        <v>14.97366784758875</v>
      </c>
      <c r="Y38" s="7">
        <f>'C-FTE Mar'!Y38/2</f>
        <v>14.003152338948741</v>
      </c>
      <c r="Z38" s="7">
        <f>'C-FTE Mar'!Z38/2</f>
        <v>12.755346684983012</v>
      </c>
      <c r="AA38" s="7">
        <f>'C-FTE Mar'!AA38/2</f>
        <v>11.784831176342999</v>
      </c>
      <c r="AB38" s="7">
        <f>'C-FTE Mar'!AB38/2</f>
        <v>11.507541031017281</v>
      </c>
      <c r="AC38" s="7">
        <f>'C-FTE Mar'!AC38/2</f>
        <v>9.15057479574868</v>
      </c>
      <c r="AD38" s="7">
        <f>'C-FTE Mar'!AD38/2</f>
        <v>7.9027691417829509</v>
      </c>
      <c r="AE38" s="7">
        <f>'C-FTE Mar'!AE38/2</f>
        <v>15.250957992914465</v>
      </c>
      <c r="AF38" s="7">
        <f>'C-FTE Mar'!AF38/2</f>
        <v>14.280442484274456</v>
      </c>
    </row>
    <row r="39" spans="1:32" x14ac:dyDescent="0.25">
      <c r="A39" s="3" t="s">
        <v>44</v>
      </c>
      <c r="B39" s="7">
        <f>'C-FTE Mar'!B39/2</f>
        <v>8.0414142144458083</v>
      </c>
      <c r="C39" s="7">
        <f>'C-FTE Mar'!C39/2</f>
        <v>14.835022774925889</v>
      </c>
      <c r="D39" s="7">
        <f>'C-FTE Mar'!D39/2</f>
        <v>13.86450726628588</v>
      </c>
      <c r="E39" s="7">
        <f>'C-FTE Mar'!E39/2</f>
        <v>12.339411466994433</v>
      </c>
      <c r="F39" s="7">
        <f>'C-FTE Mar'!F39/2</f>
        <v>11.230250885691563</v>
      </c>
      <c r="G39" s="7">
        <f>'C-FTE Mar'!G39/2</f>
        <v>10.25973537705155</v>
      </c>
      <c r="H39" s="7">
        <f>'C-FTE Mar'!H39/2</f>
        <v>8.7346395777601042</v>
      </c>
      <c r="I39" s="7">
        <f>'C-FTE Mar'!I39/2</f>
        <v>7.6254789964572334</v>
      </c>
      <c r="J39" s="7">
        <f>'C-FTE Mar'!J39/2</f>
        <v>14.003152338948738</v>
      </c>
      <c r="K39" s="7">
        <f>'C-FTE Mar'!K39/2</f>
        <v>13.309926975634445</v>
      </c>
      <c r="L39" s="7">
        <f>'C-FTE Mar'!L39/2</f>
        <v>11.784831176342998</v>
      </c>
      <c r="M39" s="7">
        <f>'C-FTE Mar'!M39/2</f>
        <v>10.814315667702985</v>
      </c>
      <c r="N39" s="7">
        <f>'C-FTE Mar'!N39/2</f>
        <v>9.9824452317258334</v>
      </c>
      <c r="O39" s="7">
        <f>'C-FTE Mar'!O39/2</f>
        <v>8.4573494324343859</v>
      </c>
      <c r="P39" s="7">
        <f>'C-FTE Mar'!P39/2</f>
        <v>7.3481888511315177</v>
      </c>
      <c r="Q39" s="7">
        <f>'C-FTE Mar'!Q39/2</f>
        <v>13.587217120960164</v>
      </c>
      <c r="R39" s="7">
        <f>'C-FTE Mar'!R39/2</f>
        <v>12.893991757645868</v>
      </c>
      <c r="S39" s="7">
        <f>'C-FTE Mar'!S39/2</f>
        <v>11.507541031017281</v>
      </c>
      <c r="T39" s="7">
        <f>'C-FTE Mar'!T39/2</f>
        <v>10.537025522377268</v>
      </c>
      <c r="U39" s="7">
        <f>'C-FTE Mar'!U39/2</f>
        <v>9.7051550864001168</v>
      </c>
      <c r="V39" s="7">
        <f>'C-FTE Mar'!V39/2</f>
        <v>8.3187043597715267</v>
      </c>
      <c r="W39" s="7">
        <f>'C-FTE Mar'!W39/2</f>
        <v>7.3481888511315168</v>
      </c>
      <c r="X39" s="7">
        <f>'C-FTE Mar'!X39/2</f>
        <v>13.587217120960162</v>
      </c>
      <c r="Y39" s="7">
        <f>'C-FTE Mar'!Y39/2</f>
        <v>12.893991757645869</v>
      </c>
      <c r="Z39" s="7">
        <f>'C-FTE Mar'!Z39/2</f>
        <v>11.507541031017283</v>
      </c>
      <c r="AA39" s="7">
        <f>'C-FTE Mar'!AA39/2</f>
        <v>10.675670595040128</v>
      </c>
      <c r="AB39" s="7">
        <f>'C-FTE Mar'!AB39/2</f>
        <v>9.843800159062976</v>
      </c>
      <c r="AC39" s="7">
        <f>'C-FTE Mar'!AC39/2</f>
        <v>8.3187043597715267</v>
      </c>
      <c r="AD39" s="7">
        <f>'C-FTE Mar'!AD39/2</f>
        <v>7.348188851131515</v>
      </c>
      <c r="AE39" s="7">
        <f>'C-FTE Mar'!AE39/2</f>
        <v>13.725862193623021</v>
      </c>
      <c r="AF39" s="7">
        <f>'C-FTE Mar'!AF39/2</f>
        <v>13.032636830308727</v>
      </c>
    </row>
    <row r="40" spans="1:32" x14ac:dyDescent="0.25">
      <c r="A40" s="3" t="s">
        <v>45</v>
      </c>
      <c r="B40" s="7">
        <f>'C-FTE Mar'!B40/2</f>
        <v>8.1800592871086675</v>
      </c>
      <c r="C40" s="7">
        <f>'C-FTE Mar'!C40/2</f>
        <v>13.448572048297303</v>
      </c>
      <c r="D40" s="7">
        <f>'C-FTE Mar'!D40/2</f>
        <v>12.478056539657292</v>
      </c>
      <c r="E40" s="7">
        <f>'C-FTE Mar'!E40/2</f>
        <v>11.091605813028705</v>
      </c>
      <c r="F40" s="7">
        <f>'C-FTE Mar'!F40/2</f>
        <v>10.398380449714409</v>
      </c>
      <c r="G40" s="7">
        <f>'C-FTE Mar'!G40/2</f>
        <v>9.4278649410743984</v>
      </c>
      <c r="H40" s="7">
        <f>'C-FTE Mar'!H40/2</f>
        <v>7.7641240691200917</v>
      </c>
      <c r="I40" s="7">
        <f>'C-FTE Mar'!I40/2</f>
        <v>7.7641240691200926</v>
      </c>
      <c r="J40" s="7">
        <f>'C-FTE Mar'!J40/2</f>
        <v>12.893991757645866</v>
      </c>
      <c r="K40" s="7">
        <f>'C-FTE Mar'!K40/2</f>
        <v>11.923476249005857</v>
      </c>
      <c r="L40" s="7">
        <f>'C-FTE Mar'!L40/2</f>
        <v>10.537025522377267</v>
      </c>
      <c r="M40" s="7">
        <f>'C-FTE Mar'!M40/2</f>
        <v>9.9824452317258316</v>
      </c>
      <c r="N40" s="7">
        <f>'C-FTE Mar'!N40/2</f>
        <v>9.15057479574868</v>
      </c>
      <c r="O40" s="7">
        <f>'C-FTE Mar'!O40/2</f>
        <v>7.4868339237943751</v>
      </c>
      <c r="P40" s="7">
        <f>'C-FTE Mar'!P40/2</f>
        <v>7.486833923794376</v>
      </c>
      <c r="Q40" s="7">
        <f>'C-FTE Mar'!Q40/2</f>
        <v>12.478056539657294</v>
      </c>
      <c r="R40" s="7">
        <f>'C-FTE Mar'!R40/2</f>
        <v>11.507541031017281</v>
      </c>
      <c r="S40" s="7">
        <f>'C-FTE Mar'!S40/2</f>
        <v>10.398380449714409</v>
      </c>
      <c r="T40" s="7">
        <f>'C-FTE Mar'!T40/2</f>
        <v>9.7051550864001133</v>
      </c>
      <c r="U40" s="7">
        <f>'C-FTE Mar'!U40/2</f>
        <v>9.0119297230858226</v>
      </c>
      <c r="V40" s="7">
        <f>'C-FTE Mar'!V40/2</f>
        <v>7.4868339237943751</v>
      </c>
      <c r="W40" s="7">
        <f>'C-FTE Mar'!W40/2</f>
        <v>7.4868339237943751</v>
      </c>
      <c r="X40" s="7">
        <f>'C-FTE Mar'!X40/2</f>
        <v>12.339411466994433</v>
      </c>
      <c r="Y40" s="7">
        <f>'C-FTE Mar'!Y40/2</f>
        <v>11.507541031017281</v>
      </c>
      <c r="Z40" s="7">
        <f>'C-FTE Mar'!Z40/2</f>
        <v>10.259735377051552</v>
      </c>
      <c r="AA40" s="7">
        <f>'C-FTE Mar'!AA40/2</f>
        <v>9.8438001590629742</v>
      </c>
      <c r="AB40" s="7">
        <f>'C-FTE Mar'!AB40/2</f>
        <v>9.0119297230858226</v>
      </c>
      <c r="AC40" s="7">
        <f>'C-FTE Mar'!AC40/2</f>
        <v>7.4868339237943742</v>
      </c>
      <c r="AD40" s="7">
        <f>'C-FTE Mar'!AD40/2</f>
        <v>7.4868339237943751</v>
      </c>
      <c r="AE40" s="7">
        <f>'C-FTE Mar'!AE40/2</f>
        <v>12.47805653965729</v>
      </c>
      <c r="AF40" s="7">
        <f>'C-FTE Mar'!AF40/2</f>
        <v>11.646186103680138</v>
      </c>
    </row>
    <row r="41" spans="1:32" x14ac:dyDescent="0.25">
      <c r="A41" s="3" t="s">
        <v>46</v>
      </c>
      <c r="B41" s="7">
        <f>'C-FTE Mar'!B41/2</f>
        <v>7.9027691417829518</v>
      </c>
      <c r="C41" s="7">
        <f>'C-FTE Mar'!C41/2</f>
        <v>12.200766394331573</v>
      </c>
      <c r="D41" s="7">
        <f>'C-FTE Mar'!D41/2</f>
        <v>11.230250885691563</v>
      </c>
      <c r="E41" s="7">
        <f>'C-FTE Mar'!E41/2</f>
        <v>9.9824452317258334</v>
      </c>
      <c r="F41" s="7">
        <f>'C-FTE Mar'!F41/2</f>
        <v>10.121090304388693</v>
      </c>
      <c r="G41" s="7">
        <f>'C-FTE Mar'!G41/2</f>
        <v>9.0119297230858209</v>
      </c>
      <c r="H41" s="7">
        <f>'C-FTE Mar'!H41/2</f>
        <v>6.9322536331429401</v>
      </c>
      <c r="I41" s="7">
        <f>'C-FTE Mar'!I41/2</f>
        <v>7.4868339237943742</v>
      </c>
      <c r="J41" s="7">
        <f>'C-FTE Mar'!J41/2</f>
        <v>11.646186103680137</v>
      </c>
      <c r="K41" s="7">
        <f>'C-FTE Mar'!K41/2</f>
        <v>10.675670595040128</v>
      </c>
      <c r="L41" s="7">
        <f>'C-FTE Mar'!L41/2</f>
        <v>9.5665100137372558</v>
      </c>
      <c r="M41" s="7">
        <f>'C-FTE Mar'!M41/2</f>
        <v>9.705155086400115</v>
      </c>
      <c r="N41" s="7">
        <f>'C-FTE Mar'!N41/2</f>
        <v>8.7346395777601042</v>
      </c>
      <c r="O41" s="7">
        <f>'C-FTE Mar'!O41/2</f>
        <v>6.6549634878172217</v>
      </c>
      <c r="P41" s="7">
        <f>'C-FTE Mar'!P41/2</f>
        <v>7.2095437784686585</v>
      </c>
      <c r="Q41" s="7">
        <f>'C-FTE Mar'!Q41/2</f>
        <v>11.368895958354422</v>
      </c>
      <c r="R41" s="7">
        <f>'C-FTE Mar'!R41/2</f>
        <v>10.398380449714409</v>
      </c>
      <c r="S41" s="7">
        <f>'C-FTE Mar'!S41/2</f>
        <v>9.4278649410743984</v>
      </c>
      <c r="T41" s="7">
        <f>'C-FTE Mar'!T41/2</f>
        <v>9.5665100137372558</v>
      </c>
      <c r="U41" s="7">
        <f>'C-FTE Mar'!U41/2</f>
        <v>8.5959945050972468</v>
      </c>
      <c r="V41" s="7">
        <f>'C-FTE Mar'!V41/2</f>
        <v>6.5163184151543634</v>
      </c>
      <c r="W41" s="7">
        <f>'C-FTE Mar'!W41/2</f>
        <v>7.2095437784686567</v>
      </c>
      <c r="X41" s="7">
        <f>'C-FTE Mar'!X41/2</f>
        <v>11.230250885691563</v>
      </c>
      <c r="Y41" s="7">
        <f>'C-FTE Mar'!Y41/2</f>
        <v>10.398380449714411</v>
      </c>
      <c r="Z41" s="7">
        <f>'C-FTE Mar'!Z41/2</f>
        <v>9.4278649410743984</v>
      </c>
      <c r="AA41" s="7">
        <f>'C-FTE Mar'!AA41/2</f>
        <v>9.5665100137372576</v>
      </c>
      <c r="AB41" s="7">
        <f>'C-FTE Mar'!AB41/2</f>
        <v>8.5959945050972468</v>
      </c>
      <c r="AC41" s="7">
        <f>'C-FTE Mar'!AC41/2</f>
        <v>6.6549634878172217</v>
      </c>
      <c r="AD41" s="7">
        <f>'C-FTE Mar'!AD41/2</f>
        <v>7.2095437784686567</v>
      </c>
      <c r="AE41" s="7">
        <f>'C-FTE Mar'!AE41/2</f>
        <v>11.36889595835442</v>
      </c>
      <c r="AF41" s="7">
        <f>'C-FTE Mar'!AF41/2</f>
        <v>10.537025522377268</v>
      </c>
    </row>
    <row r="42" spans="1:32" x14ac:dyDescent="0.25">
      <c r="A42" s="3" t="s">
        <v>47</v>
      </c>
      <c r="B42" s="7">
        <f>'C-FTE Mar'!B42/2</f>
        <v>6.7936085604800809</v>
      </c>
      <c r="C42" s="7">
        <f>'C-FTE Mar'!C42/2</f>
        <v>10.952960740365844</v>
      </c>
      <c r="D42" s="7">
        <f>'C-FTE Mar'!D42/2</f>
        <v>10.121090304388693</v>
      </c>
      <c r="E42" s="7">
        <f>'C-FTE Mar'!E42/2</f>
        <v>9.2892198684115392</v>
      </c>
      <c r="F42" s="7">
        <f>'C-FTE Mar'!F42/2</f>
        <v>9.2892198684115392</v>
      </c>
      <c r="G42" s="7">
        <f>'C-FTE Mar'!G42/2</f>
        <v>8.0414142144458101</v>
      </c>
      <c r="H42" s="7">
        <f>'C-FTE Mar'!H42/2</f>
        <v>6.2390282698286459</v>
      </c>
      <c r="I42" s="7">
        <f>'C-FTE Mar'!I42/2</f>
        <v>6.5163184151543625</v>
      </c>
      <c r="J42" s="7">
        <f>'C-FTE Mar'!J42/2</f>
        <v>10.398380449714409</v>
      </c>
      <c r="K42" s="7">
        <f>'C-FTE Mar'!K42/2</f>
        <v>9.7051550864001168</v>
      </c>
      <c r="L42" s="7">
        <f>'C-FTE Mar'!L42/2</f>
        <v>8.8732846504229617</v>
      </c>
      <c r="M42" s="7">
        <f>'C-FTE Mar'!M42/2</f>
        <v>8.8732846504229617</v>
      </c>
      <c r="N42" s="7">
        <f>'C-FTE Mar'!N42/2</f>
        <v>7.7641240691200926</v>
      </c>
      <c r="O42" s="7">
        <f>'C-FTE Mar'!O42/2</f>
        <v>5.9617381245029284</v>
      </c>
      <c r="P42" s="7">
        <f>'C-FTE Mar'!P42/2</f>
        <v>6.2390282698286459</v>
      </c>
      <c r="Q42" s="7">
        <f>'C-FTE Mar'!Q42/2</f>
        <v>10.121090304388693</v>
      </c>
      <c r="R42" s="7">
        <f>'C-FTE Mar'!R42/2</f>
        <v>9.4278649410743984</v>
      </c>
      <c r="S42" s="7">
        <f>'C-FTE Mar'!S42/2</f>
        <v>8.5959945050972451</v>
      </c>
      <c r="T42" s="7">
        <f>'C-FTE Mar'!T42/2</f>
        <v>8.7346395777601025</v>
      </c>
      <c r="U42" s="7">
        <f>'C-FTE Mar'!U42/2</f>
        <v>7.6254789964572351</v>
      </c>
      <c r="V42" s="7">
        <f>'C-FTE Mar'!V42/2</f>
        <v>5.8230930518400692</v>
      </c>
      <c r="W42" s="7">
        <f>'C-FTE Mar'!W42/2</f>
        <v>6.2390282698286459</v>
      </c>
      <c r="X42" s="7">
        <f>'C-FTE Mar'!X42/2</f>
        <v>10.121090304388691</v>
      </c>
      <c r="Y42" s="7">
        <f>'C-FTE Mar'!Y42/2</f>
        <v>9.289219868411541</v>
      </c>
      <c r="Z42" s="7">
        <f>'C-FTE Mar'!Z42/2</f>
        <v>8.5959945050972468</v>
      </c>
      <c r="AA42" s="7">
        <f>'C-FTE Mar'!AA42/2</f>
        <v>8.7346395777601042</v>
      </c>
      <c r="AB42" s="7">
        <f>'C-FTE Mar'!AB42/2</f>
        <v>7.6254789964572351</v>
      </c>
      <c r="AC42" s="7">
        <f>'C-FTE Mar'!AC42/2</f>
        <v>5.9617381245029284</v>
      </c>
      <c r="AD42" s="7">
        <f>'C-FTE Mar'!AD42/2</f>
        <v>6.2390282698286459</v>
      </c>
      <c r="AE42" s="7">
        <f>'C-FTE Mar'!AE42/2</f>
        <v>10.121090304388691</v>
      </c>
      <c r="AF42" s="7">
        <f>'C-FTE Mar'!AF42/2</f>
        <v>9.5665100137372558</v>
      </c>
    </row>
    <row r="43" spans="1:32" x14ac:dyDescent="0.25">
      <c r="A43" s="3" t="s">
        <v>48</v>
      </c>
      <c r="B43" s="7">
        <f>'C-FTE Mar'!B43/2</f>
        <v>6.1003831971657867</v>
      </c>
      <c r="C43" s="7">
        <f>'C-FTE Mar'!C43/2</f>
        <v>9.9824452317258316</v>
      </c>
      <c r="D43" s="7">
        <f>'C-FTE Mar'!D43/2</f>
        <v>9.4278649410743984</v>
      </c>
      <c r="E43" s="7">
        <f>'C-FTE Mar'!E43/2</f>
        <v>8.3187043597715267</v>
      </c>
      <c r="F43" s="7">
        <f>'C-FTE Mar'!F43/2</f>
        <v>8.0414142144458101</v>
      </c>
      <c r="G43" s="7">
        <f>'C-FTE Mar'!G43/2</f>
        <v>6.9322536331429392</v>
      </c>
      <c r="H43" s="7">
        <f>'C-FTE Mar'!H43/2</f>
        <v>5.68444797917721</v>
      </c>
      <c r="I43" s="7">
        <f>'C-FTE Mar'!I43/2</f>
        <v>5.8230930518400683</v>
      </c>
      <c r="J43" s="7">
        <f>'C-FTE Mar'!J43/2</f>
        <v>9.5665100137372558</v>
      </c>
      <c r="K43" s="7">
        <f>'C-FTE Mar'!K43/2</f>
        <v>9.0119297230858226</v>
      </c>
      <c r="L43" s="7">
        <f>'C-FTE Mar'!L43/2</f>
        <v>8.0414142144458101</v>
      </c>
      <c r="M43" s="7">
        <f>'C-FTE Mar'!M43/2</f>
        <v>7.7641240691200917</v>
      </c>
      <c r="N43" s="7">
        <f>'C-FTE Mar'!N43/2</f>
        <v>6.6549634878172226</v>
      </c>
      <c r="O43" s="7">
        <f>'C-FTE Mar'!O43/2</f>
        <v>5.5458029065143517</v>
      </c>
      <c r="P43" s="7">
        <f>'C-FTE Mar'!P43/2</f>
        <v>5.6844479791772109</v>
      </c>
      <c r="Q43" s="7">
        <f>'C-FTE Mar'!Q43/2</f>
        <v>9.2892198684115392</v>
      </c>
      <c r="R43" s="7">
        <f>'C-FTE Mar'!R43/2</f>
        <v>8.7346395777601042</v>
      </c>
      <c r="S43" s="7">
        <f>'C-FTE Mar'!S43/2</f>
        <v>7.7641240691200935</v>
      </c>
      <c r="T43" s="7">
        <f>'C-FTE Mar'!T43/2</f>
        <v>7.6254789964572325</v>
      </c>
      <c r="U43" s="7">
        <f>'C-FTE Mar'!U43/2</f>
        <v>6.6549634878172226</v>
      </c>
      <c r="V43" s="7">
        <f>'C-FTE Mar'!V43/2</f>
        <v>5.4071578338514925</v>
      </c>
      <c r="W43" s="7">
        <f>'C-FTE Mar'!W43/2</f>
        <v>5.5458029065143517</v>
      </c>
      <c r="X43" s="7">
        <f>'C-FTE Mar'!X43/2</f>
        <v>9.15057479574868</v>
      </c>
      <c r="Y43" s="7">
        <f>'C-FTE Mar'!Y43/2</f>
        <v>8.7346395777601042</v>
      </c>
      <c r="Z43" s="7">
        <f>'C-FTE Mar'!Z43/2</f>
        <v>7.7641240691200935</v>
      </c>
      <c r="AA43" s="7">
        <f>'C-FTE Mar'!AA43/2</f>
        <v>7.6254789964572351</v>
      </c>
      <c r="AB43" s="7">
        <f>'C-FTE Mar'!AB43/2</f>
        <v>6.6549634878172235</v>
      </c>
      <c r="AC43" s="7">
        <f>'C-FTE Mar'!AC43/2</f>
        <v>5.5458029065143517</v>
      </c>
      <c r="AD43" s="7">
        <f>'C-FTE Mar'!AD43/2</f>
        <v>5.6844479791772109</v>
      </c>
      <c r="AE43" s="7">
        <f>'C-FTE Mar'!AE43/2</f>
        <v>9.2892198684115375</v>
      </c>
      <c r="AF43" s="7">
        <f>'C-FTE Mar'!AF43/2</f>
        <v>8.8732846504229634</v>
      </c>
    </row>
    <row r="44" spans="1:32" x14ac:dyDescent="0.25">
      <c r="A44" s="3" t="s">
        <v>49</v>
      </c>
      <c r="B44" s="7">
        <f>'C-FTE Mar'!B44/2</f>
        <v>5.9617381245029284</v>
      </c>
      <c r="C44" s="7">
        <f>'C-FTE Mar'!C44/2</f>
        <v>9.2892198684115392</v>
      </c>
      <c r="D44" s="7">
        <f>'C-FTE Mar'!D44/2</f>
        <v>8.8732846504229634</v>
      </c>
      <c r="E44" s="7">
        <f>'C-FTE Mar'!E44/2</f>
        <v>7.3481888511315159</v>
      </c>
      <c r="F44" s="7">
        <f>'C-FTE Mar'!F44/2</f>
        <v>7.6254789964572334</v>
      </c>
      <c r="G44" s="7">
        <f>'C-FTE Mar'!G44/2</f>
        <v>6.3776733424915042</v>
      </c>
      <c r="H44" s="7">
        <f>'C-FTE Mar'!H44/2</f>
        <v>5.2685127611886342</v>
      </c>
      <c r="I44" s="7">
        <f>'C-FTE Mar'!I44/2</f>
        <v>5.6844479791772091</v>
      </c>
      <c r="J44" s="7">
        <f>'C-FTE Mar'!J44/2</f>
        <v>8.8732846504229617</v>
      </c>
      <c r="K44" s="7">
        <f>'C-FTE Mar'!K44/2</f>
        <v>8.4573494324343876</v>
      </c>
      <c r="L44" s="7">
        <f>'C-FTE Mar'!L44/2</f>
        <v>7.0708987058057975</v>
      </c>
      <c r="M44" s="7">
        <f>'C-FTE Mar'!M44/2</f>
        <v>7.348188851131515</v>
      </c>
      <c r="N44" s="7">
        <f>'C-FTE Mar'!N44/2</f>
        <v>6.1003831971657876</v>
      </c>
      <c r="O44" s="7">
        <f>'C-FTE Mar'!O44/2</f>
        <v>5.129867688525775</v>
      </c>
      <c r="P44" s="7">
        <f>'C-FTE Mar'!P44/2</f>
        <v>5.4071578338514934</v>
      </c>
      <c r="Q44" s="7">
        <f>'C-FTE Mar'!Q44/2</f>
        <v>8.5959945050972468</v>
      </c>
      <c r="R44" s="7">
        <f>'C-FTE Mar'!R44/2</f>
        <v>8.1800592871086693</v>
      </c>
      <c r="S44" s="7">
        <f>'C-FTE Mar'!S44/2</f>
        <v>6.9322536331429392</v>
      </c>
      <c r="T44" s="7">
        <f>'C-FTE Mar'!T44/2</f>
        <v>7.2095437784686567</v>
      </c>
      <c r="U44" s="7">
        <f>'C-FTE Mar'!U44/2</f>
        <v>5.9617381245029293</v>
      </c>
      <c r="V44" s="7">
        <f>'C-FTE Mar'!V44/2</f>
        <v>5.1298676885257759</v>
      </c>
      <c r="W44" s="7">
        <f>'C-FTE Mar'!W44/2</f>
        <v>5.4071578338514934</v>
      </c>
      <c r="X44" s="7">
        <f>'C-FTE Mar'!X44/2</f>
        <v>8.4573494324343859</v>
      </c>
      <c r="Y44" s="7">
        <f>'C-FTE Mar'!Y44/2</f>
        <v>8.180059287108671</v>
      </c>
      <c r="Z44" s="7">
        <f>'C-FTE Mar'!Z44/2</f>
        <v>6.9322536331429401</v>
      </c>
      <c r="AA44" s="7">
        <f>'C-FTE Mar'!AA44/2</f>
        <v>7.2095437784686576</v>
      </c>
      <c r="AB44" s="7">
        <f>'C-FTE Mar'!AB44/2</f>
        <v>5.9617381245029284</v>
      </c>
      <c r="AC44" s="7">
        <f>'C-FTE Mar'!AC44/2</f>
        <v>5.129867688525775</v>
      </c>
      <c r="AD44" s="7">
        <f>'C-FTE Mar'!AD44/2</f>
        <v>5.4071578338514934</v>
      </c>
      <c r="AE44" s="7">
        <f>'C-FTE Mar'!AE44/2</f>
        <v>8.5959945050972451</v>
      </c>
      <c r="AF44" s="7">
        <f>'C-FTE Mar'!AF44/2</f>
        <v>8.3187043597715267</v>
      </c>
    </row>
    <row r="45" spans="1:32" x14ac:dyDescent="0.25">
      <c r="A45" s="3" t="s">
        <v>50</v>
      </c>
      <c r="B45" s="7">
        <f>'C-FTE Mar'!B45/2</f>
        <v>5.6844479791772109</v>
      </c>
      <c r="C45" s="7">
        <f>'C-FTE Mar'!C45/2</f>
        <v>8.3187043597715267</v>
      </c>
      <c r="D45" s="7">
        <f>'C-FTE Mar'!D45/2</f>
        <v>8.3187043597715284</v>
      </c>
      <c r="E45" s="7">
        <f>'C-FTE Mar'!E45/2</f>
        <v>6.3776733424915051</v>
      </c>
      <c r="F45" s="7">
        <f>'C-FTE Mar'!F45/2</f>
        <v>7.4868339237943751</v>
      </c>
      <c r="G45" s="7">
        <f>'C-FTE Mar'!G45/2</f>
        <v>6.1003831971657867</v>
      </c>
      <c r="H45" s="7">
        <f>'C-FTE Mar'!H45/2</f>
        <v>4.9912226158629167</v>
      </c>
      <c r="I45" s="7">
        <f>'C-FTE Mar'!I45/2</f>
        <v>5.4071578338514925</v>
      </c>
      <c r="J45" s="7">
        <f>'C-FTE Mar'!J45/2</f>
        <v>7.9027691417829509</v>
      </c>
      <c r="K45" s="7">
        <f>'C-FTE Mar'!K45/2</f>
        <v>7.9027691417829518</v>
      </c>
      <c r="L45" s="7">
        <f>'C-FTE Mar'!L45/2</f>
        <v>6.1003831971657858</v>
      </c>
      <c r="M45" s="7">
        <f>'C-FTE Mar'!M45/2</f>
        <v>7.2095437784686558</v>
      </c>
      <c r="N45" s="7">
        <f>'C-FTE Mar'!N45/2</f>
        <v>5.8230930518400701</v>
      </c>
      <c r="O45" s="7">
        <f>'C-FTE Mar'!O45/2</f>
        <v>4.8525775432000575</v>
      </c>
      <c r="P45" s="7">
        <f>'C-FTE Mar'!P45/2</f>
        <v>5.2685127611886342</v>
      </c>
      <c r="Q45" s="7">
        <f>'C-FTE Mar'!Q45/2</f>
        <v>7.6254789964572334</v>
      </c>
      <c r="R45" s="7">
        <f>'C-FTE Mar'!R45/2</f>
        <v>7.7641240691200926</v>
      </c>
      <c r="S45" s="7">
        <f>'C-FTE Mar'!S45/2</f>
        <v>5.9617381245029275</v>
      </c>
      <c r="T45" s="7">
        <f>'C-FTE Mar'!T45/2</f>
        <v>7.0708987058057984</v>
      </c>
      <c r="U45" s="7">
        <f>'C-FTE Mar'!U45/2</f>
        <v>5.6844479791772109</v>
      </c>
      <c r="V45" s="7">
        <f>'C-FTE Mar'!V45/2</f>
        <v>4.7139324705371992</v>
      </c>
      <c r="W45" s="7">
        <f>'C-FTE Mar'!W45/2</f>
        <v>5.2685127611886333</v>
      </c>
      <c r="X45" s="7">
        <f>'C-FTE Mar'!X45/2</f>
        <v>7.6254789964572343</v>
      </c>
      <c r="Y45" s="7">
        <f>'C-FTE Mar'!Y45/2</f>
        <v>7.7641240691200935</v>
      </c>
      <c r="Z45" s="7">
        <f>'C-FTE Mar'!Z45/2</f>
        <v>5.9617381245029284</v>
      </c>
      <c r="AA45" s="7">
        <f>'C-FTE Mar'!AA45/2</f>
        <v>7.0708987058057993</v>
      </c>
      <c r="AB45" s="7">
        <f>'C-FTE Mar'!AB45/2</f>
        <v>5.6844479791772118</v>
      </c>
      <c r="AC45" s="7">
        <f>'C-FTE Mar'!AC45/2</f>
        <v>4.8525775432000575</v>
      </c>
      <c r="AD45" s="7">
        <f>'C-FTE Mar'!AD45/2</f>
        <v>5.2685127611886342</v>
      </c>
      <c r="AE45" s="7">
        <f>'C-FTE Mar'!AE45/2</f>
        <v>7.6254789964572325</v>
      </c>
      <c r="AF45" s="7">
        <f>'C-FTE Mar'!AF45/2</f>
        <v>7.9027691417829509</v>
      </c>
    </row>
    <row r="46" spans="1:32" x14ac:dyDescent="0.25">
      <c r="A46" s="3" t="s">
        <v>51</v>
      </c>
      <c r="B46" s="7">
        <f>'C-FTE Mar'!B46/2</f>
        <v>5.4071578338514934</v>
      </c>
      <c r="C46" s="7">
        <f>'C-FTE Mar'!C46/2</f>
        <v>7.6254789964572343</v>
      </c>
      <c r="D46" s="7">
        <f>'C-FTE Mar'!D46/2</f>
        <v>7.9027691417829526</v>
      </c>
      <c r="E46" s="7">
        <f>'C-FTE Mar'!E46/2</f>
        <v>5.8230930518400701</v>
      </c>
      <c r="F46" s="7">
        <f>'C-FTE Mar'!F46/2</f>
        <v>6.9322536331429401</v>
      </c>
      <c r="G46" s="7">
        <f>'C-FTE Mar'!G46/2</f>
        <v>5.68444797917721</v>
      </c>
      <c r="H46" s="7">
        <f>'C-FTE Mar'!H46/2</f>
        <v>4.8525775432000584</v>
      </c>
      <c r="I46" s="7">
        <f>'C-FTE Mar'!I46/2</f>
        <v>5.129867688525775</v>
      </c>
      <c r="J46" s="7">
        <f>'C-FTE Mar'!J46/2</f>
        <v>7.2095437784686567</v>
      </c>
      <c r="K46" s="7">
        <f>'C-FTE Mar'!K46/2</f>
        <v>7.6254789964572343</v>
      </c>
      <c r="L46" s="7">
        <f>'C-FTE Mar'!L46/2</f>
        <v>5.5458029065143517</v>
      </c>
      <c r="M46" s="7">
        <f>'C-FTE Mar'!M46/2</f>
        <v>6.6549634878172208</v>
      </c>
      <c r="N46" s="7">
        <f>'C-FTE Mar'!N46/2</f>
        <v>5.5458029065143526</v>
      </c>
      <c r="O46" s="7">
        <f>'C-FTE Mar'!O46/2</f>
        <v>4.7139324705371992</v>
      </c>
      <c r="P46" s="7">
        <f>'C-FTE Mar'!P46/2</f>
        <v>4.8525775432000584</v>
      </c>
      <c r="Q46" s="7">
        <f>'C-FTE Mar'!Q46/2</f>
        <v>6.9322536331429401</v>
      </c>
      <c r="R46" s="7">
        <f>'C-FTE Mar'!R46/2</f>
        <v>7.3481888511315159</v>
      </c>
      <c r="S46" s="7">
        <f>'C-FTE Mar'!S46/2</f>
        <v>5.4071578338514934</v>
      </c>
      <c r="T46" s="7">
        <f>'C-FTE Mar'!T46/2</f>
        <v>6.5163184151543625</v>
      </c>
      <c r="U46" s="7">
        <f>'C-FTE Mar'!U46/2</f>
        <v>5.4071578338514934</v>
      </c>
      <c r="V46" s="7">
        <f>'C-FTE Mar'!V46/2</f>
        <v>4.5752873978743409</v>
      </c>
      <c r="W46" s="7">
        <f>'C-FTE Mar'!W46/2</f>
        <v>4.8525775432000575</v>
      </c>
      <c r="X46" s="7">
        <f>'C-FTE Mar'!X46/2</f>
        <v>6.9322536331429392</v>
      </c>
      <c r="Y46" s="7">
        <f>'C-FTE Mar'!Y46/2</f>
        <v>7.3481888511315168</v>
      </c>
      <c r="Z46" s="7">
        <f>'C-FTE Mar'!Z46/2</f>
        <v>5.4071578338514934</v>
      </c>
      <c r="AA46" s="7">
        <f>'C-FTE Mar'!AA46/2</f>
        <v>6.5163184151543643</v>
      </c>
      <c r="AB46" s="7">
        <f>'C-FTE Mar'!AB46/2</f>
        <v>5.4071578338514943</v>
      </c>
      <c r="AC46" s="7">
        <f>'C-FTE Mar'!AC46/2</f>
        <v>4.57528739787434</v>
      </c>
      <c r="AD46" s="7">
        <f>'C-FTE Mar'!AD46/2</f>
        <v>4.8525775432000575</v>
      </c>
      <c r="AE46" s="7">
        <f>'C-FTE Mar'!AE46/2</f>
        <v>7.0708987058057975</v>
      </c>
      <c r="AF46" s="7">
        <f>'C-FTE Mar'!AF46/2</f>
        <v>7.4868339237943742</v>
      </c>
    </row>
    <row r="47" spans="1:32" x14ac:dyDescent="0.25">
      <c r="A47" s="3" t="s">
        <v>52</v>
      </c>
      <c r="B47" s="7">
        <f>'C-FTE Mar'!B47/2</f>
        <v>4.9912226158629167</v>
      </c>
      <c r="C47" s="7">
        <f>'C-FTE Mar'!C47/2</f>
        <v>7.4868339237943742</v>
      </c>
      <c r="D47" s="7">
        <f>'C-FTE Mar'!D47/2</f>
        <v>7.0708987058058002</v>
      </c>
      <c r="E47" s="7">
        <f>'C-FTE Mar'!E47/2</f>
        <v>5.4071578338514934</v>
      </c>
      <c r="F47" s="7">
        <f>'C-FTE Mar'!F47/2</f>
        <v>6.5163184151543634</v>
      </c>
      <c r="G47" s="7">
        <f>'C-FTE Mar'!G47/2</f>
        <v>5.2685127611886342</v>
      </c>
      <c r="H47" s="7">
        <f>'C-FTE Mar'!H47/2</f>
        <v>4.2979972525486225</v>
      </c>
      <c r="I47" s="7">
        <f>'C-FTE Mar'!I47/2</f>
        <v>4.8525775432000566</v>
      </c>
      <c r="J47" s="7">
        <f>'C-FTE Mar'!J47/2</f>
        <v>7.0708987058057975</v>
      </c>
      <c r="K47" s="7">
        <f>'C-FTE Mar'!K47/2</f>
        <v>6.7936085604800818</v>
      </c>
      <c r="L47" s="7">
        <f>'C-FTE Mar'!L47/2</f>
        <v>5.129867688525775</v>
      </c>
      <c r="M47" s="7">
        <f>'C-FTE Mar'!M47/2</f>
        <v>6.239028269828645</v>
      </c>
      <c r="N47" s="7">
        <f>'C-FTE Mar'!N47/2</f>
        <v>4.9912226158629167</v>
      </c>
      <c r="O47" s="7">
        <f>'C-FTE Mar'!O47/2</f>
        <v>4.1593521798857633</v>
      </c>
      <c r="P47" s="7">
        <f>'C-FTE Mar'!P47/2</f>
        <v>4.5752873978743409</v>
      </c>
      <c r="Q47" s="7">
        <f>'C-FTE Mar'!Q47/2</f>
        <v>6.9322536331429401</v>
      </c>
      <c r="R47" s="7">
        <f>'C-FTE Mar'!R47/2</f>
        <v>6.5163184151543643</v>
      </c>
      <c r="S47" s="7">
        <f>'C-FTE Mar'!S47/2</f>
        <v>4.9912226158629167</v>
      </c>
      <c r="T47" s="7">
        <f>'C-FTE Mar'!T47/2</f>
        <v>6.1003831971657858</v>
      </c>
      <c r="U47" s="7">
        <f>'C-FTE Mar'!U47/2</f>
        <v>4.9912226158629176</v>
      </c>
      <c r="V47" s="7">
        <f>'C-FTE Mar'!V47/2</f>
        <v>4.1593521798857633</v>
      </c>
      <c r="W47" s="7">
        <f>'C-FTE Mar'!W47/2</f>
        <v>4.57528739787434</v>
      </c>
      <c r="X47" s="7">
        <f>'C-FTE Mar'!X47/2</f>
        <v>6.7936085604800809</v>
      </c>
      <c r="Y47" s="7">
        <f>'C-FTE Mar'!Y47/2</f>
        <v>6.5163184151543643</v>
      </c>
      <c r="Z47" s="7">
        <f>'C-FTE Mar'!Z47/2</f>
        <v>4.9912226158629167</v>
      </c>
      <c r="AA47" s="7">
        <f>'C-FTE Mar'!AA47/2</f>
        <v>6.1003831971657876</v>
      </c>
      <c r="AB47" s="7">
        <f>'C-FTE Mar'!AB47/2</f>
        <v>4.9912226158629167</v>
      </c>
      <c r="AC47" s="7">
        <f>'C-FTE Mar'!AC47/2</f>
        <v>4.1593521798857633</v>
      </c>
      <c r="AD47" s="7">
        <f>'C-FTE Mar'!AD47/2</f>
        <v>4.57528739787434</v>
      </c>
      <c r="AE47" s="7">
        <f>'C-FTE Mar'!AE47/2</f>
        <v>6.9322536331429392</v>
      </c>
      <c r="AF47" s="7">
        <f>'C-FTE Mar'!AF47/2</f>
        <v>6.6549634878172226</v>
      </c>
    </row>
    <row r="48" spans="1:32" x14ac:dyDescent="0.25">
      <c r="A48" s="3" t="s">
        <v>53</v>
      </c>
      <c r="B48" s="7">
        <f>'C-FTE Mar'!B48/2</f>
        <v>4.7139324705371983</v>
      </c>
      <c r="C48" s="7">
        <f>'C-FTE Mar'!C48/2</f>
        <v>6.7936085604800809</v>
      </c>
      <c r="D48" s="7">
        <f>'C-FTE Mar'!D48/2</f>
        <v>6.2390282698286459</v>
      </c>
      <c r="E48" s="7">
        <f>'C-FTE Mar'!E48/2</f>
        <v>4.9912226158629167</v>
      </c>
      <c r="F48" s="7">
        <f>'C-FTE Mar'!F48/2</f>
        <v>6.1003831971657876</v>
      </c>
      <c r="G48" s="7">
        <f>'C-FTE Mar'!G48/2</f>
        <v>4.57528739787434</v>
      </c>
      <c r="H48" s="7">
        <f>'C-FTE Mar'!H48/2</f>
        <v>3.7434169618971875</v>
      </c>
      <c r="I48" s="7">
        <f>'C-FTE Mar'!I48/2</f>
        <v>4.4366423252114808</v>
      </c>
      <c r="J48" s="7">
        <f>'C-FTE Mar'!J48/2</f>
        <v>6.5163184151543634</v>
      </c>
      <c r="K48" s="7">
        <f>'C-FTE Mar'!K48/2</f>
        <v>5.9617381245029284</v>
      </c>
      <c r="L48" s="7">
        <f>'C-FTE Mar'!L48/2</f>
        <v>4.7139324705371983</v>
      </c>
      <c r="M48" s="7">
        <f>'C-FTE Mar'!M48/2</f>
        <v>5.8230930518400683</v>
      </c>
      <c r="N48" s="7">
        <f>'C-FTE Mar'!N48/2</f>
        <v>4.4366423252114817</v>
      </c>
      <c r="O48" s="7">
        <f>'C-FTE Mar'!O48/2</f>
        <v>3.6047718892343288</v>
      </c>
      <c r="P48" s="7">
        <f>'C-FTE Mar'!P48/2</f>
        <v>4.2979972525486225</v>
      </c>
      <c r="Q48" s="7">
        <f>'C-FTE Mar'!Q48/2</f>
        <v>6.3776733424915051</v>
      </c>
      <c r="R48" s="7">
        <f>'C-FTE Mar'!R48/2</f>
        <v>5.8230930518400692</v>
      </c>
      <c r="S48" s="7">
        <f>'C-FTE Mar'!S48/2</f>
        <v>4.7139324705371992</v>
      </c>
      <c r="T48" s="7">
        <f>'C-FTE Mar'!T48/2</f>
        <v>5.68444797917721</v>
      </c>
      <c r="U48" s="7">
        <f>'C-FTE Mar'!U48/2</f>
        <v>4.2979972525486234</v>
      </c>
      <c r="V48" s="7">
        <f>'C-FTE Mar'!V48/2</f>
        <v>3.46612681657147</v>
      </c>
      <c r="W48" s="7">
        <f>'C-FTE Mar'!W48/2</f>
        <v>4.2979972525486225</v>
      </c>
      <c r="X48" s="7">
        <f>'C-FTE Mar'!X48/2</f>
        <v>6.2390282698286459</v>
      </c>
      <c r="Y48" s="7">
        <f>'C-FTE Mar'!Y48/2</f>
        <v>5.6844479791772118</v>
      </c>
      <c r="Z48" s="7">
        <f>'C-FTE Mar'!Z48/2</f>
        <v>4.5752873978743409</v>
      </c>
      <c r="AA48" s="7">
        <f>'C-FTE Mar'!AA48/2</f>
        <v>5.6844479791772109</v>
      </c>
      <c r="AB48" s="7">
        <f>'C-FTE Mar'!AB48/2</f>
        <v>4.4366423252114817</v>
      </c>
      <c r="AC48" s="7">
        <f>'C-FTE Mar'!AC48/2</f>
        <v>3.4661268165714696</v>
      </c>
      <c r="AD48" s="7">
        <f>'C-FTE Mar'!AD48/2</f>
        <v>4.2979972525486225</v>
      </c>
      <c r="AE48" s="7">
        <f>'C-FTE Mar'!AE48/2</f>
        <v>6.3776733424915042</v>
      </c>
      <c r="AF48" s="7">
        <f>'C-FTE Mar'!AF48/2</f>
        <v>5.8230930518400692</v>
      </c>
    </row>
    <row r="49" spans="1:33" x14ac:dyDescent="0.25">
      <c r="A49" s="3" t="s">
        <v>54</v>
      </c>
      <c r="B49" s="7">
        <f>'C-FTE Mar'!B49/2</f>
        <v>4.1593521798857633</v>
      </c>
      <c r="C49" s="7">
        <f>'C-FTE Mar'!C49/2</f>
        <v>5.9617381245029275</v>
      </c>
      <c r="D49" s="7">
        <f>'C-FTE Mar'!D49/2</f>
        <v>5.8230930518400701</v>
      </c>
      <c r="E49" s="7">
        <f>'C-FTE Mar'!E49/2</f>
        <v>4.7139324705371992</v>
      </c>
      <c r="F49" s="7">
        <f>'C-FTE Mar'!F49/2</f>
        <v>5.4071578338514925</v>
      </c>
      <c r="G49" s="7">
        <f>'C-FTE Mar'!G49/2</f>
        <v>4.020707107222905</v>
      </c>
      <c r="H49" s="7">
        <f>'C-FTE Mar'!H49/2</f>
        <v>3.1888366712457521</v>
      </c>
      <c r="I49" s="7">
        <f>'C-FTE Mar'!I49/2</f>
        <v>3.8820620345600463</v>
      </c>
      <c r="J49" s="7">
        <f>'C-FTE Mar'!J49/2</f>
        <v>5.68444797917721</v>
      </c>
      <c r="K49" s="7">
        <f>'C-FTE Mar'!K49/2</f>
        <v>5.5458029065143526</v>
      </c>
      <c r="L49" s="7">
        <f>'C-FTE Mar'!L49/2</f>
        <v>4.4366423252114808</v>
      </c>
      <c r="M49" s="7">
        <f>'C-FTE Mar'!M49/2</f>
        <v>5.1298676885257741</v>
      </c>
      <c r="N49" s="7">
        <f>'C-FTE Mar'!N49/2</f>
        <v>3.8820620345600463</v>
      </c>
      <c r="O49" s="7">
        <f>'C-FTE Mar'!O49/2</f>
        <v>3.1888366712457521</v>
      </c>
      <c r="P49" s="7">
        <f>'C-FTE Mar'!P49/2</f>
        <v>3.8820620345600467</v>
      </c>
      <c r="Q49" s="7">
        <f>'C-FTE Mar'!Q49/2</f>
        <v>5.4071578338514934</v>
      </c>
      <c r="R49" s="7">
        <f>'C-FTE Mar'!R49/2</f>
        <v>5.4071578338514934</v>
      </c>
      <c r="S49" s="7">
        <f>'C-FTE Mar'!S49/2</f>
        <v>4.2979972525486225</v>
      </c>
      <c r="T49" s="7">
        <f>'C-FTE Mar'!T49/2</f>
        <v>5.1298676885257741</v>
      </c>
      <c r="U49" s="7">
        <f>'C-FTE Mar'!U49/2</f>
        <v>3.743416961897188</v>
      </c>
      <c r="V49" s="7">
        <f>'C-FTE Mar'!V49/2</f>
        <v>3.0501915985828933</v>
      </c>
      <c r="W49" s="7">
        <f>'C-FTE Mar'!W49/2</f>
        <v>3.7434169618971875</v>
      </c>
      <c r="X49" s="7">
        <f>'C-FTE Mar'!X49/2</f>
        <v>5.4071578338514925</v>
      </c>
      <c r="Y49" s="7">
        <f>'C-FTE Mar'!Y49/2</f>
        <v>5.4071578338514934</v>
      </c>
      <c r="Z49" s="7">
        <f>'C-FTE Mar'!Z49/2</f>
        <v>4.2979972525486234</v>
      </c>
      <c r="AA49" s="7">
        <f>'C-FTE Mar'!AA49/2</f>
        <v>5.1298676885257759</v>
      </c>
      <c r="AB49" s="7">
        <f>'C-FTE Mar'!AB49/2</f>
        <v>3.743416961897188</v>
      </c>
      <c r="AC49" s="7">
        <f>'C-FTE Mar'!AC49/2</f>
        <v>3.0501915985828933</v>
      </c>
      <c r="AD49" s="7">
        <f>'C-FTE Mar'!AD49/2</f>
        <v>3.8820620345600463</v>
      </c>
      <c r="AE49" s="7">
        <f>'C-FTE Mar'!AE49/2</f>
        <v>5.5458029065143517</v>
      </c>
      <c r="AF49" s="7">
        <f>'C-FTE Mar'!AF49/2</f>
        <v>5.5458029065143517</v>
      </c>
    </row>
    <row r="50" spans="1:33" x14ac:dyDescent="0.25">
      <c r="A50" s="3" t="s">
        <v>55</v>
      </c>
      <c r="B50" s="7">
        <f>'C-FTE Mar'!B50/2</f>
        <v>3.7434169618971871</v>
      </c>
      <c r="C50" s="7">
        <f>'C-FTE Mar'!C50/2</f>
        <v>5.2685127611886342</v>
      </c>
      <c r="D50" s="7">
        <f>'C-FTE Mar'!D50/2</f>
        <v>5.4071578338514934</v>
      </c>
      <c r="E50" s="7">
        <f>'C-FTE Mar'!E50/2</f>
        <v>4.2979972525486225</v>
      </c>
      <c r="F50" s="7">
        <f>'C-FTE Mar'!F50/2</f>
        <v>4.9912226158629167</v>
      </c>
      <c r="G50" s="7">
        <f>'C-FTE Mar'!G50/2</f>
        <v>3.6047718892343288</v>
      </c>
      <c r="H50" s="7">
        <f>'C-FTE Mar'!H50/2</f>
        <v>2.9115465259200346</v>
      </c>
      <c r="I50" s="7">
        <f>'C-FTE Mar'!I50/2</f>
        <v>3.4661268165714696</v>
      </c>
      <c r="J50" s="7">
        <f>'C-FTE Mar'!J50/2</f>
        <v>4.9912226158629158</v>
      </c>
      <c r="K50" s="7">
        <f>'C-FTE Mar'!K50/2</f>
        <v>5.1298676885257759</v>
      </c>
      <c r="L50" s="7">
        <f>'C-FTE Mar'!L50/2</f>
        <v>4.1593521798857633</v>
      </c>
      <c r="M50" s="7">
        <f>'C-FTE Mar'!M50/2</f>
        <v>4.8525775432000575</v>
      </c>
      <c r="N50" s="7">
        <f>'C-FTE Mar'!N50/2</f>
        <v>3.46612681657147</v>
      </c>
      <c r="O50" s="7">
        <f>'C-FTE Mar'!O50/2</f>
        <v>2.7729014532571759</v>
      </c>
      <c r="P50" s="7">
        <f>'C-FTE Mar'!P50/2</f>
        <v>3.4661268165714705</v>
      </c>
      <c r="Q50" s="7">
        <f>'C-FTE Mar'!Q50/2</f>
        <v>4.8525775432000584</v>
      </c>
      <c r="R50" s="7">
        <f>'C-FTE Mar'!R50/2</f>
        <v>4.9912226158629167</v>
      </c>
      <c r="S50" s="7">
        <f>'C-FTE Mar'!S50/2</f>
        <v>4.020707107222905</v>
      </c>
      <c r="T50" s="7">
        <f>'C-FTE Mar'!T50/2</f>
        <v>4.7139324705371983</v>
      </c>
      <c r="U50" s="7">
        <f>'C-FTE Mar'!U50/2</f>
        <v>3.3274817439086113</v>
      </c>
      <c r="V50" s="7">
        <f>'C-FTE Mar'!V50/2</f>
        <v>2.7729014532571759</v>
      </c>
      <c r="W50" s="7">
        <f>'C-FTE Mar'!W50/2</f>
        <v>3.3274817439086108</v>
      </c>
      <c r="X50" s="7">
        <f>'C-FTE Mar'!X50/2</f>
        <v>4.8525775432000584</v>
      </c>
      <c r="Y50" s="7">
        <f>'C-FTE Mar'!Y50/2</f>
        <v>4.9912226158629176</v>
      </c>
      <c r="Z50" s="7">
        <f>'C-FTE Mar'!Z50/2</f>
        <v>4.020707107222905</v>
      </c>
      <c r="AA50" s="7">
        <f>'C-FTE Mar'!AA50/2</f>
        <v>4.7139324705371992</v>
      </c>
      <c r="AB50" s="7">
        <f>'C-FTE Mar'!AB50/2</f>
        <v>3.46612681657147</v>
      </c>
      <c r="AC50" s="7">
        <f>'C-FTE Mar'!AC50/2</f>
        <v>2.7729014532571759</v>
      </c>
      <c r="AD50" s="7">
        <f>'C-FTE Mar'!AD50/2</f>
        <v>3.46612681657147</v>
      </c>
      <c r="AE50" s="7">
        <f>'C-FTE Mar'!AE50/2</f>
        <v>4.8525775432000575</v>
      </c>
      <c r="AF50" s="7">
        <f>'C-FTE Mar'!AF50/2</f>
        <v>4.9912226158629167</v>
      </c>
    </row>
    <row r="51" spans="1:33" s="12" customFormat="1" x14ac:dyDescent="0.25">
      <c r="A51" s="12" t="s">
        <v>59</v>
      </c>
      <c r="B51" s="13">
        <f t="shared" ref="B51:AF51" si="1">SUM(B3:B50)</f>
        <v>229.73488540235704</v>
      </c>
      <c r="C51" s="13">
        <f t="shared" si="1"/>
        <v>422.59018147639347</v>
      </c>
      <c r="D51" s="13">
        <f t="shared" si="1"/>
        <v>384.04685127611896</v>
      </c>
      <c r="E51" s="13">
        <f t="shared" si="1"/>
        <v>333.16410960884963</v>
      </c>
      <c r="F51" s="13">
        <f t="shared" si="1"/>
        <v>325.81592075771817</v>
      </c>
      <c r="G51" s="13">
        <f t="shared" si="1"/>
        <v>313.33786421806082</v>
      </c>
      <c r="H51" s="13">
        <f t="shared" si="1"/>
        <v>246.09500397657442</v>
      </c>
      <c r="I51" s="13">
        <f t="shared" si="1"/>
        <v>218.08869929867689</v>
      </c>
      <c r="J51" s="13">
        <f t="shared" si="1"/>
        <v>402.34800086761624</v>
      </c>
      <c r="K51" s="13">
        <f t="shared" si="1"/>
        <v>366.57757212059857</v>
      </c>
      <c r="L51" s="13">
        <f t="shared" si="1"/>
        <v>318.88366712457525</v>
      </c>
      <c r="M51" s="13">
        <f t="shared" si="1"/>
        <v>312.7832839274094</v>
      </c>
      <c r="N51" s="13">
        <f t="shared" si="1"/>
        <v>301.69167811438081</v>
      </c>
      <c r="O51" s="13">
        <f t="shared" si="1"/>
        <v>237.49900947147708</v>
      </c>
      <c r="P51" s="13">
        <f t="shared" si="1"/>
        <v>211.15644566553394</v>
      </c>
      <c r="Q51" s="13">
        <f t="shared" si="1"/>
        <v>390.70181476393611</v>
      </c>
      <c r="R51" s="13">
        <f t="shared" si="1"/>
        <v>357.01106210686152</v>
      </c>
      <c r="S51" s="13">
        <f t="shared" si="1"/>
        <v>311.39683320078075</v>
      </c>
      <c r="T51" s="13">
        <f t="shared" si="1"/>
        <v>306.40561058491789</v>
      </c>
      <c r="U51" s="13">
        <f t="shared" si="1"/>
        <v>296.42316535319202</v>
      </c>
      <c r="V51" s="13">
        <f t="shared" si="1"/>
        <v>234.17152772756845</v>
      </c>
      <c r="W51" s="13">
        <f t="shared" si="1"/>
        <v>208.79947943026536</v>
      </c>
      <c r="X51" s="13">
        <f t="shared" si="1"/>
        <v>387.51297809269033</v>
      </c>
      <c r="Y51" s="13">
        <f t="shared" si="1"/>
        <v>355.20867616224427</v>
      </c>
      <c r="Z51" s="13">
        <f t="shared" si="1"/>
        <v>310.84225291012933</v>
      </c>
      <c r="AA51" s="13">
        <f t="shared" si="1"/>
        <v>306.82154580290654</v>
      </c>
      <c r="AB51" s="13">
        <f t="shared" si="1"/>
        <v>297.80961607982067</v>
      </c>
      <c r="AC51" s="13">
        <f t="shared" si="1"/>
        <v>235.97391367218555</v>
      </c>
      <c r="AD51" s="13">
        <f t="shared" si="1"/>
        <v>211.01780059287108</v>
      </c>
      <c r="AE51" s="13">
        <f t="shared" si="1"/>
        <v>392.78149085387889</v>
      </c>
      <c r="AF51" s="13">
        <f t="shared" si="1"/>
        <v>361.30905935940996</v>
      </c>
      <c r="AG51" s="13">
        <f>SUM(B51:AF51)</f>
        <v>9587.9999999999982</v>
      </c>
    </row>
    <row r="54" spans="1:33" x14ac:dyDescent="0.25">
      <c r="B54" s="3">
        <v>450.21283670190905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B6416-C557-47B0-B5DA-364528DCDA42}">
  <sheetPr>
    <tabColor rgb="FFFFFF00"/>
  </sheetPr>
  <dimension ref="A1:AO51"/>
  <sheetViews>
    <sheetView zoomScale="75" zoomScaleNormal="75" workbookViewId="0">
      <pane xSplit="1" ySplit="2" topLeftCell="B3" activePane="bottomRight" state="frozen"/>
      <selection activeCell="I28" sqref="I28"/>
      <selection pane="topRight" activeCell="I28" sqref="I28"/>
      <selection pane="bottomLeft" activeCell="I28" sqref="I28"/>
      <selection pane="bottomRight" activeCell="W47" sqref="W47"/>
    </sheetView>
  </sheetViews>
  <sheetFormatPr defaultColWidth="9.140625" defaultRowHeight="15" x14ac:dyDescent="0.25"/>
  <cols>
    <col min="1" max="1" width="12" style="3" bestFit="1" customWidth="1"/>
    <col min="2" max="10" width="7.7109375" style="3" bestFit="1" customWidth="1"/>
    <col min="11" max="31" width="8.85546875" style="3" bestFit="1" customWidth="1"/>
    <col min="32" max="32" width="7.7109375" style="3" bestFit="1" customWidth="1"/>
    <col min="33" max="34" width="9.140625" style="3"/>
    <col min="35" max="35" width="5.42578125" style="3" bestFit="1" customWidth="1"/>
    <col min="36" max="36" width="4.5703125" style="3" bestFit="1" customWidth="1"/>
    <col min="37" max="37" width="5.42578125" style="3" bestFit="1" customWidth="1"/>
    <col min="38" max="38" width="4.5703125" style="3" bestFit="1" customWidth="1"/>
    <col min="39" max="39" width="3.5703125" style="3" bestFit="1" customWidth="1"/>
    <col min="40" max="40" width="4" style="3" bestFit="1" customWidth="1"/>
    <col min="41" max="41" width="4.5703125" style="3" bestFit="1" customWidth="1"/>
    <col min="42" max="16384" width="9.140625" style="3"/>
  </cols>
  <sheetData>
    <row r="1" spans="1:41" x14ac:dyDescent="0.25">
      <c r="A1" s="14" t="s">
        <v>56</v>
      </c>
      <c r="B1" s="2">
        <f>'V-FTE Apr'!B1</f>
        <v>46113</v>
      </c>
      <c r="C1" s="2">
        <f>B1+1</f>
        <v>46114</v>
      </c>
      <c r="D1" s="2">
        <f t="shared" ref="D1:AF1" si="0">C1+1</f>
        <v>46115</v>
      </c>
      <c r="E1" s="2">
        <f t="shared" si="0"/>
        <v>46116</v>
      </c>
      <c r="F1" s="2">
        <f t="shared" si="0"/>
        <v>46117</v>
      </c>
      <c r="G1" s="2">
        <f t="shared" si="0"/>
        <v>46118</v>
      </c>
      <c r="H1" s="2">
        <f t="shared" si="0"/>
        <v>46119</v>
      </c>
      <c r="I1" s="2">
        <f t="shared" si="0"/>
        <v>46120</v>
      </c>
      <c r="J1" s="2">
        <f t="shared" si="0"/>
        <v>46121</v>
      </c>
      <c r="K1" s="2">
        <f t="shared" si="0"/>
        <v>46122</v>
      </c>
      <c r="L1" s="2">
        <f t="shared" si="0"/>
        <v>46123</v>
      </c>
      <c r="M1" s="2">
        <f t="shared" si="0"/>
        <v>46124</v>
      </c>
      <c r="N1" s="2">
        <f t="shared" si="0"/>
        <v>46125</v>
      </c>
      <c r="O1" s="2">
        <f t="shared" si="0"/>
        <v>46126</v>
      </c>
      <c r="P1" s="2">
        <f t="shared" si="0"/>
        <v>46127</v>
      </c>
      <c r="Q1" s="2">
        <f t="shared" si="0"/>
        <v>46128</v>
      </c>
      <c r="R1" s="2">
        <f t="shared" si="0"/>
        <v>46129</v>
      </c>
      <c r="S1" s="2">
        <f t="shared" si="0"/>
        <v>46130</v>
      </c>
      <c r="T1" s="2">
        <f t="shared" si="0"/>
        <v>46131</v>
      </c>
      <c r="U1" s="2">
        <f t="shared" si="0"/>
        <v>46132</v>
      </c>
      <c r="V1" s="2">
        <f t="shared" si="0"/>
        <v>46133</v>
      </c>
      <c r="W1" s="2">
        <f t="shared" si="0"/>
        <v>46134</v>
      </c>
      <c r="X1" s="2">
        <f t="shared" si="0"/>
        <v>46135</v>
      </c>
      <c r="Y1" s="2">
        <f t="shared" si="0"/>
        <v>46136</v>
      </c>
      <c r="Z1" s="2">
        <f t="shared" si="0"/>
        <v>46137</v>
      </c>
      <c r="AA1" s="2">
        <f t="shared" si="0"/>
        <v>46138</v>
      </c>
      <c r="AB1" s="2">
        <f t="shared" si="0"/>
        <v>46139</v>
      </c>
      <c r="AC1" s="2">
        <f t="shared" si="0"/>
        <v>46140</v>
      </c>
      <c r="AD1" s="2">
        <f t="shared" si="0"/>
        <v>46141</v>
      </c>
      <c r="AE1" s="2">
        <f t="shared" si="0"/>
        <v>46142</v>
      </c>
      <c r="AF1" s="2">
        <f t="shared" si="0"/>
        <v>46143</v>
      </c>
      <c r="AI1" s="22" t="s">
        <v>61</v>
      </c>
      <c r="AJ1" s="22"/>
      <c r="AK1" s="22"/>
      <c r="AL1" s="22"/>
      <c r="AM1" s="22"/>
      <c r="AN1" s="22"/>
      <c r="AO1" s="22"/>
    </row>
    <row r="2" spans="1:41" x14ac:dyDescent="0.25">
      <c r="A2" s="15"/>
      <c r="B2" s="5" t="str">
        <f>TEXT(B1,"ddd")</f>
        <v>Wed</v>
      </c>
      <c r="C2" s="5" t="str">
        <f t="shared" ref="C2:AF2" si="1">TEXT(C1,"ddd")</f>
        <v>Thu</v>
      </c>
      <c r="D2" s="5" t="str">
        <f t="shared" si="1"/>
        <v>Fri</v>
      </c>
      <c r="E2" s="5" t="str">
        <f t="shared" si="1"/>
        <v>Sat</v>
      </c>
      <c r="F2" s="5" t="str">
        <f t="shared" si="1"/>
        <v>Sun</v>
      </c>
      <c r="G2" s="5" t="str">
        <f t="shared" si="1"/>
        <v>Mon</v>
      </c>
      <c r="H2" s="5" t="str">
        <f t="shared" si="1"/>
        <v>Tue</v>
      </c>
      <c r="I2" s="5" t="str">
        <f t="shared" si="1"/>
        <v>Wed</v>
      </c>
      <c r="J2" s="5" t="str">
        <f t="shared" si="1"/>
        <v>Thu</v>
      </c>
      <c r="K2" s="5" t="str">
        <f t="shared" si="1"/>
        <v>Fri</v>
      </c>
      <c r="L2" s="5" t="str">
        <f t="shared" si="1"/>
        <v>Sat</v>
      </c>
      <c r="M2" s="5" t="str">
        <f t="shared" si="1"/>
        <v>Sun</v>
      </c>
      <c r="N2" s="5" t="str">
        <f t="shared" si="1"/>
        <v>Mon</v>
      </c>
      <c r="O2" s="5" t="str">
        <f t="shared" si="1"/>
        <v>Tue</v>
      </c>
      <c r="P2" s="5" t="str">
        <f t="shared" si="1"/>
        <v>Wed</v>
      </c>
      <c r="Q2" s="5" t="str">
        <f t="shared" si="1"/>
        <v>Thu</v>
      </c>
      <c r="R2" s="5" t="str">
        <f t="shared" si="1"/>
        <v>Fri</v>
      </c>
      <c r="S2" s="5" t="str">
        <f t="shared" si="1"/>
        <v>Sat</v>
      </c>
      <c r="T2" s="5" t="str">
        <f t="shared" si="1"/>
        <v>Sun</v>
      </c>
      <c r="U2" s="5" t="str">
        <f t="shared" si="1"/>
        <v>Mon</v>
      </c>
      <c r="V2" s="5" t="str">
        <f t="shared" si="1"/>
        <v>Tue</v>
      </c>
      <c r="W2" s="5" t="str">
        <f t="shared" si="1"/>
        <v>Wed</v>
      </c>
      <c r="X2" s="5" t="str">
        <f t="shared" si="1"/>
        <v>Thu</v>
      </c>
      <c r="Y2" s="5" t="str">
        <f t="shared" si="1"/>
        <v>Fri</v>
      </c>
      <c r="Z2" s="5" t="str">
        <f t="shared" si="1"/>
        <v>Sat</v>
      </c>
      <c r="AA2" s="5" t="str">
        <f t="shared" si="1"/>
        <v>Sun</v>
      </c>
      <c r="AB2" s="5" t="str">
        <f t="shared" si="1"/>
        <v>Mon</v>
      </c>
      <c r="AC2" s="5" t="str">
        <f t="shared" si="1"/>
        <v>Tue</v>
      </c>
      <c r="AD2" s="5" t="str">
        <f t="shared" si="1"/>
        <v>Wed</v>
      </c>
      <c r="AE2" s="5" t="str">
        <f t="shared" si="1"/>
        <v>Thu</v>
      </c>
      <c r="AF2" s="5" t="str">
        <f t="shared" si="1"/>
        <v>Fri</v>
      </c>
      <c r="AI2" s="6" t="s">
        <v>1</v>
      </c>
      <c r="AJ2" s="6" t="s">
        <v>2</v>
      </c>
      <c r="AK2" s="6" t="s">
        <v>3</v>
      </c>
      <c r="AL2" s="6" t="s">
        <v>4</v>
      </c>
      <c r="AM2" s="6" t="s">
        <v>5</v>
      </c>
      <c r="AN2" s="6" t="s">
        <v>6</v>
      </c>
      <c r="AO2" s="6" t="s">
        <v>7</v>
      </c>
    </row>
    <row r="3" spans="1:41" x14ac:dyDescent="0.25">
      <c r="A3" s="3" t="s">
        <v>8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/>
      <c r="AI3" s="8"/>
      <c r="AJ3" s="8"/>
      <c r="AK3" s="8"/>
      <c r="AL3" s="8"/>
      <c r="AM3" s="8"/>
      <c r="AN3" s="8"/>
      <c r="AO3" s="8"/>
    </row>
    <row r="4" spans="1:41" x14ac:dyDescent="0.25">
      <c r="A4" s="3" t="s">
        <v>9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/>
      <c r="AI4" s="8"/>
      <c r="AJ4" s="8"/>
      <c r="AK4" s="8"/>
      <c r="AL4" s="8"/>
      <c r="AM4" s="8"/>
      <c r="AN4" s="8"/>
      <c r="AO4" s="8"/>
    </row>
    <row r="5" spans="1:41" x14ac:dyDescent="0.25">
      <c r="A5" s="3" t="s">
        <v>10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/>
      <c r="AI5" s="8"/>
      <c r="AJ5" s="8"/>
      <c r="AK5" s="8"/>
      <c r="AL5" s="8"/>
      <c r="AM5" s="8"/>
      <c r="AN5" s="8"/>
      <c r="AO5" s="8"/>
    </row>
    <row r="6" spans="1:41" x14ac:dyDescent="0.25">
      <c r="A6" s="3" t="s">
        <v>11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/>
      <c r="AI6" s="8"/>
      <c r="AJ6" s="8"/>
      <c r="AK6" s="8"/>
      <c r="AL6" s="8"/>
      <c r="AM6" s="8"/>
      <c r="AN6" s="8"/>
      <c r="AO6" s="8"/>
    </row>
    <row r="7" spans="1:41" x14ac:dyDescent="0.25">
      <c r="A7" s="3" t="s">
        <v>12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/>
      <c r="AI7" s="8"/>
      <c r="AJ7" s="8"/>
      <c r="AK7" s="8"/>
      <c r="AL7" s="8"/>
      <c r="AM7" s="8"/>
      <c r="AN7" s="8"/>
      <c r="AO7" s="8"/>
    </row>
    <row r="8" spans="1:41" x14ac:dyDescent="0.25">
      <c r="A8" s="3" t="s">
        <v>13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/>
      <c r="AI8" s="8"/>
      <c r="AJ8" s="8"/>
      <c r="AK8" s="8"/>
      <c r="AL8" s="8"/>
      <c r="AM8" s="8"/>
      <c r="AN8" s="8"/>
      <c r="AO8" s="8"/>
    </row>
    <row r="9" spans="1:41" x14ac:dyDescent="0.25">
      <c r="A9" s="3" t="s">
        <v>14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/>
      <c r="AI9" s="8"/>
      <c r="AJ9" s="8"/>
      <c r="AK9" s="8"/>
      <c r="AL9" s="8"/>
      <c r="AM9" s="8"/>
      <c r="AN9" s="8"/>
      <c r="AO9" s="8"/>
    </row>
    <row r="10" spans="1:41" x14ac:dyDescent="0.25">
      <c r="A10" s="3" t="s">
        <v>15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/>
      <c r="AI10" s="8"/>
      <c r="AJ10" s="8"/>
      <c r="AK10" s="8"/>
      <c r="AL10" s="8"/>
      <c r="AM10" s="8"/>
      <c r="AN10" s="8"/>
      <c r="AO10" s="8"/>
    </row>
    <row r="11" spans="1:41" x14ac:dyDescent="0.25">
      <c r="A11" s="3" t="s">
        <v>16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/>
      <c r="AI11" s="8"/>
      <c r="AJ11" s="8"/>
      <c r="AK11" s="8"/>
      <c r="AL11" s="8"/>
      <c r="AM11" s="8"/>
      <c r="AN11" s="8"/>
      <c r="AO11" s="8"/>
    </row>
    <row r="12" spans="1:41" x14ac:dyDescent="0.25">
      <c r="A12" s="3" t="s">
        <v>17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/>
      <c r="AI12" s="8"/>
      <c r="AJ12" s="8"/>
      <c r="AK12" s="8"/>
      <c r="AL12" s="8"/>
      <c r="AM12" s="8"/>
      <c r="AN12" s="8"/>
      <c r="AO12" s="8"/>
    </row>
    <row r="13" spans="1:41" x14ac:dyDescent="0.25">
      <c r="A13" s="3" t="s">
        <v>18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/>
      <c r="AI13" s="8"/>
      <c r="AJ13" s="8"/>
      <c r="AK13" s="8"/>
      <c r="AL13" s="8"/>
      <c r="AM13" s="8"/>
      <c r="AN13" s="8"/>
      <c r="AO13" s="8"/>
    </row>
    <row r="14" spans="1:41" x14ac:dyDescent="0.25">
      <c r="A14" s="3" t="s">
        <v>19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/>
      <c r="AI14" s="8"/>
      <c r="AJ14" s="8"/>
      <c r="AK14" s="8"/>
      <c r="AL14" s="8"/>
      <c r="AM14" s="8"/>
      <c r="AN14" s="8"/>
      <c r="AO14" s="8"/>
    </row>
    <row r="15" spans="1:41" x14ac:dyDescent="0.25">
      <c r="A15" s="3" t="s">
        <v>20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/>
      <c r="AI15" s="8"/>
      <c r="AJ15" s="8"/>
      <c r="AK15" s="8"/>
      <c r="AL15" s="8"/>
      <c r="AM15" s="8"/>
      <c r="AN15" s="8"/>
      <c r="AO15" s="8"/>
    </row>
    <row r="16" spans="1:41" x14ac:dyDescent="0.25">
      <c r="A16" s="3" t="s">
        <v>21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/>
      <c r="AI16" s="8"/>
      <c r="AJ16" s="8"/>
      <c r="AK16" s="8"/>
      <c r="AL16" s="8"/>
      <c r="AM16" s="8"/>
      <c r="AN16" s="8"/>
      <c r="AO16" s="8"/>
    </row>
    <row r="17" spans="1:41" x14ac:dyDescent="0.25">
      <c r="A17" s="3" t="s">
        <v>22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/>
      <c r="AI17" s="8"/>
      <c r="AJ17" s="8"/>
      <c r="AK17" s="8"/>
      <c r="AL17" s="8"/>
      <c r="AM17" s="8"/>
      <c r="AN17" s="8"/>
      <c r="AO17" s="8"/>
    </row>
    <row r="18" spans="1:41" x14ac:dyDescent="0.25">
      <c r="A18" s="3" t="s">
        <v>23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/>
      <c r="AI18" s="8"/>
      <c r="AJ18" s="8"/>
      <c r="AK18" s="8"/>
      <c r="AL18" s="8"/>
      <c r="AM18" s="8"/>
      <c r="AN18" s="8"/>
      <c r="AO18" s="8"/>
    </row>
    <row r="19" spans="1:41" x14ac:dyDescent="0.25">
      <c r="A19" s="3" t="s">
        <v>24</v>
      </c>
      <c r="B19" s="7">
        <v>5.9522101663110423</v>
      </c>
      <c r="C19" s="7">
        <v>6.1811413265537754</v>
      </c>
      <c r="D19" s="7">
        <v>6.4100724867965075</v>
      </c>
      <c r="E19" s="7">
        <v>5.2654166855828448</v>
      </c>
      <c r="F19" s="7">
        <v>3.4339674036409864</v>
      </c>
      <c r="G19" s="7">
        <v>6.8679348072819719</v>
      </c>
      <c r="H19" s="7">
        <v>6.1811413265537745</v>
      </c>
      <c r="I19" s="7">
        <v>5.7232790060683101</v>
      </c>
      <c r="J19" s="7">
        <v>5.9522101663110423</v>
      </c>
      <c r="K19" s="7">
        <v>6.1811413265537745</v>
      </c>
      <c r="L19" s="7">
        <v>5.2654166855828448</v>
      </c>
      <c r="M19" s="7">
        <v>3.433967403640986</v>
      </c>
      <c r="N19" s="7">
        <v>6.6390036470392388</v>
      </c>
      <c r="O19" s="7">
        <v>5.9522101663110432</v>
      </c>
      <c r="P19" s="7">
        <v>5.723279006068311</v>
      </c>
      <c r="Q19" s="7">
        <v>5.9522101663110423</v>
      </c>
      <c r="R19" s="7">
        <v>6.1811413265537754</v>
      </c>
      <c r="S19" s="7">
        <v>5.2654166855828448</v>
      </c>
      <c r="T19" s="7">
        <v>3.4339674036409864</v>
      </c>
      <c r="U19" s="7">
        <v>6.8679348072819728</v>
      </c>
      <c r="V19" s="7">
        <v>6.1811413265537745</v>
      </c>
      <c r="W19" s="7">
        <v>5.9522101663110432</v>
      </c>
      <c r="X19" s="7">
        <v>6.4100724867965075</v>
      </c>
      <c r="Y19" s="7">
        <v>6.6390036470392406</v>
      </c>
      <c r="Z19" s="7">
        <v>5.7232790060683101</v>
      </c>
      <c r="AA19" s="7">
        <v>3.6628985638837186</v>
      </c>
      <c r="AB19" s="7">
        <v>7.5547282880101685</v>
      </c>
      <c r="AC19" s="7">
        <v>6.8679348072819719</v>
      </c>
      <c r="AD19" s="7">
        <v>6.4100724867965075</v>
      </c>
      <c r="AE19" s="7">
        <v>6.8679348072819719</v>
      </c>
      <c r="AF19" s="7"/>
      <c r="AI19" s="9" cm="1">
        <f t="array" ref="AI19">MAX(_xlfn._xlws.FILTER($D19:$AF19, $D$2:$AF$2=AI$2))</f>
        <v>7.5547282880101685</v>
      </c>
      <c r="AJ19" s="9" cm="1">
        <f t="array" ref="AJ19">MAX(_xlfn._xlws.FILTER($B19:$AF19, $B$2:$AF$2=AJ$2))</f>
        <v>6.8679348072819719</v>
      </c>
      <c r="AK19" s="9" cm="1">
        <f t="array" ref="AK19">MAX(_xlfn._xlws.FILTER($B19:$AF19, $B$2:$AF$2=AK$2))</f>
        <v>6.4100724867965075</v>
      </c>
      <c r="AL19" s="9" cm="1">
        <f t="array" ref="AL19">MAX(_xlfn._xlws.FILTER($B19:$AF19, $B$2:$AF$2=AL$2))</f>
        <v>6.8679348072819719</v>
      </c>
      <c r="AM19" s="9" cm="1">
        <f t="array" ref="AM19">MAX(_xlfn._xlws.FILTER($B19:$AF19, $B$2:$AF$2=AM$2))</f>
        <v>6.6390036470392406</v>
      </c>
      <c r="AN19" s="9" cm="1">
        <f t="array" ref="AN19">MAX(_xlfn._xlws.FILTER($B19:$AF19, $B$2:$AF$2=AN$2))</f>
        <v>5.7232790060683101</v>
      </c>
      <c r="AO19" s="9" cm="1">
        <f t="array" ref="AO19">MAX(_xlfn._xlws.FILTER($B19:$AF19, $B$2:$AF$2=AO$2))</f>
        <v>3.6628985638837186</v>
      </c>
    </row>
    <row r="20" spans="1:41" x14ac:dyDescent="0.25">
      <c r="A20" s="3" t="s">
        <v>25</v>
      </c>
      <c r="B20" s="7">
        <v>7.5547282880101694</v>
      </c>
      <c r="C20" s="7">
        <v>7.7836594482529016</v>
      </c>
      <c r="D20" s="7">
        <v>7.3257971277674372</v>
      </c>
      <c r="E20" s="7">
        <v>5.9522101663110432</v>
      </c>
      <c r="F20" s="7">
        <v>4.3496920446119161</v>
      </c>
      <c r="G20" s="7">
        <v>8.6993840892238321</v>
      </c>
      <c r="H20" s="7">
        <v>7.5547282880101694</v>
      </c>
      <c r="I20" s="7">
        <v>7.096865967524705</v>
      </c>
      <c r="J20" s="7">
        <v>7.5547282880101694</v>
      </c>
      <c r="K20" s="7">
        <v>7.096865967524705</v>
      </c>
      <c r="L20" s="7">
        <v>5.7232790060683092</v>
      </c>
      <c r="M20" s="7">
        <v>4.3496920446119161</v>
      </c>
      <c r="N20" s="7">
        <v>8.6993840892238303</v>
      </c>
      <c r="O20" s="7">
        <v>7.5547282880101694</v>
      </c>
      <c r="P20" s="7">
        <v>7.0968659675247059</v>
      </c>
      <c r="Q20" s="7">
        <v>7.5547282880101685</v>
      </c>
      <c r="R20" s="7">
        <v>7.3257971277674372</v>
      </c>
      <c r="S20" s="7">
        <v>5.9522101663110432</v>
      </c>
      <c r="T20" s="7">
        <v>4.3496920446119152</v>
      </c>
      <c r="U20" s="7">
        <v>8.9283152494665643</v>
      </c>
      <c r="V20" s="7">
        <v>7.7836594482529016</v>
      </c>
      <c r="W20" s="7">
        <v>7.5547282880101703</v>
      </c>
      <c r="X20" s="7">
        <v>7.7836594482529025</v>
      </c>
      <c r="Y20" s="7">
        <v>7.5547282880101694</v>
      </c>
      <c r="Z20" s="7">
        <v>6.1811413265537754</v>
      </c>
      <c r="AA20" s="7">
        <v>4.5786232048546482</v>
      </c>
      <c r="AB20" s="7">
        <v>9.3861775699520287</v>
      </c>
      <c r="AC20" s="7">
        <v>8.4704529289810981</v>
      </c>
      <c r="AD20" s="7">
        <v>8.0125906084956338</v>
      </c>
      <c r="AE20" s="7">
        <v>8.4704529289810999</v>
      </c>
      <c r="AF20" s="7"/>
      <c r="AI20" s="9" cm="1">
        <f t="array" ref="AI20">MAX(_xlfn._xlws.FILTER($D20:$AF20, $D$2:$AF$2=AI$2))</f>
        <v>9.3861775699520287</v>
      </c>
      <c r="AJ20" s="9" cm="1">
        <f t="array" ref="AJ20">MAX(_xlfn._xlws.FILTER($B20:$AF20, $B$2:$AF$2=AJ$2))</f>
        <v>8.4704529289810981</v>
      </c>
      <c r="AK20" s="9" cm="1">
        <f t="array" ref="AK20">MAX(_xlfn._xlws.FILTER($B20:$AF20, $B$2:$AF$2=AK$2))</f>
        <v>8.0125906084956338</v>
      </c>
      <c r="AL20" s="9" cm="1">
        <f t="array" ref="AL20">MAX(_xlfn._xlws.FILTER($B20:$AF20, $B$2:$AF$2=AL$2))</f>
        <v>8.4704529289810999</v>
      </c>
      <c r="AM20" s="9" cm="1">
        <f t="array" ref="AM20">MAX(_xlfn._xlws.FILTER($B20:$AF20, $B$2:$AF$2=AM$2))</f>
        <v>7.5547282880101694</v>
      </c>
      <c r="AN20" s="9" cm="1">
        <f t="array" ref="AN20">MAX(_xlfn._xlws.FILTER($B20:$AF20, $B$2:$AF$2=AN$2))</f>
        <v>6.1811413265537754</v>
      </c>
      <c r="AO20" s="9" cm="1">
        <f t="array" ref="AO20">MAX(_xlfn._xlws.FILTER($B20:$AF20, $B$2:$AF$2=AO$2))</f>
        <v>4.5786232048546482</v>
      </c>
    </row>
    <row r="21" spans="1:41" x14ac:dyDescent="0.25">
      <c r="A21" s="3" t="s">
        <v>26</v>
      </c>
      <c r="B21" s="7">
        <v>9.8440398904374931</v>
      </c>
      <c r="C21" s="7">
        <v>10.301902210922957</v>
      </c>
      <c r="D21" s="7">
        <v>9.6151087301947609</v>
      </c>
      <c r="E21" s="7">
        <v>7.3257971277674363</v>
      </c>
      <c r="F21" s="7">
        <v>5.4943478458255788</v>
      </c>
      <c r="G21" s="7">
        <v>11.904420332622086</v>
      </c>
      <c r="H21" s="7">
        <v>10.301902210922957</v>
      </c>
      <c r="I21" s="7">
        <v>9.3861775699520287</v>
      </c>
      <c r="J21" s="7">
        <v>9.8440398904374931</v>
      </c>
      <c r="K21" s="7">
        <v>9.3861775699520287</v>
      </c>
      <c r="L21" s="7">
        <v>7.3257971277674354</v>
      </c>
      <c r="M21" s="7">
        <v>5.4943478458255779</v>
      </c>
      <c r="N21" s="7">
        <v>11.904420332622085</v>
      </c>
      <c r="O21" s="7">
        <v>10.301902210922957</v>
      </c>
      <c r="P21" s="7">
        <v>9.3861775699520287</v>
      </c>
      <c r="Q21" s="7">
        <v>10.072971050680223</v>
      </c>
      <c r="R21" s="7">
        <v>9.3861775699520287</v>
      </c>
      <c r="S21" s="7">
        <v>7.3257971277674363</v>
      </c>
      <c r="T21" s="7">
        <v>5.723279006068311</v>
      </c>
      <c r="U21" s="7">
        <v>12.133351492864819</v>
      </c>
      <c r="V21" s="7">
        <v>10.759764531408424</v>
      </c>
      <c r="W21" s="7">
        <v>9.8440398904374948</v>
      </c>
      <c r="X21" s="7">
        <v>10.530833371165691</v>
      </c>
      <c r="Y21" s="7">
        <v>9.8440398904374948</v>
      </c>
      <c r="Z21" s="7">
        <v>7.7836594482529016</v>
      </c>
      <c r="AA21" s="7">
        <v>5.9522101663110432</v>
      </c>
      <c r="AB21" s="7">
        <v>13.049076133835747</v>
      </c>
      <c r="AC21" s="7">
        <v>11.446558012136618</v>
      </c>
      <c r="AD21" s="7">
        <v>10.530833371165691</v>
      </c>
      <c r="AE21" s="7">
        <v>11.44655801213662</v>
      </c>
      <c r="AF21" s="7"/>
      <c r="AI21" s="9" cm="1">
        <f t="array" ref="AI21">MAX(_xlfn._xlws.FILTER($D21:$AF21, $D$2:$AF$2=AI$2))</f>
        <v>13.049076133835747</v>
      </c>
      <c r="AJ21" s="9" cm="1">
        <f t="array" ref="AJ21">MAX(_xlfn._xlws.FILTER($B21:$AF21, $B$2:$AF$2=AJ$2))</f>
        <v>11.446558012136618</v>
      </c>
      <c r="AK21" s="9" cm="1">
        <f t="array" ref="AK21">MAX(_xlfn._xlws.FILTER($B21:$AF21, $B$2:$AF$2=AK$2))</f>
        <v>10.530833371165691</v>
      </c>
      <c r="AL21" s="9" cm="1">
        <f t="array" ref="AL21">MAX(_xlfn._xlws.FILTER($B21:$AF21, $B$2:$AF$2=AL$2))</f>
        <v>11.44655801213662</v>
      </c>
      <c r="AM21" s="9" cm="1">
        <f t="array" ref="AM21">MAX(_xlfn._xlws.FILTER($B21:$AF21, $B$2:$AF$2=AM$2))</f>
        <v>9.8440398904374948</v>
      </c>
      <c r="AN21" s="9" cm="1">
        <f t="array" ref="AN21">MAX(_xlfn._xlws.FILTER($B21:$AF21, $B$2:$AF$2=AN$2))</f>
        <v>7.7836594482529016</v>
      </c>
      <c r="AO21" s="9" cm="1">
        <f t="array" ref="AO21">MAX(_xlfn._xlws.FILTER($B21:$AF21, $B$2:$AF$2=AO$2))</f>
        <v>5.9522101663110432</v>
      </c>
    </row>
    <row r="22" spans="1:41" x14ac:dyDescent="0.25">
      <c r="A22" s="3" t="s">
        <v>27</v>
      </c>
      <c r="B22" s="7">
        <v>11.904420332622085</v>
      </c>
      <c r="C22" s="7">
        <v>12.591213813350281</v>
      </c>
      <c r="D22" s="7">
        <v>11.904420332622085</v>
      </c>
      <c r="E22" s="7">
        <v>8.6993840892238321</v>
      </c>
      <c r="F22" s="7">
        <v>6.6390036470392397</v>
      </c>
      <c r="G22" s="7">
        <v>14.880525415777608</v>
      </c>
      <c r="H22" s="7">
        <v>13.506938454321212</v>
      </c>
      <c r="I22" s="7">
        <v>11.675489172379352</v>
      </c>
      <c r="J22" s="7">
        <v>12.133351492864817</v>
      </c>
      <c r="K22" s="7">
        <v>11.675489172379354</v>
      </c>
      <c r="L22" s="7">
        <v>8.4704529289810981</v>
      </c>
      <c r="M22" s="7">
        <v>6.4100724867965075</v>
      </c>
      <c r="N22" s="7">
        <v>14.651594255534873</v>
      </c>
      <c r="O22" s="7">
        <v>13.506938454321213</v>
      </c>
      <c r="P22" s="7">
        <v>11.675489172379354</v>
      </c>
      <c r="Q22" s="7">
        <v>12.362282653107549</v>
      </c>
      <c r="R22" s="7">
        <v>11.675489172379352</v>
      </c>
      <c r="S22" s="7">
        <v>8.6993840892238321</v>
      </c>
      <c r="T22" s="7">
        <v>6.6390036470392397</v>
      </c>
      <c r="U22" s="7">
        <v>15.109456576020341</v>
      </c>
      <c r="V22" s="7">
        <v>14.193731935049408</v>
      </c>
      <c r="W22" s="7">
        <v>12.133351492864819</v>
      </c>
      <c r="X22" s="7">
        <v>13.049076133835747</v>
      </c>
      <c r="Y22" s="7">
        <v>12.362282653107551</v>
      </c>
      <c r="Z22" s="7">
        <v>9.1572464097092965</v>
      </c>
      <c r="AA22" s="7">
        <v>7.096865967524705</v>
      </c>
      <c r="AB22" s="7">
        <v>16.254112377234001</v>
      </c>
      <c r="AC22" s="7">
        <v>15.109456576020337</v>
      </c>
      <c r="AD22" s="7">
        <v>13.049076133835747</v>
      </c>
      <c r="AE22" s="7">
        <v>13.964800774806676</v>
      </c>
      <c r="AF22" s="7"/>
      <c r="AI22" s="9" cm="1">
        <f t="array" ref="AI22">MAX(_xlfn._xlws.FILTER($D22:$AF22, $D$2:$AF$2=AI$2))</f>
        <v>16.254112377234001</v>
      </c>
      <c r="AJ22" s="9" cm="1">
        <f t="array" ref="AJ22">MAX(_xlfn._xlws.FILTER($B22:$AF22, $B$2:$AF$2=AJ$2))</f>
        <v>15.109456576020337</v>
      </c>
      <c r="AK22" s="9" cm="1">
        <f t="array" ref="AK22">MAX(_xlfn._xlws.FILTER($B22:$AF22, $B$2:$AF$2=AK$2))</f>
        <v>13.049076133835747</v>
      </c>
      <c r="AL22" s="9" cm="1">
        <f t="array" ref="AL22">MAX(_xlfn._xlws.FILTER($B22:$AF22, $B$2:$AF$2=AL$2))</f>
        <v>13.964800774806676</v>
      </c>
      <c r="AM22" s="9" cm="1">
        <f t="array" ref="AM22">MAX(_xlfn._xlws.FILTER($B22:$AF22, $B$2:$AF$2=AM$2))</f>
        <v>12.362282653107551</v>
      </c>
      <c r="AN22" s="9" cm="1">
        <f t="array" ref="AN22">MAX(_xlfn._xlws.FILTER($B22:$AF22, $B$2:$AF$2=AN$2))</f>
        <v>9.1572464097092965</v>
      </c>
      <c r="AO22" s="9" cm="1">
        <f t="array" ref="AO22">MAX(_xlfn._xlws.FILTER($B22:$AF22, $B$2:$AF$2=AO$2))</f>
        <v>7.096865967524705</v>
      </c>
    </row>
    <row r="23" spans="1:41" x14ac:dyDescent="0.25">
      <c r="A23" s="3" t="s">
        <v>28</v>
      </c>
      <c r="B23" s="7">
        <v>13.964800774806676</v>
      </c>
      <c r="C23" s="7">
        <v>14.422663095292142</v>
      </c>
      <c r="D23" s="7">
        <v>14.19373193504941</v>
      </c>
      <c r="E23" s="7">
        <v>10.301902210922957</v>
      </c>
      <c r="F23" s="7">
        <v>7.7836594482529025</v>
      </c>
      <c r="G23" s="7">
        <v>17.16983701820493</v>
      </c>
      <c r="H23" s="7">
        <v>16.483043537476732</v>
      </c>
      <c r="I23" s="7">
        <v>13.506938454321212</v>
      </c>
      <c r="J23" s="7">
        <v>13.964800774806678</v>
      </c>
      <c r="K23" s="7">
        <v>13.964800774806678</v>
      </c>
      <c r="L23" s="7">
        <v>10.072971050680225</v>
      </c>
      <c r="M23" s="7">
        <v>7.7836594482529016</v>
      </c>
      <c r="N23" s="7">
        <v>17.169837018204927</v>
      </c>
      <c r="O23" s="7">
        <v>16.483043537476735</v>
      </c>
      <c r="P23" s="7">
        <v>13.506938454321213</v>
      </c>
      <c r="Q23" s="7">
        <v>13.964800774806676</v>
      </c>
      <c r="R23" s="7">
        <v>14.193731935049408</v>
      </c>
      <c r="S23" s="7">
        <v>10.301902210922957</v>
      </c>
      <c r="T23" s="7">
        <v>7.7836594482529016</v>
      </c>
      <c r="U23" s="7">
        <v>17.627699338690398</v>
      </c>
      <c r="V23" s="7">
        <v>16.940905857962196</v>
      </c>
      <c r="W23" s="7">
        <v>14.19373193504941</v>
      </c>
      <c r="X23" s="7">
        <v>14.651594255534874</v>
      </c>
      <c r="Y23" s="7">
        <v>14.880525415777607</v>
      </c>
      <c r="Z23" s="7">
        <v>10.988695691651156</v>
      </c>
      <c r="AA23" s="7">
        <v>8.4704529289810999</v>
      </c>
      <c r="AB23" s="7">
        <v>18.772355139904057</v>
      </c>
      <c r="AC23" s="7">
        <v>18.314492819418589</v>
      </c>
      <c r="AD23" s="7">
        <v>15.338387736263071</v>
      </c>
      <c r="AE23" s="7">
        <v>16.025181216991268</v>
      </c>
      <c r="AF23" s="7"/>
      <c r="AI23" s="9" cm="1">
        <f t="array" ref="AI23">MAX(_xlfn._xlws.FILTER($D23:$AF23, $D$2:$AF$2=AI$2))</f>
        <v>18.772355139904057</v>
      </c>
      <c r="AJ23" s="9" cm="1">
        <f t="array" ref="AJ23">MAX(_xlfn._xlws.FILTER($B23:$AF23, $B$2:$AF$2=AJ$2))</f>
        <v>18.314492819418589</v>
      </c>
      <c r="AK23" s="9" cm="1">
        <f t="array" ref="AK23">MAX(_xlfn._xlws.FILTER($B23:$AF23, $B$2:$AF$2=AK$2))</f>
        <v>15.338387736263071</v>
      </c>
      <c r="AL23" s="9" cm="1">
        <f t="array" ref="AL23">MAX(_xlfn._xlws.FILTER($B23:$AF23, $B$2:$AF$2=AL$2))</f>
        <v>16.025181216991268</v>
      </c>
      <c r="AM23" s="9" cm="1">
        <f t="array" ref="AM23">MAX(_xlfn._xlws.FILTER($B23:$AF23, $B$2:$AF$2=AM$2))</f>
        <v>14.880525415777607</v>
      </c>
      <c r="AN23" s="9" cm="1">
        <f t="array" ref="AN23">MAX(_xlfn._xlws.FILTER($B23:$AF23, $B$2:$AF$2=AN$2))</f>
        <v>10.988695691651156</v>
      </c>
      <c r="AO23" s="9" cm="1">
        <f t="array" ref="AO23">MAX(_xlfn._xlws.FILTER($B23:$AF23, $B$2:$AF$2=AO$2))</f>
        <v>8.4704529289810999</v>
      </c>
    </row>
    <row r="24" spans="1:41" x14ac:dyDescent="0.25">
      <c r="A24" s="3" t="s">
        <v>29</v>
      </c>
      <c r="B24" s="7">
        <v>16.254112377234001</v>
      </c>
      <c r="C24" s="7">
        <v>16.711974697719466</v>
      </c>
      <c r="D24" s="7">
        <v>16.9409058579622</v>
      </c>
      <c r="E24" s="7">
        <v>12.820144973593015</v>
      </c>
      <c r="F24" s="7">
        <v>9.8440398904374948</v>
      </c>
      <c r="G24" s="7">
        <v>20.374873261603184</v>
      </c>
      <c r="H24" s="7">
        <v>19.001286300146788</v>
      </c>
      <c r="I24" s="7">
        <v>15.567318896505803</v>
      </c>
      <c r="J24" s="7">
        <v>16.254112377233998</v>
      </c>
      <c r="K24" s="7">
        <v>16.711974697719466</v>
      </c>
      <c r="L24" s="7">
        <v>12.591213813350281</v>
      </c>
      <c r="M24" s="7">
        <v>9.8440398904374931</v>
      </c>
      <c r="N24" s="7">
        <v>20.14594210136045</v>
      </c>
      <c r="O24" s="7">
        <v>19.001286300146791</v>
      </c>
      <c r="P24" s="7">
        <v>15.796250056748539</v>
      </c>
      <c r="Q24" s="7">
        <v>16.254112377234001</v>
      </c>
      <c r="R24" s="7">
        <v>16.9409058579622</v>
      </c>
      <c r="S24" s="7">
        <v>12.820144973593015</v>
      </c>
      <c r="T24" s="7">
        <v>10.072971050680225</v>
      </c>
      <c r="U24" s="7">
        <v>20.832735582088649</v>
      </c>
      <c r="V24" s="7">
        <v>19.688079780874986</v>
      </c>
      <c r="W24" s="7">
        <v>16.483043537476735</v>
      </c>
      <c r="X24" s="7">
        <v>17.16983701820493</v>
      </c>
      <c r="Y24" s="7">
        <v>17.856630498933129</v>
      </c>
      <c r="Z24" s="7">
        <v>13.506938454321213</v>
      </c>
      <c r="AA24" s="7">
        <v>10.759764531408424</v>
      </c>
      <c r="AB24" s="7">
        <v>22.206322543545042</v>
      </c>
      <c r="AC24" s="7">
        <v>21.29059790257411</v>
      </c>
      <c r="AD24" s="7">
        <v>17.627699338690395</v>
      </c>
      <c r="AE24" s="7">
        <v>18.543423979661323</v>
      </c>
      <c r="AF24" s="7"/>
      <c r="AI24" s="9" cm="1">
        <f t="array" ref="AI24">MAX(_xlfn._xlws.FILTER($D24:$AF24, $D$2:$AF$2=AI$2))</f>
        <v>22.206322543545042</v>
      </c>
      <c r="AJ24" s="9" cm="1">
        <f t="array" ref="AJ24">MAX(_xlfn._xlws.FILTER($B24:$AF24, $B$2:$AF$2=AJ$2))</f>
        <v>21.29059790257411</v>
      </c>
      <c r="AK24" s="9" cm="1">
        <f t="array" ref="AK24">MAX(_xlfn._xlws.FILTER($B24:$AF24, $B$2:$AF$2=AK$2))</f>
        <v>17.627699338690395</v>
      </c>
      <c r="AL24" s="9" cm="1">
        <f t="array" ref="AL24">MAX(_xlfn._xlws.FILTER($B24:$AF24, $B$2:$AF$2=AL$2))</f>
        <v>18.543423979661323</v>
      </c>
      <c r="AM24" s="9" cm="1">
        <f t="array" ref="AM24">MAX(_xlfn._xlws.FILTER($B24:$AF24, $B$2:$AF$2=AM$2))</f>
        <v>17.856630498933129</v>
      </c>
      <c r="AN24" s="9" cm="1">
        <f t="array" ref="AN24">MAX(_xlfn._xlws.FILTER($B24:$AF24, $B$2:$AF$2=AN$2))</f>
        <v>13.506938454321213</v>
      </c>
      <c r="AO24" s="9" cm="1">
        <f t="array" ref="AO24">MAX(_xlfn._xlws.FILTER($B24:$AF24, $B$2:$AF$2=AO$2))</f>
        <v>10.759764531408424</v>
      </c>
    </row>
    <row r="25" spans="1:41" x14ac:dyDescent="0.25">
      <c r="A25" s="3" t="s">
        <v>30</v>
      </c>
      <c r="B25" s="7">
        <v>18.085561659175859</v>
      </c>
      <c r="C25" s="7">
        <v>18.772355139904057</v>
      </c>
      <c r="D25" s="7">
        <v>18.772355139904057</v>
      </c>
      <c r="E25" s="7">
        <v>15.109456576020339</v>
      </c>
      <c r="F25" s="7">
        <v>11.446558012136622</v>
      </c>
      <c r="G25" s="7">
        <v>23.579909505001439</v>
      </c>
      <c r="H25" s="7">
        <v>21.29059790257411</v>
      </c>
      <c r="I25" s="7">
        <v>17.398768178447661</v>
      </c>
      <c r="J25" s="7">
        <v>18.085561659175859</v>
      </c>
      <c r="K25" s="7">
        <v>18.314492819418593</v>
      </c>
      <c r="L25" s="7">
        <v>14.880525415777605</v>
      </c>
      <c r="M25" s="7">
        <v>11.217626851893888</v>
      </c>
      <c r="N25" s="7">
        <v>23.350978344758701</v>
      </c>
      <c r="O25" s="7">
        <v>21.290597902574113</v>
      </c>
      <c r="P25" s="7">
        <v>17.398768178447668</v>
      </c>
      <c r="Q25" s="7">
        <v>18.314492819418593</v>
      </c>
      <c r="R25" s="7">
        <v>18.543423979661327</v>
      </c>
      <c r="S25" s="7">
        <v>15.109456576020339</v>
      </c>
      <c r="T25" s="7">
        <v>11.446558012136622</v>
      </c>
      <c r="U25" s="7">
        <v>24.037771825486903</v>
      </c>
      <c r="V25" s="7">
        <v>21.977391383302308</v>
      </c>
      <c r="W25" s="7">
        <v>18.085561659175863</v>
      </c>
      <c r="X25" s="7">
        <v>19.230217460389522</v>
      </c>
      <c r="Y25" s="7">
        <v>19.68807978087499</v>
      </c>
      <c r="Z25" s="7">
        <v>16.025181216991268</v>
      </c>
      <c r="AA25" s="7">
        <v>12.133351492864819</v>
      </c>
      <c r="AB25" s="7">
        <v>25.64028994718603</v>
      </c>
      <c r="AC25" s="7">
        <v>23.579909505001435</v>
      </c>
      <c r="AD25" s="7">
        <v>19.688079780874986</v>
      </c>
      <c r="AE25" s="7">
        <v>20.832735582088649</v>
      </c>
      <c r="AF25" s="7"/>
      <c r="AI25" s="9" cm="1">
        <f t="array" ref="AI25">MAX(_xlfn._xlws.FILTER($D25:$AF25, $D$2:$AF$2=AI$2))</f>
        <v>25.64028994718603</v>
      </c>
      <c r="AJ25" s="9" cm="1">
        <f t="array" ref="AJ25">MAX(_xlfn._xlws.FILTER($B25:$AF25, $B$2:$AF$2=AJ$2))</f>
        <v>23.579909505001435</v>
      </c>
      <c r="AK25" s="9" cm="1">
        <f t="array" ref="AK25">MAX(_xlfn._xlws.FILTER($B25:$AF25, $B$2:$AF$2=AK$2))</f>
        <v>19.688079780874986</v>
      </c>
      <c r="AL25" s="9" cm="1">
        <f t="array" ref="AL25">MAX(_xlfn._xlws.FILTER($B25:$AF25, $B$2:$AF$2=AL$2))</f>
        <v>20.832735582088649</v>
      </c>
      <c r="AM25" s="9" cm="1">
        <f t="array" ref="AM25">MAX(_xlfn._xlws.FILTER($B25:$AF25, $B$2:$AF$2=AM$2))</f>
        <v>19.68807978087499</v>
      </c>
      <c r="AN25" s="9" cm="1">
        <f t="array" ref="AN25">MAX(_xlfn._xlws.FILTER($B25:$AF25, $B$2:$AF$2=AN$2))</f>
        <v>16.025181216991268</v>
      </c>
      <c r="AO25" s="9" cm="1">
        <f t="array" ref="AO25">MAX(_xlfn._xlws.FILTER($B25:$AF25, $B$2:$AF$2=AO$2))</f>
        <v>12.133351492864819</v>
      </c>
    </row>
    <row r="26" spans="1:41" x14ac:dyDescent="0.25">
      <c r="A26" s="3" t="s">
        <v>31</v>
      </c>
      <c r="B26" s="7">
        <v>19.001286300146788</v>
      </c>
      <c r="C26" s="7">
        <v>19.68807978087499</v>
      </c>
      <c r="D26" s="7">
        <v>19.91701094111772</v>
      </c>
      <c r="E26" s="7">
        <v>16.483043537476732</v>
      </c>
      <c r="F26" s="7">
        <v>11.904420332622086</v>
      </c>
      <c r="G26" s="7">
        <v>25.182427626700569</v>
      </c>
      <c r="H26" s="7">
        <v>23.122047184515967</v>
      </c>
      <c r="I26" s="7">
        <v>18.314492819418593</v>
      </c>
      <c r="J26" s="7">
        <v>19.230217460389522</v>
      </c>
      <c r="K26" s="7">
        <v>19.459148620632256</v>
      </c>
      <c r="L26" s="7">
        <v>16.025181216991264</v>
      </c>
      <c r="M26" s="7">
        <v>11.904420332622085</v>
      </c>
      <c r="N26" s="7">
        <v>24.953496466457828</v>
      </c>
      <c r="O26" s="7">
        <v>23.122047184515971</v>
      </c>
      <c r="P26" s="7">
        <v>18.314492819418597</v>
      </c>
      <c r="Q26" s="7">
        <v>19.230217460389522</v>
      </c>
      <c r="R26" s="7">
        <v>19.68807978087499</v>
      </c>
      <c r="S26" s="7">
        <v>16.483043537476732</v>
      </c>
      <c r="T26" s="7">
        <v>12.133351492864819</v>
      </c>
      <c r="U26" s="7">
        <v>25.869221107428761</v>
      </c>
      <c r="V26" s="7">
        <v>23.808840665244169</v>
      </c>
      <c r="W26" s="7">
        <v>19.001286300146791</v>
      </c>
      <c r="X26" s="7">
        <v>20.145942101360454</v>
      </c>
      <c r="Y26" s="7">
        <v>20.603804421845918</v>
      </c>
      <c r="Z26" s="7">
        <v>17.398768178447664</v>
      </c>
      <c r="AA26" s="7">
        <v>12.820144973593017</v>
      </c>
      <c r="AB26" s="7">
        <v>27.471739229127888</v>
      </c>
      <c r="AC26" s="7">
        <v>25.64028994718603</v>
      </c>
      <c r="AD26" s="7">
        <v>20.603804421845918</v>
      </c>
      <c r="AE26" s="7">
        <v>21.977391383302312</v>
      </c>
      <c r="AF26" s="7"/>
      <c r="AI26" s="9" cm="1">
        <f t="array" ref="AI26">MAX(_xlfn._xlws.FILTER($D26:$AF26, $D$2:$AF$2=AI$2))</f>
        <v>27.471739229127888</v>
      </c>
      <c r="AJ26" s="9" cm="1">
        <f t="array" ref="AJ26">MAX(_xlfn._xlws.FILTER($B26:$AF26, $B$2:$AF$2=AJ$2))</f>
        <v>25.64028994718603</v>
      </c>
      <c r="AK26" s="9" cm="1">
        <f t="array" ref="AK26">MAX(_xlfn._xlws.FILTER($B26:$AF26, $B$2:$AF$2=AK$2))</f>
        <v>20.603804421845918</v>
      </c>
      <c r="AL26" s="9" cm="1">
        <f t="array" ref="AL26">MAX(_xlfn._xlws.FILTER($B26:$AF26, $B$2:$AF$2=AL$2))</f>
        <v>21.977391383302312</v>
      </c>
      <c r="AM26" s="9" cm="1">
        <f t="array" ref="AM26">MAX(_xlfn._xlws.FILTER($B26:$AF26, $B$2:$AF$2=AM$2))</f>
        <v>20.603804421845918</v>
      </c>
      <c r="AN26" s="9" cm="1">
        <f t="array" ref="AN26">MAX(_xlfn._xlws.FILTER($B26:$AF26, $B$2:$AF$2=AN$2))</f>
        <v>17.398768178447664</v>
      </c>
      <c r="AO26" s="9" cm="1">
        <f t="array" ref="AO26">MAX(_xlfn._xlws.FILTER($B26:$AF26, $B$2:$AF$2=AO$2))</f>
        <v>12.820144973593017</v>
      </c>
    </row>
    <row r="27" spans="1:41" x14ac:dyDescent="0.25">
      <c r="A27" s="3" t="s">
        <v>32</v>
      </c>
      <c r="B27" s="7">
        <v>20.145942101360454</v>
      </c>
      <c r="C27" s="7">
        <v>19.91701094111772</v>
      </c>
      <c r="D27" s="7">
        <v>20.603804421845918</v>
      </c>
      <c r="E27" s="7">
        <v>16.254112377234001</v>
      </c>
      <c r="F27" s="7">
        <v>12.362282653107551</v>
      </c>
      <c r="G27" s="7">
        <v>24.953496466457832</v>
      </c>
      <c r="H27" s="7">
        <v>24.266702985729633</v>
      </c>
      <c r="I27" s="7">
        <v>19.230217460389525</v>
      </c>
      <c r="J27" s="7">
        <v>19.230217460389522</v>
      </c>
      <c r="K27" s="7">
        <v>20.14594210136045</v>
      </c>
      <c r="L27" s="7">
        <v>15.796250056748534</v>
      </c>
      <c r="M27" s="7">
        <v>12.362282653107549</v>
      </c>
      <c r="N27" s="7">
        <v>24.953496466457828</v>
      </c>
      <c r="O27" s="7">
        <v>24.037771825486903</v>
      </c>
      <c r="P27" s="7">
        <v>19.459148620632256</v>
      </c>
      <c r="Q27" s="7">
        <v>19.459148620632252</v>
      </c>
      <c r="R27" s="7">
        <v>20.374873261603184</v>
      </c>
      <c r="S27" s="7">
        <v>16.254112377234001</v>
      </c>
      <c r="T27" s="7">
        <v>12.591213813350283</v>
      </c>
      <c r="U27" s="7">
        <v>25.640289947186034</v>
      </c>
      <c r="V27" s="7">
        <v>24.953496466457832</v>
      </c>
      <c r="W27" s="7">
        <v>20.145942101360454</v>
      </c>
      <c r="X27" s="7">
        <v>20.374873261603184</v>
      </c>
      <c r="Y27" s="7">
        <v>21.519529062816847</v>
      </c>
      <c r="Z27" s="7">
        <v>17.16983701820493</v>
      </c>
      <c r="AA27" s="7">
        <v>13.278007294078479</v>
      </c>
      <c r="AB27" s="7">
        <v>27.471739229127888</v>
      </c>
      <c r="AC27" s="7">
        <v>26.784945748399686</v>
      </c>
      <c r="AD27" s="7">
        <v>21.748460223059578</v>
      </c>
      <c r="AE27" s="7">
        <v>21.977391383302312</v>
      </c>
      <c r="AF27" s="7"/>
      <c r="AI27" s="9" cm="1">
        <f t="array" ref="AI27">MAX(_xlfn._xlws.FILTER($D27:$AF27, $D$2:$AF$2=AI$2))</f>
        <v>27.471739229127888</v>
      </c>
      <c r="AJ27" s="9" cm="1">
        <f t="array" ref="AJ27">MAX(_xlfn._xlws.FILTER($B27:$AF27, $B$2:$AF$2=AJ$2))</f>
        <v>26.784945748399686</v>
      </c>
      <c r="AK27" s="9" cm="1">
        <f t="array" ref="AK27">MAX(_xlfn._xlws.FILTER($B27:$AF27, $B$2:$AF$2=AK$2))</f>
        <v>21.748460223059578</v>
      </c>
      <c r="AL27" s="9" cm="1">
        <f t="array" ref="AL27">MAX(_xlfn._xlws.FILTER($B27:$AF27, $B$2:$AF$2=AL$2))</f>
        <v>21.977391383302312</v>
      </c>
      <c r="AM27" s="9" cm="1">
        <f t="array" ref="AM27">MAX(_xlfn._xlws.FILTER($B27:$AF27, $B$2:$AF$2=AM$2))</f>
        <v>21.519529062816847</v>
      </c>
      <c r="AN27" s="9" cm="1">
        <f t="array" ref="AN27">MAX(_xlfn._xlws.FILTER($B27:$AF27, $B$2:$AF$2=AN$2))</f>
        <v>17.16983701820493</v>
      </c>
      <c r="AO27" s="9" cm="1">
        <f t="array" ref="AO27">MAX(_xlfn._xlws.FILTER($B27:$AF27, $B$2:$AF$2=AO$2))</f>
        <v>13.278007294078479</v>
      </c>
    </row>
    <row r="28" spans="1:41" x14ac:dyDescent="0.25">
      <c r="A28" s="3" t="s">
        <v>33</v>
      </c>
      <c r="B28" s="7">
        <v>22.435253703787776</v>
      </c>
      <c r="C28" s="7">
        <v>19.459148620632256</v>
      </c>
      <c r="D28" s="7">
        <v>20.374873261603184</v>
      </c>
      <c r="E28" s="7">
        <v>16.483043537476732</v>
      </c>
      <c r="F28" s="7">
        <v>12.591213813350283</v>
      </c>
      <c r="G28" s="7">
        <v>24.953496466457832</v>
      </c>
      <c r="H28" s="7">
        <v>24.724565306215098</v>
      </c>
      <c r="I28" s="7">
        <v>21.519529062816847</v>
      </c>
      <c r="J28" s="7">
        <v>18.772355139904057</v>
      </c>
      <c r="K28" s="7">
        <v>19.91701094111772</v>
      </c>
      <c r="L28" s="7">
        <v>16.025181216991264</v>
      </c>
      <c r="M28" s="7">
        <v>12.591213813350283</v>
      </c>
      <c r="N28" s="7">
        <v>24.724565306215098</v>
      </c>
      <c r="O28" s="7">
        <v>24.724565306215101</v>
      </c>
      <c r="P28" s="7">
        <v>21.748460223059581</v>
      </c>
      <c r="Q28" s="7">
        <v>19.001286300146788</v>
      </c>
      <c r="R28" s="7">
        <v>20.14594210136045</v>
      </c>
      <c r="S28" s="7">
        <v>16.483043537476732</v>
      </c>
      <c r="T28" s="7">
        <v>12.820144973593015</v>
      </c>
      <c r="U28" s="7">
        <v>25.4113587869433</v>
      </c>
      <c r="V28" s="7">
        <v>25.64028994718603</v>
      </c>
      <c r="W28" s="7">
        <v>22.664184864030513</v>
      </c>
      <c r="X28" s="7">
        <v>19.91701094111772</v>
      </c>
      <c r="Y28" s="7">
        <v>21.290597902574113</v>
      </c>
      <c r="Z28" s="7">
        <v>17.398768178447664</v>
      </c>
      <c r="AA28" s="7">
        <v>13.735869614563944</v>
      </c>
      <c r="AB28" s="7">
        <v>27.242808068885154</v>
      </c>
      <c r="AC28" s="7">
        <v>27.471739229127888</v>
      </c>
      <c r="AD28" s="7">
        <v>24.266702985729633</v>
      </c>
      <c r="AE28" s="7">
        <v>21.519529062816847</v>
      </c>
      <c r="AF28" s="7"/>
      <c r="AI28" s="9" cm="1">
        <f t="array" ref="AI28">MAX(_xlfn._xlws.FILTER($D28:$AF28, $D$2:$AF$2=AI$2))</f>
        <v>27.242808068885154</v>
      </c>
      <c r="AJ28" s="9" cm="1">
        <f t="array" ref="AJ28">MAX(_xlfn._xlws.FILTER($B28:$AF28, $B$2:$AF$2=AJ$2))</f>
        <v>27.471739229127888</v>
      </c>
      <c r="AK28" s="9" cm="1">
        <f t="array" ref="AK28">MAX(_xlfn._xlws.FILTER($B28:$AF28, $B$2:$AF$2=AK$2))</f>
        <v>24.266702985729633</v>
      </c>
      <c r="AL28" s="9" cm="1">
        <f t="array" ref="AL28">MAX(_xlfn._xlws.FILTER($B28:$AF28, $B$2:$AF$2=AL$2))</f>
        <v>21.519529062816847</v>
      </c>
      <c r="AM28" s="9" cm="1">
        <f t="array" ref="AM28">MAX(_xlfn._xlws.FILTER($B28:$AF28, $B$2:$AF$2=AM$2))</f>
        <v>21.290597902574113</v>
      </c>
      <c r="AN28" s="9" cm="1">
        <f t="array" ref="AN28">MAX(_xlfn._xlws.FILTER($B28:$AF28, $B$2:$AF$2=AN$2))</f>
        <v>17.398768178447664</v>
      </c>
      <c r="AO28" s="9" cm="1">
        <f t="array" ref="AO28">MAX(_xlfn._xlws.FILTER($B28:$AF28, $B$2:$AF$2=AO$2))</f>
        <v>13.735869614563944</v>
      </c>
    </row>
    <row r="29" spans="1:41" x14ac:dyDescent="0.25">
      <c r="A29" s="3" t="s">
        <v>34</v>
      </c>
      <c r="B29" s="7">
        <v>24.724565306215098</v>
      </c>
      <c r="C29" s="7">
        <v>21.290597902574113</v>
      </c>
      <c r="D29" s="7">
        <v>21.061666742331383</v>
      </c>
      <c r="E29" s="7">
        <v>18.085561659175859</v>
      </c>
      <c r="F29" s="7">
        <v>14.422663095292142</v>
      </c>
      <c r="G29" s="7">
        <v>27.700670389370625</v>
      </c>
      <c r="H29" s="7">
        <v>25.640289947186027</v>
      </c>
      <c r="I29" s="7">
        <v>24.037771825486903</v>
      </c>
      <c r="J29" s="7">
        <v>20.603804421845915</v>
      </c>
      <c r="K29" s="7">
        <v>20.374873261603184</v>
      </c>
      <c r="L29" s="7">
        <v>17.627699338690395</v>
      </c>
      <c r="M29" s="7">
        <v>14.19373193504941</v>
      </c>
      <c r="N29" s="7">
        <v>27.471739229127884</v>
      </c>
      <c r="O29" s="7">
        <v>25.411358786943296</v>
      </c>
      <c r="P29" s="7">
        <v>24.037771825486907</v>
      </c>
      <c r="Q29" s="7">
        <v>20.832735582088649</v>
      </c>
      <c r="R29" s="7">
        <v>20.832735582088649</v>
      </c>
      <c r="S29" s="7">
        <v>18.085561659175859</v>
      </c>
      <c r="T29" s="7">
        <v>14.422663095292142</v>
      </c>
      <c r="U29" s="7">
        <v>28.387463870098824</v>
      </c>
      <c r="V29" s="7">
        <v>26.327083427914225</v>
      </c>
      <c r="W29" s="7">
        <v>24.953496466457835</v>
      </c>
      <c r="X29" s="7">
        <v>21.748460223059578</v>
      </c>
      <c r="Y29" s="7">
        <v>21.748460223059578</v>
      </c>
      <c r="Z29" s="7">
        <v>19.001286300146791</v>
      </c>
      <c r="AA29" s="7">
        <v>15.338387736263073</v>
      </c>
      <c r="AB29" s="7">
        <v>30.218913152040674</v>
      </c>
      <c r="AC29" s="7">
        <v>28.387463870098816</v>
      </c>
      <c r="AD29" s="7">
        <v>27.013876908642423</v>
      </c>
      <c r="AE29" s="7">
        <v>23.579909505001439</v>
      </c>
      <c r="AF29" s="7"/>
      <c r="AI29" s="9" cm="1">
        <f t="array" ref="AI29">MAX(_xlfn._xlws.FILTER($D29:$AF29, $D$2:$AF$2=AI$2))</f>
        <v>30.218913152040674</v>
      </c>
      <c r="AJ29" s="9" cm="1">
        <f t="array" ref="AJ29">MAX(_xlfn._xlws.FILTER($B29:$AF29, $B$2:$AF$2=AJ$2))</f>
        <v>28.387463870098816</v>
      </c>
      <c r="AK29" s="9" cm="1">
        <f t="array" ref="AK29">MAX(_xlfn._xlws.FILTER($B29:$AF29, $B$2:$AF$2=AK$2))</f>
        <v>27.013876908642423</v>
      </c>
      <c r="AL29" s="9" cm="1">
        <f t="array" ref="AL29">MAX(_xlfn._xlws.FILTER($B29:$AF29, $B$2:$AF$2=AL$2))</f>
        <v>23.579909505001439</v>
      </c>
      <c r="AM29" s="9" cm="1">
        <f t="array" ref="AM29">MAX(_xlfn._xlws.FILTER($B29:$AF29, $B$2:$AF$2=AM$2))</f>
        <v>21.748460223059578</v>
      </c>
      <c r="AN29" s="9" cm="1">
        <f t="array" ref="AN29">MAX(_xlfn._xlws.FILTER($B29:$AF29, $B$2:$AF$2=AN$2))</f>
        <v>19.001286300146791</v>
      </c>
      <c r="AO29" s="9" cm="1">
        <f t="array" ref="AO29">MAX(_xlfn._xlws.FILTER($B29:$AF29, $B$2:$AF$2=AO$2))</f>
        <v>15.338387736263073</v>
      </c>
    </row>
    <row r="30" spans="1:41" x14ac:dyDescent="0.25">
      <c r="A30" s="3" t="s">
        <v>35</v>
      </c>
      <c r="B30" s="7">
        <v>25.869221107428761</v>
      </c>
      <c r="C30" s="7">
        <v>24.037771825486903</v>
      </c>
      <c r="D30" s="7">
        <v>23.122047184515974</v>
      </c>
      <c r="E30" s="7">
        <v>19.459148620632256</v>
      </c>
      <c r="F30" s="7">
        <v>16.254112377234001</v>
      </c>
      <c r="G30" s="7">
        <v>30.905706632768876</v>
      </c>
      <c r="H30" s="7">
        <v>26.098152267671491</v>
      </c>
      <c r="I30" s="7">
        <v>24.953496466457832</v>
      </c>
      <c r="J30" s="7">
        <v>23.350978344758705</v>
      </c>
      <c r="K30" s="7">
        <v>22.435253703787776</v>
      </c>
      <c r="L30" s="7">
        <v>19.001286300146788</v>
      </c>
      <c r="M30" s="7">
        <v>16.025181216991268</v>
      </c>
      <c r="N30" s="7">
        <v>30.676775472526138</v>
      </c>
      <c r="O30" s="7">
        <v>26.098152267671495</v>
      </c>
      <c r="P30" s="7">
        <v>25.182427626700569</v>
      </c>
      <c r="Q30" s="7">
        <v>23.579909505001435</v>
      </c>
      <c r="R30" s="7">
        <v>22.89311602427324</v>
      </c>
      <c r="S30" s="7">
        <v>19.459148620632256</v>
      </c>
      <c r="T30" s="7">
        <v>16.254112377234001</v>
      </c>
      <c r="U30" s="7">
        <v>31.592500113497074</v>
      </c>
      <c r="V30" s="7">
        <v>27.013876908642423</v>
      </c>
      <c r="W30" s="7">
        <v>26.098152267671498</v>
      </c>
      <c r="X30" s="7">
        <v>24.724565306215101</v>
      </c>
      <c r="Y30" s="7">
        <v>24.037771825486903</v>
      </c>
      <c r="Z30" s="7">
        <v>20.603804421845918</v>
      </c>
      <c r="AA30" s="7">
        <v>17.398768178447664</v>
      </c>
      <c r="AB30" s="7">
        <v>33.881811715924393</v>
      </c>
      <c r="AC30" s="7">
        <v>29.074257350827011</v>
      </c>
      <c r="AD30" s="7">
        <v>28.158532709856086</v>
      </c>
      <c r="AE30" s="7">
        <v>26.784945748399689</v>
      </c>
      <c r="AF30" s="7"/>
      <c r="AI30" s="9" cm="1">
        <f t="array" ref="AI30">MAX(_xlfn._xlws.FILTER($D30:$AF30, $D$2:$AF$2=AI$2))</f>
        <v>33.881811715924393</v>
      </c>
      <c r="AJ30" s="9" cm="1">
        <f t="array" ref="AJ30">MAX(_xlfn._xlws.FILTER($B30:$AF30, $B$2:$AF$2=AJ$2))</f>
        <v>29.074257350827011</v>
      </c>
      <c r="AK30" s="9" cm="1">
        <f t="array" ref="AK30">MAX(_xlfn._xlws.FILTER($B30:$AF30, $B$2:$AF$2=AK$2))</f>
        <v>28.158532709856086</v>
      </c>
      <c r="AL30" s="9" cm="1">
        <f t="array" ref="AL30">MAX(_xlfn._xlws.FILTER($B30:$AF30, $B$2:$AF$2=AL$2))</f>
        <v>26.784945748399689</v>
      </c>
      <c r="AM30" s="9" cm="1">
        <f t="array" ref="AM30">MAX(_xlfn._xlws.FILTER($B30:$AF30, $B$2:$AF$2=AM$2))</f>
        <v>24.037771825486903</v>
      </c>
      <c r="AN30" s="9" cm="1">
        <f t="array" ref="AN30">MAX(_xlfn._xlws.FILTER($B30:$AF30, $B$2:$AF$2=AN$2))</f>
        <v>20.603804421845918</v>
      </c>
      <c r="AO30" s="9" cm="1">
        <f t="array" ref="AO30">MAX(_xlfn._xlws.FILTER($B30:$AF30, $B$2:$AF$2=AO$2))</f>
        <v>17.398768178447664</v>
      </c>
    </row>
    <row r="31" spans="1:41" x14ac:dyDescent="0.25">
      <c r="A31" s="3" t="s">
        <v>36</v>
      </c>
      <c r="B31" s="7">
        <v>25.411358786943296</v>
      </c>
      <c r="C31" s="7">
        <v>24.266702985729637</v>
      </c>
      <c r="D31" s="7">
        <v>23.579909505001439</v>
      </c>
      <c r="E31" s="7">
        <v>19.688079780874986</v>
      </c>
      <c r="F31" s="7">
        <v>16.025181216991271</v>
      </c>
      <c r="G31" s="7">
        <v>31.592500113497074</v>
      </c>
      <c r="H31" s="7">
        <v>25.869221107428757</v>
      </c>
      <c r="I31" s="7">
        <v>24.495634145972367</v>
      </c>
      <c r="J31" s="7">
        <v>23.579909505001439</v>
      </c>
      <c r="K31" s="7">
        <v>22.89311602427324</v>
      </c>
      <c r="L31" s="7">
        <v>19.459148620632252</v>
      </c>
      <c r="M31" s="7">
        <v>15.796250056748537</v>
      </c>
      <c r="N31" s="7">
        <v>31.363568953254333</v>
      </c>
      <c r="O31" s="7">
        <v>25.869221107428764</v>
      </c>
      <c r="P31" s="7">
        <v>24.495634145972371</v>
      </c>
      <c r="Q31" s="7">
        <v>23.808840665244169</v>
      </c>
      <c r="R31" s="7">
        <v>23.350978344758705</v>
      </c>
      <c r="S31" s="7">
        <v>19.688079780874986</v>
      </c>
      <c r="T31" s="7">
        <v>16.254112377234001</v>
      </c>
      <c r="U31" s="7">
        <v>32.279293594225273</v>
      </c>
      <c r="V31" s="7">
        <v>26.784945748399689</v>
      </c>
      <c r="W31" s="7">
        <v>25.64028994718603</v>
      </c>
      <c r="X31" s="7">
        <v>24.953496466457835</v>
      </c>
      <c r="Y31" s="7">
        <v>24.495634145972367</v>
      </c>
      <c r="Z31" s="7">
        <v>20.832735582088649</v>
      </c>
      <c r="AA31" s="7">
        <v>17.16983701820493</v>
      </c>
      <c r="AB31" s="7">
        <v>34.568605196652591</v>
      </c>
      <c r="AC31" s="7">
        <v>28.616395030341547</v>
      </c>
      <c r="AD31" s="7">
        <v>27.700670389370622</v>
      </c>
      <c r="AE31" s="7">
        <v>27.013876908642427</v>
      </c>
      <c r="AF31" s="7"/>
      <c r="AI31" s="9" cm="1">
        <f t="array" ref="AI31">MAX(_xlfn._xlws.FILTER($D31:$AF31, $D$2:$AF$2=AI$2))</f>
        <v>34.568605196652591</v>
      </c>
      <c r="AJ31" s="9" cm="1">
        <f t="array" ref="AJ31">MAX(_xlfn._xlws.FILTER($B31:$AF31, $B$2:$AF$2=AJ$2))</f>
        <v>28.616395030341547</v>
      </c>
      <c r="AK31" s="9" cm="1">
        <f t="array" ref="AK31">MAX(_xlfn._xlws.FILTER($B31:$AF31, $B$2:$AF$2=AK$2))</f>
        <v>27.700670389370622</v>
      </c>
      <c r="AL31" s="9" cm="1">
        <f t="array" ref="AL31">MAX(_xlfn._xlws.FILTER($B31:$AF31, $B$2:$AF$2=AL$2))</f>
        <v>27.013876908642427</v>
      </c>
      <c r="AM31" s="9" cm="1">
        <f t="array" ref="AM31">MAX(_xlfn._xlws.FILTER($B31:$AF31, $B$2:$AF$2=AM$2))</f>
        <v>24.495634145972367</v>
      </c>
      <c r="AN31" s="9" cm="1">
        <f t="array" ref="AN31">MAX(_xlfn._xlws.FILTER($B31:$AF31, $B$2:$AF$2=AN$2))</f>
        <v>20.832735582088649</v>
      </c>
      <c r="AO31" s="9" cm="1">
        <f t="array" ref="AO31">MAX(_xlfn._xlws.FILTER($B31:$AF31, $B$2:$AF$2=AO$2))</f>
        <v>17.16983701820493</v>
      </c>
    </row>
    <row r="32" spans="1:41" x14ac:dyDescent="0.25">
      <c r="A32" s="3" t="s">
        <v>37</v>
      </c>
      <c r="B32" s="7">
        <v>23.808840665244169</v>
      </c>
      <c r="C32" s="7">
        <v>22.66418486403051</v>
      </c>
      <c r="D32" s="7">
        <v>22.66418486403051</v>
      </c>
      <c r="E32" s="7">
        <v>18.543423979661323</v>
      </c>
      <c r="F32" s="7">
        <v>14.880525415777608</v>
      </c>
      <c r="G32" s="7">
        <v>30.676775472526145</v>
      </c>
      <c r="H32" s="7">
        <v>24.724565306215098</v>
      </c>
      <c r="I32" s="7">
        <v>23.122047184515974</v>
      </c>
      <c r="J32" s="7">
        <v>21.977391383302312</v>
      </c>
      <c r="K32" s="7">
        <v>21.977391383302312</v>
      </c>
      <c r="L32" s="7">
        <v>18.085561659175859</v>
      </c>
      <c r="M32" s="7">
        <v>14.651594255534874</v>
      </c>
      <c r="N32" s="7">
        <v>30.447844312283408</v>
      </c>
      <c r="O32" s="7">
        <v>24.495634145972367</v>
      </c>
      <c r="P32" s="7">
        <v>23.122047184515974</v>
      </c>
      <c r="Q32" s="7">
        <v>22.206322543545038</v>
      </c>
      <c r="R32" s="7">
        <v>22.43525370378778</v>
      </c>
      <c r="S32" s="7">
        <v>18.543423979661323</v>
      </c>
      <c r="T32" s="7">
        <v>15.109456576020339</v>
      </c>
      <c r="U32" s="7">
        <v>31.36356895325434</v>
      </c>
      <c r="V32" s="7">
        <v>25.411358786943296</v>
      </c>
      <c r="W32" s="7">
        <v>24.037771825486907</v>
      </c>
      <c r="X32" s="7">
        <v>23.350978344758705</v>
      </c>
      <c r="Y32" s="7">
        <v>23.579909505001439</v>
      </c>
      <c r="Z32" s="7">
        <v>19.688079780874986</v>
      </c>
      <c r="AA32" s="7">
        <v>16.025181216991268</v>
      </c>
      <c r="AB32" s="7">
        <v>33.423949395438932</v>
      </c>
      <c r="AC32" s="7">
        <v>27.242808068885154</v>
      </c>
      <c r="AD32" s="7">
        <v>25.869221107428764</v>
      </c>
      <c r="AE32" s="7">
        <v>25.182427626700566</v>
      </c>
      <c r="AF32" s="7"/>
      <c r="AI32" s="9" cm="1">
        <f t="array" ref="AI32">MAX(_xlfn._xlws.FILTER($D32:$AF32, $D$2:$AF$2=AI$2))</f>
        <v>33.423949395438932</v>
      </c>
      <c r="AJ32" s="9" cm="1">
        <f t="array" ref="AJ32">MAX(_xlfn._xlws.FILTER($B32:$AF32, $B$2:$AF$2=AJ$2))</f>
        <v>27.242808068885154</v>
      </c>
      <c r="AK32" s="9" cm="1">
        <f t="array" ref="AK32">MAX(_xlfn._xlws.FILTER($B32:$AF32, $B$2:$AF$2=AK$2))</f>
        <v>25.869221107428764</v>
      </c>
      <c r="AL32" s="9" cm="1">
        <f t="array" ref="AL32">MAX(_xlfn._xlws.FILTER($B32:$AF32, $B$2:$AF$2=AL$2))</f>
        <v>25.182427626700566</v>
      </c>
      <c r="AM32" s="9" cm="1">
        <f t="array" ref="AM32">MAX(_xlfn._xlws.FILTER($B32:$AF32, $B$2:$AF$2=AM$2))</f>
        <v>23.579909505001439</v>
      </c>
      <c r="AN32" s="9" cm="1">
        <f t="array" ref="AN32">MAX(_xlfn._xlws.FILTER($B32:$AF32, $B$2:$AF$2=AN$2))</f>
        <v>19.688079780874986</v>
      </c>
      <c r="AO32" s="9" cm="1">
        <f t="array" ref="AO32">MAX(_xlfn._xlws.FILTER($B32:$AF32, $B$2:$AF$2=AO$2))</f>
        <v>16.025181216991268</v>
      </c>
    </row>
    <row r="33" spans="1:41" x14ac:dyDescent="0.25">
      <c r="A33" s="3" t="s">
        <v>38</v>
      </c>
      <c r="B33" s="7">
        <v>23.350978344758708</v>
      </c>
      <c r="C33" s="7">
        <v>21.290597902574113</v>
      </c>
      <c r="D33" s="7">
        <v>21.748460223059578</v>
      </c>
      <c r="E33" s="7">
        <v>17.16983701820493</v>
      </c>
      <c r="F33" s="7">
        <v>14.651594255534876</v>
      </c>
      <c r="G33" s="7">
        <v>29.074257350827018</v>
      </c>
      <c r="H33" s="7">
        <v>23.808840665244169</v>
      </c>
      <c r="I33" s="7">
        <v>22.435253703787776</v>
      </c>
      <c r="J33" s="7">
        <v>20.603804421845915</v>
      </c>
      <c r="K33" s="7">
        <v>21.061666742331383</v>
      </c>
      <c r="L33" s="7">
        <v>16.711974697719462</v>
      </c>
      <c r="M33" s="7">
        <v>14.422663095292142</v>
      </c>
      <c r="N33" s="7">
        <v>28.845326190584277</v>
      </c>
      <c r="O33" s="7">
        <v>23.808840665244173</v>
      </c>
      <c r="P33" s="7">
        <v>22.43525370378778</v>
      </c>
      <c r="Q33" s="7">
        <v>20.832735582088649</v>
      </c>
      <c r="R33" s="7">
        <v>21.519529062816847</v>
      </c>
      <c r="S33" s="7">
        <v>17.16983701820493</v>
      </c>
      <c r="T33" s="7">
        <v>14.880525415777607</v>
      </c>
      <c r="U33" s="7">
        <v>29.761050831555217</v>
      </c>
      <c r="V33" s="7">
        <v>24.724565306215098</v>
      </c>
      <c r="W33" s="7">
        <v>23.579909505001442</v>
      </c>
      <c r="X33" s="7">
        <v>21.748460223059578</v>
      </c>
      <c r="Y33" s="7">
        <v>22.66418486403051</v>
      </c>
      <c r="Z33" s="7">
        <v>18.085561659175859</v>
      </c>
      <c r="AA33" s="7">
        <v>15.796250056748539</v>
      </c>
      <c r="AB33" s="7">
        <v>31.821431273739805</v>
      </c>
      <c r="AC33" s="7">
        <v>26.327083427914225</v>
      </c>
      <c r="AD33" s="7">
        <v>25.411358786943296</v>
      </c>
      <c r="AE33" s="7">
        <v>23.579909505001439</v>
      </c>
      <c r="AF33" s="7"/>
      <c r="AI33" s="9" cm="1">
        <f t="array" ref="AI33">MAX(_xlfn._xlws.FILTER($D33:$AF33, $D$2:$AF$2=AI$2))</f>
        <v>31.821431273739805</v>
      </c>
      <c r="AJ33" s="9" cm="1">
        <f t="array" ref="AJ33">MAX(_xlfn._xlws.FILTER($B33:$AF33, $B$2:$AF$2=AJ$2))</f>
        <v>26.327083427914225</v>
      </c>
      <c r="AK33" s="9" cm="1">
        <f t="array" ref="AK33">MAX(_xlfn._xlws.FILTER($B33:$AF33, $B$2:$AF$2=AK$2))</f>
        <v>25.411358786943296</v>
      </c>
      <c r="AL33" s="9" cm="1">
        <f t="array" ref="AL33">MAX(_xlfn._xlws.FILTER($B33:$AF33, $B$2:$AF$2=AL$2))</f>
        <v>23.579909505001439</v>
      </c>
      <c r="AM33" s="9" cm="1">
        <f t="array" ref="AM33">MAX(_xlfn._xlws.FILTER($B33:$AF33, $B$2:$AF$2=AM$2))</f>
        <v>22.66418486403051</v>
      </c>
      <c r="AN33" s="9" cm="1">
        <f t="array" ref="AN33">MAX(_xlfn._xlws.FILTER($B33:$AF33, $B$2:$AF$2=AN$2))</f>
        <v>18.085561659175859</v>
      </c>
      <c r="AO33" s="9" cm="1">
        <f t="array" ref="AO33">MAX(_xlfn._xlws.FILTER($B33:$AF33, $B$2:$AF$2=AO$2))</f>
        <v>15.796250056748539</v>
      </c>
    </row>
    <row r="34" spans="1:41" x14ac:dyDescent="0.25">
      <c r="A34" s="3" t="s">
        <v>39</v>
      </c>
      <c r="B34" s="7">
        <v>24.037771825486903</v>
      </c>
      <c r="C34" s="7">
        <v>21.748460223059578</v>
      </c>
      <c r="D34" s="7">
        <v>21.519529062816847</v>
      </c>
      <c r="E34" s="7">
        <v>16.940905857962196</v>
      </c>
      <c r="F34" s="7">
        <v>15.109456576020339</v>
      </c>
      <c r="G34" s="7">
        <v>28.845326190584284</v>
      </c>
      <c r="H34" s="7">
        <v>24.266702985729633</v>
      </c>
      <c r="I34" s="7">
        <v>23.122047184515974</v>
      </c>
      <c r="J34" s="7">
        <v>21.061666742331379</v>
      </c>
      <c r="K34" s="7">
        <v>20.832735582088649</v>
      </c>
      <c r="L34" s="7">
        <v>16.483043537476732</v>
      </c>
      <c r="M34" s="7">
        <v>14.880525415777605</v>
      </c>
      <c r="N34" s="7">
        <v>28.616395030341547</v>
      </c>
      <c r="O34" s="7">
        <v>24.037771825486903</v>
      </c>
      <c r="P34" s="7">
        <v>23.122047184515974</v>
      </c>
      <c r="Q34" s="7">
        <v>21.290597902574113</v>
      </c>
      <c r="R34" s="7">
        <v>21.290597902574117</v>
      </c>
      <c r="S34" s="7">
        <v>16.940905857962196</v>
      </c>
      <c r="T34" s="7">
        <v>15.338387736263073</v>
      </c>
      <c r="U34" s="7">
        <v>29.532119671312483</v>
      </c>
      <c r="V34" s="7">
        <v>24.953496466457832</v>
      </c>
      <c r="W34" s="7">
        <v>24.266702985729637</v>
      </c>
      <c r="X34" s="7">
        <v>22.206322543545046</v>
      </c>
      <c r="Y34" s="7">
        <v>22.435253703787776</v>
      </c>
      <c r="Z34" s="7">
        <v>17.856630498933129</v>
      </c>
      <c r="AA34" s="7">
        <v>16.254112377234001</v>
      </c>
      <c r="AB34" s="7">
        <v>31.592500113497074</v>
      </c>
      <c r="AC34" s="7">
        <v>26.784945748399686</v>
      </c>
      <c r="AD34" s="7">
        <v>26.098152267671495</v>
      </c>
      <c r="AE34" s="7">
        <v>24.037771825486903</v>
      </c>
      <c r="AF34" s="7"/>
      <c r="AI34" s="9" cm="1">
        <f t="array" ref="AI34">MAX(_xlfn._xlws.FILTER($D34:$AF34, $D$2:$AF$2=AI$2))</f>
        <v>31.592500113497074</v>
      </c>
      <c r="AJ34" s="9" cm="1">
        <f t="array" ref="AJ34">MAX(_xlfn._xlws.FILTER($B34:$AF34, $B$2:$AF$2=AJ$2))</f>
        <v>26.784945748399686</v>
      </c>
      <c r="AK34" s="9" cm="1">
        <f t="array" ref="AK34">MAX(_xlfn._xlws.FILTER($B34:$AF34, $B$2:$AF$2=AK$2))</f>
        <v>26.098152267671495</v>
      </c>
      <c r="AL34" s="9" cm="1">
        <f t="array" ref="AL34">MAX(_xlfn._xlws.FILTER($B34:$AF34, $B$2:$AF$2=AL$2))</f>
        <v>24.037771825486903</v>
      </c>
      <c r="AM34" s="9" cm="1">
        <f t="array" ref="AM34">MAX(_xlfn._xlws.FILTER($B34:$AF34, $B$2:$AF$2=AM$2))</f>
        <v>22.435253703787776</v>
      </c>
      <c r="AN34" s="9" cm="1">
        <f t="array" ref="AN34">MAX(_xlfn._xlws.FILTER($B34:$AF34, $B$2:$AF$2=AN$2))</f>
        <v>17.856630498933129</v>
      </c>
      <c r="AO34" s="9" cm="1">
        <f t="array" ref="AO34">MAX(_xlfn._xlws.FILTER($B34:$AF34, $B$2:$AF$2=AO$2))</f>
        <v>16.254112377234001</v>
      </c>
    </row>
    <row r="35" spans="1:41" x14ac:dyDescent="0.25">
      <c r="A35" s="3" t="s">
        <v>40</v>
      </c>
      <c r="B35" s="7">
        <v>24.037771825486903</v>
      </c>
      <c r="C35" s="7">
        <v>22.66418486403051</v>
      </c>
      <c r="D35" s="7">
        <v>22.206322543545046</v>
      </c>
      <c r="E35" s="7">
        <v>17.398768178447664</v>
      </c>
      <c r="F35" s="7">
        <v>16.254112377234001</v>
      </c>
      <c r="G35" s="7">
        <v>29.761050831555217</v>
      </c>
      <c r="H35" s="7">
        <v>24.953496466457828</v>
      </c>
      <c r="I35" s="7">
        <v>23.122047184515974</v>
      </c>
      <c r="J35" s="7">
        <v>21.977391383302312</v>
      </c>
      <c r="K35" s="7">
        <v>21.519529062816847</v>
      </c>
      <c r="L35" s="7">
        <v>17.169837018204927</v>
      </c>
      <c r="M35" s="7">
        <v>15.796250056748537</v>
      </c>
      <c r="N35" s="7">
        <v>29.532119671312476</v>
      </c>
      <c r="O35" s="7">
        <v>24.953496466457832</v>
      </c>
      <c r="P35" s="7">
        <v>23.350978344758708</v>
      </c>
      <c r="Q35" s="7">
        <v>21.977391383302308</v>
      </c>
      <c r="R35" s="7">
        <v>21.977391383302312</v>
      </c>
      <c r="S35" s="7">
        <v>17.398768178447664</v>
      </c>
      <c r="T35" s="7">
        <v>16.254112377234001</v>
      </c>
      <c r="U35" s="7">
        <v>30.447844312283415</v>
      </c>
      <c r="V35" s="7">
        <v>25.869221107428761</v>
      </c>
      <c r="W35" s="7">
        <v>24.266702985729637</v>
      </c>
      <c r="X35" s="7">
        <v>23.122047184515974</v>
      </c>
      <c r="Y35" s="7">
        <v>23.122047184515974</v>
      </c>
      <c r="Z35" s="7">
        <v>18.543423979661323</v>
      </c>
      <c r="AA35" s="7">
        <v>17.398768178447664</v>
      </c>
      <c r="AB35" s="7">
        <v>32.508224754468003</v>
      </c>
      <c r="AC35" s="7">
        <v>27.700670389370618</v>
      </c>
      <c r="AD35" s="7">
        <v>26.098152267671495</v>
      </c>
      <c r="AE35" s="7">
        <v>24.953496466457832</v>
      </c>
      <c r="AF35" s="7"/>
      <c r="AI35" s="9" cm="1">
        <f t="array" ref="AI35">MAX(_xlfn._xlws.FILTER($D35:$AF35, $D$2:$AF$2=AI$2))</f>
        <v>32.508224754468003</v>
      </c>
      <c r="AJ35" s="9" cm="1">
        <f t="array" ref="AJ35">MAX(_xlfn._xlws.FILTER($B35:$AF35, $B$2:$AF$2=AJ$2))</f>
        <v>27.700670389370618</v>
      </c>
      <c r="AK35" s="9" cm="1">
        <f t="array" ref="AK35">MAX(_xlfn._xlws.FILTER($B35:$AF35, $B$2:$AF$2=AK$2))</f>
        <v>26.098152267671495</v>
      </c>
      <c r="AL35" s="9" cm="1">
        <f t="array" ref="AL35">MAX(_xlfn._xlws.FILTER($B35:$AF35, $B$2:$AF$2=AL$2))</f>
        <v>24.953496466457832</v>
      </c>
      <c r="AM35" s="9" cm="1">
        <f t="array" ref="AM35">MAX(_xlfn._xlws.FILTER($B35:$AF35, $B$2:$AF$2=AM$2))</f>
        <v>23.122047184515974</v>
      </c>
      <c r="AN35" s="9" cm="1">
        <f t="array" ref="AN35">MAX(_xlfn._xlws.FILTER($B35:$AF35, $B$2:$AF$2=AN$2))</f>
        <v>18.543423979661323</v>
      </c>
      <c r="AO35" s="9" cm="1">
        <f t="array" ref="AO35">MAX(_xlfn._xlws.FILTER($B35:$AF35, $B$2:$AF$2=AO$2))</f>
        <v>17.398768178447664</v>
      </c>
    </row>
    <row r="36" spans="1:41" x14ac:dyDescent="0.25">
      <c r="A36" s="3" t="s">
        <v>41</v>
      </c>
      <c r="B36" s="7">
        <v>23.579909505001439</v>
      </c>
      <c r="C36" s="7">
        <v>21.748460223059578</v>
      </c>
      <c r="D36" s="7">
        <v>22.206322543545046</v>
      </c>
      <c r="E36" s="7">
        <v>17.16983701820493</v>
      </c>
      <c r="F36" s="7">
        <v>16.025181216991271</v>
      </c>
      <c r="G36" s="7">
        <v>28.38746387009882</v>
      </c>
      <c r="H36" s="7">
        <v>24.953496466457828</v>
      </c>
      <c r="I36" s="7">
        <v>22.664184864030506</v>
      </c>
      <c r="J36" s="7">
        <v>21.061666742331379</v>
      </c>
      <c r="K36" s="7">
        <v>21.748460223059578</v>
      </c>
      <c r="L36" s="7">
        <v>16.940905857962196</v>
      </c>
      <c r="M36" s="7">
        <v>15.796250056748537</v>
      </c>
      <c r="N36" s="7">
        <v>28.158532709856082</v>
      </c>
      <c r="O36" s="7">
        <v>24.953496466457832</v>
      </c>
      <c r="P36" s="7">
        <v>22.66418486403051</v>
      </c>
      <c r="Q36" s="7">
        <v>21.290597902574113</v>
      </c>
      <c r="R36" s="7">
        <v>21.977391383302312</v>
      </c>
      <c r="S36" s="7">
        <v>17.16983701820493</v>
      </c>
      <c r="T36" s="7">
        <v>16.254112377234001</v>
      </c>
      <c r="U36" s="7">
        <v>29.074257350827018</v>
      </c>
      <c r="V36" s="7">
        <v>25.869221107428761</v>
      </c>
      <c r="W36" s="7">
        <v>23.808840665244173</v>
      </c>
      <c r="X36" s="7">
        <v>22.435253703787776</v>
      </c>
      <c r="Y36" s="7">
        <v>23.122047184515974</v>
      </c>
      <c r="Z36" s="7">
        <v>18.314492819418593</v>
      </c>
      <c r="AA36" s="7">
        <v>17.16983701820493</v>
      </c>
      <c r="AB36" s="7">
        <v>31.134637793011606</v>
      </c>
      <c r="AC36" s="7">
        <v>27.700670389370618</v>
      </c>
      <c r="AD36" s="7">
        <v>25.64028994718603</v>
      </c>
      <c r="AE36" s="7">
        <v>24.266702985729633</v>
      </c>
      <c r="AF36" s="7"/>
      <c r="AI36" s="9" cm="1">
        <f t="array" ref="AI36">MAX(_xlfn._xlws.FILTER($D36:$AF36, $D$2:$AF$2=AI$2))</f>
        <v>31.134637793011606</v>
      </c>
      <c r="AJ36" s="9" cm="1">
        <f t="array" ref="AJ36">MAX(_xlfn._xlws.FILTER($B36:$AF36, $B$2:$AF$2=AJ$2))</f>
        <v>27.700670389370618</v>
      </c>
      <c r="AK36" s="9" cm="1">
        <f t="array" ref="AK36">MAX(_xlfn._xlws.FILTER($B36:$AF36, $B$2:$AF$2=AK$2))</f>
        <v>25.64028994718603</v>
      </c>
      <c r="AL36" s="9" cm="1">
        <f t="array" ref="AL36">MAX(_xlfn._xlws.FILTER($B36:$AF36, $B$2:$AF$2=AL$2))</f>
        <v>24.266702985729633</v>
      </c>
      <c r="AM36" s="9" cm="1">
        <f t="array" ref="AM36">MAX(_xlfn._xlws.FILTER($B36:$AF36, $B$2:$AF$2=AM$2))</f>
        <v>23.122047184515974</v>
      </c>
      <c r="AN36" s="9" cm="1">
        <f t="array" ref="AN36">MAX(_xlfn._xlws.FILTER($B36:$AF36, $B$2:$AF$2=AN$2))</f>
        <v>18.314492819418593</v>
      </c>
      <c r="AO36" s="9" cm="1">
        <f t="array" ref="AO36">MAX(_xlfn._xlws.FILTER($B36:$AF36, $B$2:$AF$2=AO$2))</f>
        <v>17.16983701820493</v>
      </c>
    </row>
    <row r="37" spans="1:41" x14ac:dyDescent="0.25">
      <c r="A37" s="3" t="s">
        <v>42</v>
      </c>
      <c r="B37" s="7">
        <v>22.435253703787776</v>
      </c>
      <c r="C37" s="7">
        <v>21.061666742331383</v>
      </c>
      <c r="D37" s="7">
        <v>21.061666742331383</v>
      </c>
      <c r="E37" s="7">
        <v>16.025181216991268</v>
      </c>
      <c r="F37" s="7">
        <v>14.651594255534876</v>
      </c>
      <c r="G37" s="7">
        <v>26.098152267671498</v>
      </c>
      <c r="H37" s="7">
        <v>23.808840665244169</v>
      </c>
      <c r="I37" s="7">
        <v>21.748460223059581</v>
      </c>
      <c r="J37" s="7">
        <v>20.374873261603184</v>
      </c>
      <c r="K37" s="7">
        <v>20.603804421845915</v>
      </c>
      <c r="L37" s="7">
        <v>15.796250056748534</v>
      </c>
      <c r="M37" s="7">
        <v>14.422663095292142</v>
      </c>
      <c r="N37" s="7">
        <v>25.869221107428761</v>
      </c>
      <c r="O37" s="7">
        <v>23.808840665244173</v>
      </c>
      <c r="P37" s="7">
        <v>21.748460223059581</v>
      </c>
      <c r="Q37" s="7">
        <v>20.603804421845915</v>
      </c>
      <c r="R37" s="7">
        <v>20.832735582088649</v>
      </c>
      <c r="S37" s="7">
        <v>16.025181216991268</v>
      </c>
      <c r="T37" s="7">
        <v>14.880525415777607</v>
      </c>
      <c r="U37" s="7">
        <v>26.556014588156959</v>
      </c>
      <c r="V37" s="7">
        <v>24.724565306215098</v>
      </c>
      <c r="W37" s="7">
        <v>22.664184864030513</v>
      </c>
      <c r="X37" s="7">
        <v>21.519529062816847</v>
      </c>
      <c r="Y37" s="7">
        <v>21.977391383302312</v>
      </c>
      <c r="Z37" s="7">
        <v>16.940905857962196</v>
      </c>
      <c r="AA37" s="7">
        <v>15.796250056748539</v>
      </c>
      <c r="AB37" s="7">
        <v>28.387463870098816</v>
      </c>
      <c r="AC37" s="7">
        <v>26.556014588156959</v>
      </c>
      <c r="AD37" s="7">
        <v>24.495634145972367</v>
      </c>
      <c r="AE37" s="7">
        <v>23.350978344758705</v>
      </c>
      <c r="AF37" s="7"/>
      <c r="AI37" s="9" cm="1">
        <f t="array" ref="AI37">MAX(_xlfn._xlws.FILTER($D37:$AF37, $D$2:$AF$2=AI$2))</f>
        <v>28.387463870098816</v>
      </c>
      <c r="AJ37" s="9" cm="1">
        <f t="array" ref="AJ37">MAX(_xlfn._xlws.FILTER($B37:$AF37, $B$2:$AF$2=AJ$2))</f>
        <v>26.556014588156959</v>
      </c>
      <c r="AK37" s="9" cm="1">
        <f t="array" ref="AK37">MAX(_xlfn._xlws.FILTER($B37:$AF37, $B$2:$AF$2=AK$2))</f>
        <v>24.495634145972367</v>
      </c>
      <c r="AL37" s="9" cm="1">
        <f t="array" ref="AL37">MAX(_xlfn._xlws.FILTER($B37:$AF37, $B$2:$AF$2=AL$2))</f>
        <v>23.350978344758705</v>
      </c>
      <c r="AM37" s="9" cm="1">
        <f t="array" ref="AM37">MAX(_xlfn._xlws.FILTER($B37:$AF37, $B$2:$AF$2=AM$2))</f>
        <v>21.977391383302312</v>
      </c>
      <c r="AN37" s="9" cm="1">
        <f t="array" ref="AN37">MAX(_xlfn._xlws.FILTER($B37:$AF37, $B$2:$AF$2=AN$2))</f>
        <v>16.940905857962196</v>
      </c>
      <c r="AO37" s="9" cm="1">
        <f t="array" ref="AO37">MAX(_xlfn._xlws.FILTER($B37:$AF37, $B$2:$AF$2=AO$2))</f>
        <v>15.796250056748539</v>
      </c>
    </row>
    <row r="38" spans="1:41" x14ac:dyDescent="0.25">
      <c r="A38" s="3" t="s">
        <v>43</v>
      </c>
      <c r="B38" s="7">
        <v>20.603804421845915</v>
      </c>
      <c r="C38" s="7">
        <v>19.91701094111772</v>
      </c>
      <c r="D38" s="7">
        <v>18.543423979661323</v>
      </c>
      <c r="E38" s="7">
        <v>14.880525415777607</v>
      </c>
      <c r="F38" s="7">
        <v>12.820144973593017</v>
      </c>
      <c r="G38" s="7">
        <v>24.037771825486903</v>
      </c>
      <c r="H38" s="7">
        <v>22.664184864030503</v>
      </c>
      <c r="I38" s="7">
        <v>19.917010941117717</v>
      </c>
      <c r="J38" s="7">
        <v>19.459148620632256</v>
      </c>
      <c r="K38" s="7">
        <v>18.085561659175859</v>
      </c>
      <c r="L38" s="7">
        <v>14.651594255534871</v>
      </c>
      <c r="M38" s="7">
        <v>12.820144973593015</v>
      </c>
      <c r="N38" s="7">
        <v>23.808840665244169</v>
      </c>
      <c r="O38" s="7">
        <v>22.66418486403051</v>
      </c>
      <c r="P38" s="7">
        <v>19.917010941117724</v>
      </c>
      <c r="Q38" s="7">
        <v>19.459148620632252</v>
      </c>
      <c r="R38" s="7">
        <v>18.314492819418593</v>
      </c>
      <c r="S38" s="7">
        <v>14.880525415777607</v>
      </c>
      <c r="T38" s="7">
        <v>13.049076133835745</v>
      </c>
      <c r="U38" s="7">
        <v>24.724565306215101</v>
      </c>
      <c r="V38" s="7">
        <v>23.350978344758705</v>
      </c>
      <c r="W38" s="7">
        <v>20.832735582088649</v>
      </c>
      <c r="X38" s="7">
        <v>20.374873261603184</v>
      </c>
      <c r="Y38" s="7">
        <v>19.230217460389522</v>
      </c>
      <c r="Z38" s="7">
        <v>15.796250056748537</v>
      </c>
      <c r="AA38" s="7">
        <v>13.964800774806678</v>
      </c>
      <c r="AB38" s="7">
        <v>26.327083427914225</v>
      </c>
      <c r="AC38" s="7">
        <v>25.182427626700562</v>
      </c>
      <c r="AD38" s="7">
        <v>22.435253703787776</v>
      </c>
      <c r="AE38" s="7">
        <v>22.206322543545046</v>
      </c>
      <c r="AF38" s="7"/>
      <c r="AI38" s="9" cm="1">
        <f t="array" ref="AI38">MAX(_xlfn._xlws.FILTER($D38:$AF38, $D$2:$AF$2=AI$2))</f>
        <v>26.327083427914225</v>
      </c>
      <c r="AJ38" s="9" cm="1">
        <f t="array" ref="AJ38">MAX(_xlfn._xlws.FILTER($B38:$AF38, $B$2:$AF$2=AJ$2))</f>
        <v>25.182427626700562</v>
      </c>
      <c r="AK38" s="9" cm="1">
        <f t="array" ref="AK38">MAX(_xlfn._xlws.FILTER($B38:$AF38, $B$2:$AF$2=AK$2))</f>
        <v>22.435253703787776</v>
      </c>
      <c r="AL38" s="9" cm="1">
        <f t="array" ref="AL38">MAX(_xlfn._xlws.FILTER($B38:$AF38, $B$2:$AF$2=AL$2))</f>
        <v>22.206322543545046</v>
      </c>
      <c r="AM38" s="9" cm="1">
        <f t="array" ref="AM38">MAX(_xlfn._xlws.FILTER($B38:$AF38, $B$2:$AF$2=AM$2))</f>
        <v>19.230217460389522</v>
      </c>
      <c r="AN38" s="9" cm="1">
        <f t="array" ref="AN38">MAX(_xlfn._xlws.FILTER($B38:$AF38, $B$2:$AF$2=AN$2))</f>
        <v>15.796250056748537</v>
      </c>
      <c r="AO38" s="9" cm="1">
        <f t="array" ref="AO38">MAX(_xlfn._xlws.FILTER($B38:$AF38, $B$2:$AF$2=AO$2))</f>
        <v>13.964800774806678</v>
      </c>
    </row>
    <row r="39" spans="1:41" x14ac:dyDescent="0.25">
      <c r="A39" s="3" t="s">
        <v>44</v>
      </c>
      <c r="B39" s="7">
        <v>19.001286300146788</v>
      </c>
      <c r="C39" s="7">
        <v>17.398768178447661</v>
      </c>
      <c r="D39" s="7">
        <v>15.796250056748537</v>
      </c>
      <c r="E39" s="7">
        <v>13.506938454321212</v>
      </c>
      <c r="F39" s="7">
        <v>12.13335149286482</v>
      </c>
      <c r="G39" s="7">
        <v>22.206322543545042</v>
      </c>
      <c r="H39" s="7">
        <v>21.061666742331379</v>
      </c>
      <c r="I39" s="7">
        <v>18.314492819418593</v>
      </c>
      <c r="J39" s="7">
        <v>16.9409058579622</v>
      </c>
      <c r="K39" s="7">
        <v>15.567318896505803</v>
      </c>
      <c r="L39" s="7">
        <v>13.278007294078479</v>
      </c>
      <c r="M39" s="7">
        <v>11.904420332622085</v>
      </c>
      <c r="N39" s="7">
        <v>21.977391383302308</v>
      </c>
      <c r="O39" s="7">
        <v>20.832735582088649</v>
      </c>
      <c r="P39" s="7">
        <v>18.543423979661327</v>
      </c>
      <c r="Q39" s="7">
        <v>17.16983701820493</v>
      </c>
      <c r="R39" s="7">
        <v>15.567318896505803</v>
      </c>
      <c r="S39" s="7">
        <v>13.506938454321212</v>
      </c>
      <c r="T39" s="7">
        <v>12.362282653107549</v>
      </c>
      <c r="U39" s="7">
        <v>22.66418486403051</v>
      </c>
      <c r="V39" s="7">
        <v>21.748460223059578</v>
      </c>
      <c r="W39" s="7">
        <v>19.230217460389525</v>
      </c>
      <c r="X39" s="7">
        <v>17.856630498933129</v>
      </c>
      <c r="Y39" s="7">
        <v>16.483043537476732</v>
      </c>
      <c r="Z39" s="7">
        <v>14.422663095292142</v>
      </c>
      <c r="AA39" s="7">
        <v>13.049076133835747</v>
      </c>
      <c r="AB39" s="7">
        <v>24.266702985729633</v>
      </c>
      <c r="AC39" s="7">
        <v>23.350978344758705</v>
      </c>
      <c r="AD39" s="7">
        <v>20.832735582088649</v>
      </c>
      <c r="AE39" s="7">
        <v>19.459148620632252</v>
      </c>
      <c r="AF39" s="7"/>
      <c r="AI39" s="9" cm="1">
        <f t="array" ref="AI39">MAX(_xlfn._xlws.FILTER($D39:$AF39, $D$2:$AF$2=AI$2))</f>
        <v>24.266702985729633</v>
      </c>
      <c r="AJ39" s="9" cm="1">
        <f t="array" ref="AJ39">MAX(_xlfn._xlws.FILTER($B39:$AF39, $B$2:$AF$2=AJ$2))</f>
        <v>23.350978344758705</v>
      </c>
      <c r="AK39" s="9" cm="1">
        <f t="array" ref="AK39">MAX(_xlfn._xlws.FILTER($B39:$AF39, $B$2:$AF$2=AK$2))</f>
        <v>20.832735582088649</v>
      </c>
      <c r="AL39" s="9" cm="1">
        <f t="array" ref="AL39">MAX(_xlfn._xlws.FILTER($B39:$AF39, $B$2:$AF$2=AL$2))</f>
        <v>19.459148620632252</v>
      </c>
      <c r="AM39" s="9" cm="1">
        <f t="array" ref="AM39">MAX(_xlfn._xlws.FILTER($B39:$AF39, $B$2:$AF$2=AM$2))</f>
        <v>16.483043537476732</v>
      </c>
      <c r="AN39" s="9" cm="1">
        <f t="array" ref="AN39">MAX(_xlfn._xlws.FILTER($B39:$AF39, $B$2:$AF$2=AN$2))</f>
        <v>14.422663095292142</v>
      </c>
      <c r="AO39" s="9" cm="1">
        <f t="array" ref="AO39">MAX(_xlfn._xlws.FILTER($B39:$AF39, $B$2:$AF$2=AO$2))</f>
        <v>13.049076133835747</v>
      </c>
    </row>
    <row r="40" spans="1:41" x14ac:dyDescent="0.25">
      <c r="A40" s="3" t="s">
        <v>45</v>
      </c>
      <c r="B40" s="7">
        <v>17.16983701820493</v>
      </c>
      <c r="C40" s="7">
        <v>15.796250056748535</v>
      </c>
      <c r="D40" s="7">
        <v>14.651594255534874</v>
      </c>
      <c r="E40" s="7">
        <v>11.904420332622086</v>
      </c>
      <c r="F40" s="7">
        <v>11.904420332622086</v>
      </c>
      <c r="G40" s="7">
        <v>20.374873261603184</v>
      </c>
      <c r="H40" s="7">
        <v>18.543423979661323</v>
      </c>
      <c r="I40" s="7">
        <v>16.483043537476735</v>
      </c>
      <c r="J40" s="7">
        <v>15.338387736263071</v>
      </c>
      <c r="K40" s="7">
        <v>14.422663095292142</v>
      </c>
      <c r="L40" s="7">
        <v>11.675489172379352</v>
      </c>
      <c r="M40" s="7">
        <v>11.675489172379352</v>
      </c>
      <c r="N40" s="7">
        <v>20.14594210136045</v>
      </c>
      <c r="O40" s="7">
        <v>18.543423979661323</v>
      </c>
      <c r="P40" s="7">
        <v>16.483043537476735</v>
      </c>
      <c r="Q40" s="7">
        <v>15.338387736263069</v>
      </c>
      <c r="R40" s="7">
        <v>14.651594255534874</v>
      </c>
      <c r="S40" s="7">
        <v>11.904420332622086</v>
      </c>
      <c r="T40" s="7">
        <v>12.133351492864819</v>
      </c>
      <c r="U40" s="7">
        <v>20.603804421845915</v>
      </c>
      <c r="V40" s="7">
        <v>19.230217460389522</v>
      </c>
      <c r="W40" s="7">
        <v>17.16983701820493</v>
      </c>
      <c r="X40" s="7">
        <v>16.254112377234001</v>
      </c>
      <c r="Y40" s="7">
        <v>15.338387736263071</v>
      </c>
      <c r="Z40" s="7">
        <v>12.591213813350283</v>
      </c>
      <c r="AA40" s="7">
        <v>12.820144973593017</v>
      </c>
      <c r="AB40" s="7">
        <v>22.206322543545042</v>
      </c>
      <c r="AC40" s="7">
        <v>20.603804421845915</v>
      </c>
      <c r="AD40" s="7">
        <v>18.543423979661327</v>
      </c>
      <c r="AE40" s="7">
        <v>17.398768178447661</v>
      </c>
      <c r="AF40" s="7"/>
      <c r="AI40" s="9" cm="1">
        <f t="array" ref="AI40">MAX(_xlfn._xlws.FILTER($D40:$AF40, $D$2:$AF$2=AI$2))</f>
        <v>22.206322543545042</v>
      </c>
      <c r="AJ40" s="9" cm="1">
        <f t="array" ref="AJ40">MAX(_xlfn._xlws.FILTER($B40:$AF40, $B$2:$AF$2=AJ$2))</f>
        <v>20.603804421845915</v>
      </c>
      <c r="AK40" s="9" cm="1">
        <f t="array" ref="AK40">MAX(_xlfn._xlws.FILTER($B40:$AF40, $B$2:$AF$2=AK$2))</f>
        <v>18.543423979661327</v>
      </c>
      <c r="AL40" s="9" cm="1">
        <f t="array" ref="AL40">MAX(_xlfn._xlws.FILTER($B40:$AF40, $B$2:$AF$2=AL$2))</f>
        <v>17.398768178447661</v>
      </c>
      <c r="AM40" s="9" cm="1">
        <f t="array" ref="AM40">MAX(_xlfn._xlws.FILTER($B40:$AF40, $B$2:$AF$2=AM$2))</f>
        <v>15.338387736263071</v>
      </c>
      <c r="AN40" s="9" cm="1">
        <f t="array" ref="AN40">MAX(_xlfn._xlws.FILTER($B40:$AF40, $B$2:$AF$2=AN$2))</f>
        <v>12.591213813350283</v>
      </c>
      <c r="AO40" s="9" cm="1">
        <f t="array" ref="AO40">MAX(_xlfn._xlws.FILTER($B40:$AF40, $B$2:$AF$2=AO$2))</f>
        <v>12.820144973593017</v>
      </c>
    </row>
    <row r="41" spans="1:41" x14ac:dyDescent="0.25">
      <c r="A41" s="3" t="s">
        <v>46</v>
      </c>
      <c r="B41" s="7">
        <v>15.338387736263071</v>
      </c>
      <c r="C41" s="7">
        <v>15.109456576020341</v>
      </c>
      <c r="D41" s="7">
        <v>14.19373193504941</v>
      </c>
      <c r="E41" s="7">
        <v>10.759764531408424</v>
      </c>
      <c r="F41" s="7">
        <v>11.217626851893888</v>
      </c>
      <c r="G41" s="7">
        <v>18.085561659175859</v>
      </c>
      <c r="H41" s="7">
        <v>16.483043537476732</v>
      </c>
      <c r="I41" s="7">
        <v>14.880525415777607</v>
      </c>
      <c r="J41" s="7">
        <v>14.880525415777607</v>
      </c>
      <c r="K41" s="7">
        <v>13.735869614563944</v>
      </c>
      <c r="L41" s="7">
        <v>10.53083337116569</v>
      </c>
      <c r="M41" s="7">
        <v>10.988695691651156</v>
      </c>
      <c r="N41" s="7">
        <v>18.085561659175859</v>
      </c>
      <c r="O41" s="7">
        <v>16.483043537476735</v>
      </c>
      <c r="P41" s="7">
        <v>14.880525415777608</v>
      </c>
      <c r="Q41" s="7">
        <v>14.880525415777605</v>
      </c>
      <c r="R41" s="7">
        <v>13.964800774806678</v>
      </c>
      <c r="S41" s="7">
        <v>10.759764531408424</v>
      </c>
      <c r="T41" s="7">
        <v>11.446558012136622</v>
      </c>
      <c r="U41" s="7">
        <v>18.543423979661327</v>
      </c>
      <c r="V41" s="7">
        <v>16.940905857962196</v>
      </c>
      <c r="W41" s="7">
        <v>15.567318896505805</v>
      </c>
      <c r="X41" s="7">
        <v>15.567318896505805</v>
      </c>
      <c r="Y41" s="7">
        <v>14.651594255534874</v>
      </c>
      <c r="Z41" s="7">
        <v>11.217626851893888</v>
      </c>
      <c r="AA41" s="7">
        <v>12.133351492864819</v>
      </c>
      <c r="AB41" s="7">
        <v>19.91701094111772</v>
      </c>
      <c r="AC41" s="7">
        <v>18.314492819418589</v>
      </c>
      <c r="AD41" s="7">
        <v>16.711974697719466</v>
      </c>
      <c r="AE41" s="7">
        <v>16.9409058579622</v>
      </c>
      <c r="AF41" s="7"/>
      <c r="AI41" s="9" cm="1">
        <f t="array" ref="AI41">MAX(_xlfn._xlws.FILTER($D41:$AF41, $D$2:$AF$2=AI$2))</f>
        <v>19.91701094111772</v>
      </c>
      <c r="AJ41" s="9" cm="1">
        <f t="array" ref="AJ41">MAX(_xlfn._xlws.FILTER($B41:$AF41, $B$2:$AF$2=AJ$2))</f>
        <v>18.314492819418589</v>
      </c>
      <c r="AK41" s="9" cm="1">
        <f t="array" ref="AK41">MAX(_xlfn._xlws.FILTER($B41:$AF41, $B$2:$AF$2=AK$2))</f>
        <v>16.711974697719466</v>
      </c>
      <c r="AL41" s="9" cm="1">
        <f t="array" ref="AL41">MAX(_xlfn._xlws.FILTER($B41:$AF41, $B$2:$AF$2=AL$2))</f>
        <v>16.9409058579622</v>
      </c>
      <c r="AM41" s="9" cm="1">
        <f t="array" ref="AM41">MAX(_xlfn._xlws.FILTER($B41:$AF41, $B$2:$AF$2=AM$2))</f>
        <v>14.651594255534874</v>
      </c>
      <c r="AN41" s="9" cm="1">
        <f t="array" ref="AN41">MAX(_xlfn._xlws.FILTER($B41:$AF41, $B$2:$AF$2=AN$2))</f>
        <v>11.217626851893888</v>
      </c>
      <c r="AO41" s="9" cm="1">
        <f t="array" ref="AO41">MAX(_xlfn._xlws.FILTER($B41:$AF41, $B$2:$AF$2=AO$2))</f>
        <v>12.133351492864819</v>
      </c>
    </row>
    <row r="42" spans="1:41" x14ac:dyDescent="0.25">
      <c r="A42" s="3" t="s">
        <v>47</v>
      </c>
      <c r="B42" s="7">
        <v>14.422663095292142</v>
      </c>
      <c r="C42" s="7">
        <v>14.193731935049408</v>
      </c>
      <c r="D42" s="7">
        <v>12.591213813350283</v>
      </c>
      <c r="E42" s="7">
        <v>9.3861775699520287</v>
      </c>
      <c r="F42" s="7">
        <v>10.301902210922959</v>
      </c>
      <c r="G42" s="7">
        <v>16.025181216991268</v>
      </c>
      <c r="H42" s="7">
        <v>15.109456576020339</v>
      </c>
      <c r="I42" s="7">
        <v>13.964800774806678</v>
      </c>
      <c r="J42" s="7">
        <v>13.735869614563944</v>
      </c>
      <c r="K42" s="7">
        <v>12.133351492864817</v>
      </c>
      <c r="L42" s="7">
        <v>9.1572464097092965</v>
      </c>
      <c r="M42" s="7">
        <v>10.072971050680225</v>
      </c>
      <c r="N42" s="7">
        <v>16.025181216991268</v>
      </c>
      <c r="O42" s="7">
        <v>15.109456576020339</v>
      </c>
      <c r="P42" s="7">
        <v>13.964800774806678</v>
      </c>
      <c r="Q42" s="7">
        <v>13.735869614563944</v>
      </c>
      <c r="R42" s="7">
        <v>12.362282653107551</v>
      </c>
      <c r="S42" s="7">
        <v>9.3861775699520287</v>
      </c>
      <c r="T42" s="7">
        <v>10.530833371165691</v>
      </c>
      <c r="U42" s="7">
        <v>16.483043537476735</v>
      </c>
      <c r="V42" s="7">
        <v>15.567318896505803</v>
      </c>
      <c r="W42" s="7">
        <v>14.651594255534874</v>
      </c>
      <c r="X42" s="7">
        <v>14.422663095292142</v>
      </c>
      <c r="Y42" s="7">
        <v>13.049076133835749</v>
      </c>
      <c r="Z42" s="7">
        <v>10.072971050680225</v>
      </c>
      <c r="AA42" s="7">
        <v>11.217626851893888</v>
      </c>
      <c r="AB42" s="7">
        <v>17.627699338690395</v>
      </c>
      <c r="AC42" s="7">
        <v>16.711974697719462</v>
      </c>
      <c r="AD42" s="7">
        <v>15.796250056748537</v>
      </c>
      <c r="AE42" s="7">
        <v>15.567318896505803</v>
      </c>
      <c r="AF42" s="7"/>
      <c r="AI42" s="9" cm="1">
        <f t="array" ref="AI42">MAX(_xlfn._xlws.FILTER($D42:$AF42, $D$2:$AF$2=AI$2))</f>
        <v>17.627699338690395</v>
      </c>
      <c r="AJ42" s="9" cm="1">
        <f t="array" ref="AJ42">MAX(_xlfn._xlws.FILTER($B42:$AF42, $B$2:$AF$2=AJ$2))</f>
        <v>16.711974697719462</v>
      </c>
      <c r="AK42" s="9" cm="1">
        <f t="array" ref="AK42">MAX(_xlfn._xlws.FILTER($B42:$AF42, $B$2:$AF$2=AK$2))</f>
        <v>15.796250056748537</v>
      </c>
      <c r="AL42" s="9" cm="1">
        <f t="array" ref="AL42">MAX(_xlfn._xlws.FILTER($B42:$AF42, $B$2:$AF$2=AL$2))</f>
        <v>15.567318896505803</v>
      </c>
      <c r="AM42" s="9" cm="1">
        <f t="array" ref="AM42">MAX(_xlfn._xlws.FILTER($B42:$AF42, $B$2:$AF$2=AM$2))</f>
        <v>13.049076133835749</v>
      </c>
      <c r="AN42" s="9" cm="1">
        <f t="array" ref="AN42">MAX(_xlfn._xlws.FILTER($B42:$AF42, $B$2:$AF$2=AN$2))</f>
        <v>10.072971050680225</v>
      </c>
      <c r="AO42" s="9" cm="1">
        <f t="array" ref="AO42">MAX(_xlfn._xlws.FILTER($B42:$AF42, $B$2:$AF$2=AO$2))</f>
        <v>11.217626851893888</v>
      </c>
    </row>
    <row r="43" spans="1:41" x14ac:dyDescent="0.25">
      <c r="A43" s="3" t="s">
        <v>48</v>
      </c>
      <c r="B43" s="7">
        <v>13.506938454321212</v>
      </c>
      <c r="C43" s="7">
        <v>12.591213813350281</v>
      </c>
      <c r="D43" s="7">
        <v>10.530833371165691</v>
      </c>
      <c r="E43" s="7">
        <v>8.6993840892238321</v>
      </c>
      <c r="F43" s="7">
        <v>9.8440398904374948</v>
      </c>
      <c r="G43" s="7">
        <v>15.109456576020339</v>
      </c>
      <c r="H43" s="7">
        <v>14.651594255534873</v>
      </c>
      <c r="I43" s="7">
        <v>13.049076133835747</v>
      </c>
      <c r="J43" s="7">
        <v>12.133351492864817</v>
      </c>
      <c r="K43" s="7">
        <v>10.301902210922957</v>
      </c>
      <c r="L43" s="7">
        <v>8.4704529289810981</v>
      </c>
      <c r="M43" s="7">
        <v>9.6151087301947609</v>
      </c>
      <c r="N43" s="7">
        <v>14.880525415777605</v>
      </c>
      <c r="O43" s="7">
        <v>14.422663095292142</v>
      </c>
      <c r="P43" s="7">
        <v>13.049076133835749</v>
      </c>
      <c r="Q43" s="7">
        <v>12.362282653107549</v>
      </c>
      <c r="R43" s="7">
        <v>10.530833371165691</v>
      </c>
      <c r="S43" s="7">
        <v>8.6993840892238321</v>
      </c>
      <c r="T43" s="7">
        <v>9.8440398904374931</v>
      </c>
      <c r="U43" s="7">
        <v>15.338387736263073</v>
      </c>
      <c r="V43" s="7">
        <v>15.109456576020339</v>
      </c>
      <c r="W43" s="7">
        <v>13.506938454321213</v>
      </c>
      <c r="X43" s="7">
        <v>13.049076133835747</v>
      </c>
      <c r="Y43" s="7">
        <v>10.988695691651156</v>
      </c>
      <c r="Z43" s="7">
        <v>9.1572464097092965</v>
      </c>
      <c r="AA43" s="7">
        <v>10.530833371165691</v>
      </c>
      <c r="AB43" s="7">
        <v>16.483043537476732</v>
      </c>
      <c r="AC43" s="7">
        <v>16.254112377233998</v>
      </c>
      <c r="AD43" s="7">
        <v>14.651594255534873</v>
      </c>
      <c r="AE43" s="7">
        <v>13.964800774806676</v>
      </c>
      <c r="AF43" s="7"/>
      <c r="AI43" s="9" cm="1">
        <f t="array" ref="AI43">MAX(_xlfn._xlws.FILTER($D43:$AF43, $D$2:$AF$2=AI$2))</f>
        <v>16.483043537476732</v>
      </c>
      <c r="AJ43" s="9" cm="1">
        <f t="array" ref="AJ43">MAX(_xlfn._xlws.FILTER($B43:$AF43, $B$2:$AF$2=AJ$2))</f>
        <v>16.254112377233998</v>
      </c>
      <c r="AK43" s="9" cm="1">
        <f t="array" ref="AK43">MAX(_xlfn._xlws.FILTER($B43:$AF43, $B$2:$AF$2=AK$2))</f>
        <v>14.651594255534873</v>
      </c>
      <c r="AL43" s="9" cm="1">
        <f t="array" ref="AL43">MAX(_xlfn._xlws.FILTER($B43:$AF43, $B$2:$AF$2=AL$2))</f>
        <v>13.964800774806676</v>
      </c>
      <c r="AM43" s="9" cm="1">
        <f t="array" ref="AM43">MAX(_xlfn._xlws.FILTER($B43:$AF43, $B$2:$AF$2=AM$2))</f>
        <v>10.988695691651156</v>
      </c>
      <c r="AN43" s="9" cm="1">
        <f t="array" ref="AN43">MAX(_xlfn._xlws.FILTER($B43:$AF43, $B$2:$AF$2=AN$2))</f>
        <v>9.1572464097092965</v>
      </c>
      <c r="AO43" s="9" cm="1">
        <f t="array" ref="AO43">MAX(_xlfn._xlws.FILTER($B43:$AF43, $B$2:$AF$2=AO$2))</f>
        <v>10.530833371165691</v>
      </c>
    </row>
    <row r="44" spans="1:41" x14ac:dyDescent="0.25">
      <c r="A44" s="3" t="s">
        <v>49</v>
      </c>
      <c r="B44" s="7">
        <v>12.133351492864817</v>
      </c>
      <c r="C44" s="7">
        <v>11.904420332622085</v>
      </c>
      <c r="D44" s="7">
        <v>10.072971050680227</v>
      </c>
      <c r="E44" s="7">
        <v>8.4704529289810981</v>
      </c>
      <c r="F44" s="7">
        <v>9.3861775699520305</v>
      </c>
      <c r="G44" s="7">
        <v>14.422663095292142</v>
      </c>
      <c r="H44" s="7">
        <v>13.964800774806676</v>
      </c>
      <c r="I44" s="7">
        <v>11.675489172379352</v>
      </c>
      <c r="J44" s="7">
        <v>11.44655801213662</v>
      </c>
      <c r="K44" s="7">
        <v>9.8440398904374931</v>
      </c>
      <c r="L44" s="7">
        <v>8.2415217687383659</v>
      </c>
      <c r="M44" s="7">
        <v>9.1572464097092965</v>
      </c>
      <c r="N44" s="7">
        <v>14.422663095292139</v>
      </c>
      <c r="O44" s="7">
        <v>13.964800774806676</v>
      </c>
      <c r="P44" s="7">
        <v>11.675489172379354</v>
      </c>
      <c r="Q44" s="7">
        <v>11.675489172379352</v>
      </c>
      <c r="R44" s="7">
        <v>9.8440398904374948</v>
      </c>
      <c r="S44" s="7">
        <v>8.4704529289810981</v>
      </c>
      <c r="T44" s="7">
        <v>9.3861775699520287</v>
      </c>
      <c r="U44" s="7">
        <v>14.880525415777608</v>
      </c>
      <c r="V44" s="7">
        <v>14.422663095292142</v>
      </c>
      <c r="W44" s="7">
        <v>12.133351492864819</v>
      </c>
      <c r="X44" s="7">
        <v>12.133351492864817</v>
      </c>
      <c r="Y44" s="7">
        <v>10.530833371165691</v>
      </c>
      <c r="Z44" s="7">
        <v>8.9283152494665643</v>
      </c>
      <c r="AA44" s="7">
        <v>10.072971050680227</v>
      </c>
      <c r="AB44" s="7">
        <v>15.796250056748537</v>
      </c>
      <c r="AC44" s="7">
        <v>15.567318896505801</v>
      </c>
      <c r="AD44" s="7">
        <v>13.049076133835747</v>
      </c>
      <c r="AE44" s="7">
        <v>13.278007294078479</v>
      </c>
      <c r="AF44" s="7"/>
      <c r="AI44" s="9" cm="1">
        <f t="array" ref="AI44">MAX(_xlfn._xlws.FILTER($D44:$AF44, $D$2:$AF$2=AI$2))</f>
        <v>15.796250056748537</v>
      </c>
      <c r="AJ44" s="9" cm="1">
        <f t="array" ref="AJ44">MAX(_xlfn._xlws.FILTER($B44:$AF44, $B$2:$AF$2=AJ$2))</f>
        <v>15.567318896505801</v>
      </c>
      <c r="AK44" s="9" cm="1">
        <f t="array" ref="AK44">MAX(_xlfn._xlws.FILTER($B44:$AF44, $B$2:$AF$2=AK$2))</f>
        <v>13.049076133835747</v>
      </c>
      <c r="AL44" s="9" cm="1">
        <f t="array" ref="AL44">MAX(_xlfn._xlws.FILTER($B44:$AF44, $B$2:$AF$2=AL$2))</f>
        <v>13.278007294078479</v>
      </c>
      <c r="AM44" s="9" cm="1">
        <f t="array" ref="AM44">MAX(_xlfn._xlws.FILTER($B44:$AF44, $B$2:$AF$2=AM$2))</f>
        <v>10.530833371165691</v>
      </c>
      <c r="AN44" s="9" cm="1">
        <f t="array" ref="AN44">MAX(_xlfn._xlws.FILTER($B44:$AF44, $B$2:$AF$2=AN$2))</f>
        <v>8.9283152494665643</v>
      </c>
      <c r="AO44" s="9" cm="1">
        <f t="array" ref="AO44">MAX(_xlfn._xlws.FILTER($B44:$AF44, $B$2:$AF$2=AO$2))</f>
        <v>10.072971050680227</v>
      </c>
    </row>
    <row r="45" spans="1:41" x14ac:dyDescent="0.25">
      <c r="A45" s="3" t="s">
        <v>50</v>
      </c>
      <c r="B45" s="7">
        <v>10.759764531408422</v>
      </c>
      <c r="C45" s="7">
        <v>11.675489172379352</v>
      </c>
      <c r="D45" s="7">
        <v>9.8440398904374948</v>
      </c>
      <c r="E45" s="7">
        <v>8.0125906084956338</v>
      </c>
      <c r="F45" s="7">
        <v>8.6993840892238321</v>
      </c>
      <c r="G45" s="7">
        <v>13.049076133835749</v>
      </c>
      <c r="H45" s="7">
        <v>13.278007294078479</v>
      </c>
      <c r="I45" s="7">
        <v>10.301902210922957</v>
      </c>
      <c r="J45" s="7">
        <v>11.44655801213662</v>
      </c>
      <c r="K45" s="7">
        <v>9.6151087301947609</v>
      </c>
      <c r="L45" s="7">
        <v>8.012590608495632</v>
      </c>
      <c r="M45" s="7">
        <v>8.4704529289810981</v>
      </c>
      <c r="N45" s="7">
        <v>12.820144973593012</v>
      </c>
      <c r="O45" s="7">
        <v>13.278007294078479</v>
      </c>
      <c r="P45" s="7">
        <v>10.301902210922961</v>
      </c>
      <c r="Q45" s="7">
        <v>11.44655801213662</v>
      </c>
      <c r="R45" s="7">
        <v>9.6151087301947609</v>
      </c>
      <c r="S45" s="7">
        <v>8.0125906084956338</v>
      </c>
      <c r="T45" s="7">
        <v>8.6993840892238303</v>
      </c>
      <c r="U45" s="7">
        <v>13.278007294078479</v>
      </c>
      <c r="V45" s="7">
        <v>13.735869614563944</v>
      </c>
      <c r="W45" s="7">
        <v>10.759764531408424</v>
      </c>
      <c r="X45" s="7">
        <v>12.133351492864817</v>
      </c>
      <c r="Y45" s="7">
        <v>10.301902210922959</v>
      </c>
      <c r="Z45" s="7">
        <v>8.4704529289810981</v>
      </c>
      <c r="AA45" s="7">
        <v>9.3861775699520305</v>
      </c>
      <c r="AB45" s="7">
        <v>14.193731935049408</v>
      </c>
      <c r="AC45" s="7">
        <v>14.880525415777605</v>
      </c>
      <c r="AD45" s="7">
        <v>11.675489172379352</v>
      </c>
      <c r="AE45" s="7">
        <v>13.049076133835747</v>
      </c>
      <c r="AF45" s="7"/>
      <c r="AI45" s="9" cm="1">
        <f t="array" ref="AI45">MAX(_xlfn._xlws.FILTER($D45:$AF45, $D$2:$AF$2=AI$2))</f>
        <v>14.193731935049408</v>
      </c>
      <c r="AJ45" s="9" cm="1">
        <f t="array" ref="AJ45">MAX(_xlfn._xlws.FILTER($B45:$AF45, $B$2:$AF$2=AJ$2))</f>
        <v>14.880525415777605</v>
      </c>
      <c r="AK45" s="9" cm="1">
        <f t="array" ref="AK45">MAX(_xlfn._xlws.FILTER($B45:$AF45, $B$2:$AF$2=AK$2))</f>
        <v>11.675489172379352</v>
      </c>
      <c r="AL45" s="9" cm="1">
        <f t="array" ref="AL45">MAX(_xlfn._xlws.FILTER($B45:$AF45, $B$2:$AF$2=AL$2))</f>
        <v>13.049076133835747</v>
      </c>
      <c r="AM45" s="9" cm="1">
        <f t="array" ref="AM45">MAX(_xlfn._xlws.FILTER($B45:$AF45, $B$2:$AF$2=AM$2))</f>
        <v>10.301902210922959</v>
      </c>
      <c r="AN45" s="9" cm="1">
        <f t="array" ref="AN45">MAX(_xlfn._xlws.FILTER($B45:$AF45, $B$2:$AF$2=AN$2))</f>
        <v>8.4704529289810981</v>
      </c>
      <c r="AO45" s="9" cm="1">
        <f t="array" ref="AO45">MAX(_xlfn._xlws.FILTER($B45:$AF45, $B$2:$AF$2=AO$2))</f>
        <v>9.3861775699520305</v>
      </c>
    </row>
    <row r="46" spans="1:41" x14ac:dyDescent="0.25">
      <c r="A46" s="3" t="s">
        <v>51</v>
      </c>
      <c r="B46" s="7">
        <v>9.6151087301947609</v>
      </c>
      <c r="C46" s="7">
        <v>11.21762685189389</v>
      </c>
      <c r="D46" s="7">
        <v>9.3861775699520287</v>
      </c>
      <c r="E46" s="7">
        <v>7.3257971277674363</v>
      </c>
      <c r="F46" s="7">
        <v>7.7836594482529025</v>
      </c>
      <c r="G46" s="7">
        <v>11.675489172379354</v>
      </c>
      <c r="H46" s="7">
        <v>12.362282653107549</v>
      </c>
      <c r="I46" s="7">
        <v>9.1572464097092965</v>
      </c>
      <c r="J46" s="7">
        <v>10.988695691651156</v>
      </c>
      <c r="K46" s="7">
        <v>9.1572464097092965</v>
      </c>
      <c r="L46" s="7">
        <v>7.3257971277674354</v>
      </c>
      <c r="M46" s="7">
        <v>7.7836594482529016</v>
      </c>
      <c r="N46" s="7">
        <v>11.446558012136618</v>
      </c>
      <c r="O46" s="7">
        <v>12.362282653107551</v>
      </c>
      <c r="P46" s="7">
        <v>9.1572464097092983</v>
      </c>
      <c r="Q46" s="7">
        <v>10.988695691651154</v>
      </c>
      <c r="R46" s="7">
        <v>9.1572464097092965</v>
      </c>
      <c r="S46" s="7">
        <v>7.3257971277674363</v>
      </c>
      <c r="T46" s="7">
        <v>8.0125906084956338</v>
      </c>
      <c r="U46" s="7">
        <v>11.904420332622086</v>
      </c>
      <c r="V46" s="7">
        <v>12.820144973593015</v>
      </c>
      <c r="W46" s="7">
        <v>9.6151087301947626</v>
      </c>
      <c r="X46" s="7">
        <v>11.44655801213662</v>
      </c>
      <c r="Y46" s="7">
        <v>9.6151087301947609</v>
      </c>
      <c r="Z46" s="7">
        <v>7.7836594482529016</v>
      </c>
      <c r="AA46" s="7">
        <v>8.4704529289810999</v>
      </c>
      <c r="AB46" s="7">
        <v>12.591213813350281</v>
      </c>
      <c r="AC46" s="7">
        <v>13.735869614563944</v>
      </c>
      <c r="AD46" s="7">
        <v>10.301902210922959</v>
      </c>
      <c r="AE46" s="7">
        <v>12.591213813350283</v>
      </c>
      <c r="AF46" s="7"/>
      <c r="AI46" s="9" cm="1">
        <f t="array" ref="AI46">MAX(_xlfn._xlws.FILTER($D46:$AF46, $D$2:$AF$2=AI$2))</f>
        <v>12.591213813350281</v>
      </c>
      <c r="AJ46" s="9" cm="1">
        <f t="array" ref="AJ46">MAX(_xlfn._xlws.FILTER($B46:$AF46, $B$2:$AF$2=AJ$2))</f>
        <v>13.735869614563944</v>
      </c>
      <c r="AK46" s="9" cm="1">
        <f t="array" ref="AK46">MAX(_xlfn._xlws.FILTER($B46:$AF46, $B$2:$AF$2=AK$2))</f>
        <v>10.301902210922959</v>
      </c>
      <c r="AL46" s="9" cm="1">
        <f t="array" ref="AL46">MAX(_xlfn._xlws.FILTER($B46:$AF46, $B$2:$AF$2=AL$2))</f>
        <v>12.591213813350283</v>
      </c>
      <c r="AM46" s="9" cm="1">
        <f t="array" ref="AM46">MAX(_xlfn._xlws.FILTER($B46:$AF46, $B$2:$AF$2=AM$2))</f>
        <v>9.6151087301947609</v>
      </c>
      <c r="AN46" s="9" cm="1">
        <f t="array" ref="AN46">MAX(_xlfn._xlws.FILTER($B46:$AF46, $B$2:$AF$2=AN$2))</f>
        <v>7.7836594482529016</v>
      </c>
      <c r="AO46" s="9" cm="1">
        <f t="array" ref="AO46">MAX(_xlfn._xlws.FILTER($B46:$AF46, $B$2:$AF$2=AO$2))</f>
        <v>8.4704529289810999</v>
      </c>
    </row>
    <row r="47" spans="1:41" x14ac:dyDescent="0.25">
      <c r="A47" s="3" t="s">
        <v>52</v>
      </c>
      <c r="B47" s="7">
        <v>8.6993840892238303</v>
      </c>
      <c r="C47" s="7">
        <v>10.301902210922957</v>
      </c>
      <c r="D47" s="7">
        <v>8.4704529289810999</v>
      </c>
      <c r="E47" s="7">
        <v>6.4100724867965075</v>
      </c>
      <c r="F47" s="7">
        <v>7.3257971277674381</v>
      </c>
      <c r="G47" s="7">
        <v>11.21762685189389</v>
      </c>
      <c r="H47" s="7">
        <v>10.53083337116569</v>
      </c>
      <c r="I47" s="7">
        <v>8.4704529289810999</v>
      </c>
      <c r="J47" s="7">
        <v>10.072971050680225</v>
      </c>
      <c r="K47" s="7">
        <v>8.2415217687383659</v>
      </c>
      <c r="L47" s="7">
        <v>6.4100724867965067</v>
      </c>
      <c r="M47" s="7">
        <v>7.3257971277674372</v>
      </c>
      <c r="N47" s="7">
        <v>10.988695691651154</v>
      </c>
      <c r="O47" s="7">
        <v>10.530833371165691</v>
      </c>
      <c r="P47" s="7">
        <v>8.4704529289810999</v>
      </c>
      <c r="Q47" s="7">
        <v>10.072971050680223</v>
      </c>
      <c r="R47" s="7">
        <v>8.4704529289810999</v>
      </c>
      <c r="S47" s="7">
        <v>6.4100724867965075</v>
      </c>
      <c r="T47" s="7">
        <v>7.3257971277674363</v>
      </c>
      <c r="U47" s="7">
        <v>11.446558012136622</v>
      </c>
      <c r="V47" s="7">
        <v>10.988695691651154</v>
      </c>
      <c r="W47" s="7">
        <v>8.6993840892238321</v>
      </c>
      <c r="X47" s="7">
        <v>10.530833371165691</v>
      </c>
      <c r="Y47" s="7">
        <v>8.9283152494665643</v>
      </c>
      <c r="Z47" s="7">
        <v>6.8679348072819719</v>
      </c>
      <c r="AA47" s="7">
        <v>7.7836594482529025</v>
      </c>
      <c r="AB47" s="7">
        <v>12.133351492864817</v>
      </c>
      <c r="AC47" s="7">
        <v>11.675489172379352</v>
      </c>
      <c r="AD47" s="7">
        <v>9.3861775699520287</v>
      </c>
      <c r="AE47" s="7">
        <v>11.44655801213662</v>
      </c>
      <c r="AF47" s="7"/>
      <c r="AI47" s="9" cm="1">
        <f t="array" ref="AI47">MAX(_xlfn._xlws.FILTER($D47:$AF47, $D$2:$AF$2=AI$2))</f>
        <v>12.133351492864817</v>
      </c>
      <c r="AJ47" s="9" cm="1">
        <f t="array" ref="AJ47">MAX(_xlfn._xlws.FILTER($B47:$AF47, $B$2:$AF$2=AJ$2))</f>
        <v>11.675489172379352</v>
      </c>
      <c r="AK47" s="9" cm="1">
        <f t="array" ref="AK47">MAX(_xlfn._xlws.FILTER($B47:$AF47, $B$2:$AF$2=AK$2))</f>
        <v>9.3861775699520287</v>
      </c>
      <c r="AL47" s="9" cm="1">
        <f t="array" ref="AL47">MAX(_xlfn._xlws.FILTER($B47:$AF47, $B$2:$AF$2=AL$2))</f>
        <v>11.44655801213662</v>
      </c>
      <c r="AM47" s="9" cm="1">
        <f t="array" ref="AM47">MAX(_xlfn._xlws.FILTER($B47:$AF47, $B$2:$AF$2=AM$2))</f>
        <v>8.9283152494665643</v>
      </c>
      <c r="AN47" s="9" cm="1">
        <f t="array" ref="AN47">MAX(_xlfn._xlws.FILTER($B47:$AF47, $B$2:$AF$2=AN$2))</f>
        <v>6.8679348072819719</v>
      </c>
      <c r="AO47" s="9" cm="1">
        <f t="array" ref="AO47">MAX(_xlfn._xlws.FILTER($B47:$AF47, $B$2:$AF$2=AO$2))</f>
        <v>7.7836594482529025</v>
      </c>
    </row>
    <row r="48" spans="1:41" x14ac:dyDescent="0.25">
      <c r="A48" s="3" t="s">
        <v>53</v>
      </c>
      <c r="B48" s="7">
        <v>7.7836594482529016</v>
      </c>
      <c r="C48" s="7">
        <v>9.1572464097092965</v>
      </c>
      <c r="D48" s="7">
        <v>7.3257971277674372</v>
      </c>
      <c r="E48" s="7">
        <v>5.7232790060683101</v>
      </c>
      <c r="F48" s="7">
        <v>7.0968659675247059</v>
      </c>
      <c r="G48" s="7">
        <v>10.301902210922957</v>
      </c>
      <c r="H48" s="7">
        <v>9.3861775699520269</v>
      </c>
      <c r="I48" s="7">
        <v>7.5547282880101694</v>
      </c>
      <c r="J48" s="7">
        <v>8.6993840892238321</v>
      </c>
      <c r="K48" s="7">
        <v>7.096865967524705</v>
      </c>
      <c r="L48" s="7">
        <v>5.494347845825577</v>
      </c>
      <c r="M48" s="7">
        <v>6.8679348072819719</v>
      </c>
      <c r="N48" s="7">
        <v>10.072971050680225</v>
      </c>
      <c r="O48" s="7">
        <v>9.1572464097092965</v>
      </c>
      <c r="P48" s="7">
        <v>7.5547282880101703</v>
      </c>
      <c r="Q48" s="7">
        <v>8.9283152494665625</v>
      </c>
      <c r="R48" s="7">
        <v>7.0968659675247041</v>
      </c>
      <c r="S48" s="7">
        <v>5.7232790060683101</v>
      </c>
      <c r="T48" s="7">
        <v>7.0968659675247041</v>
      </c>
      <c r="U48" s="7">
        <v>10.530833371165691</v>
      </c>
      <c r="V48" s="7">
        <v>9.6151087301947609</v>
      </c>
      <c r="W48" s="7">
        <v>7.7836594482529025</v>
      </c>
      <c r="X48" s="7">
        <v>9.3861775699520287</v>
      </c>
      <c r="Y48" s="7">
        <v>7.5547282880101694</v>
      </c>
      <c r="Z48" s="7">
        <v>5.9522101663110432</v>
      </c>
      <c r="AA48" s="7">
        <v>7.5547282880101703</v>
      </c>
      <c r="AB48" s="7">
        <v>11.217626851893888</v>
      </c>
      <c r="AC48" s="7">
        <v>10.301902210922957</v>
      </c>
      <c r="AD48" s="7">
        <v>8.4704529289810999</v>
      </c>
      <c r="AE48" s="7">
        <v>10.072971050680227</v>
      </c>
      <c r="AF48" s="7"/>
      <c r="AI48" s="9" cm="1">
        <f t="array" ref="AI48">MAX(_xlfn._xlws.FILTER($D48:$AF48, $D$2:$AF$2=AI$2))</f>
        <v>11.217626851893888</v>
      </c>
      <c r="AJ48" s="9" cm="1">
        <f t="array" ref="AJ48">MAX(_xlfn._xlws.FILTER($B48:$AF48, $B$2:$AF$2=AJ$2))</f>
        <v>10.301902210922957</v>
      </c>
      <c r="AK48" s="9" cm="1">
        <f t="array" ref="AK48">MAX(_xlfn._xlws.FILTER($B48:$AF48, $B$2:$AF$2=AK$2))</f>
        <v>8.4704529289810999</v>
      </c>
      <c r="AL48" s="9" cm="1">
        <f t="array" ref="AL48">MAX(_xlfn._xlws.FILTER($B48:$AF48, $B$2:$AF$2=AL$2))</f>
        <v>10.072971050680227</v>
      </c>
      <c r="AM48" s="9" cm="1">
        <f t="array" ref="AM48">MAX(_xlfn._xlws.FILTER($B48:$AF48, $B$2:$AF$2=AM$2))</f>
        <v>7.5547282880101694</v>
      </c>
      <c r="AN48" s="9" cm="1">
        <f t="array" ref="AN48">MAX(_xlfn._xlws.FILTER($B48:$AF48, $B$2:$AF$2=AN$2))</f>
        <v>5.9522101663110432</v>
      </c>
      <c r="AO48" s="9" cm="1">
        <f t="array" ref="AO48">MAX(_xlfn._xlws.FILTER($B48:$AF48, $B$2:$AF$2=AO$2))</f>
        <v>7.5547282880101703</v>
      </c>
    </row>
    <row r="49" spans="1:41" x14ac:dyDescent="0.25">
      <c r="A49" s="3" t="s">
        <v>54</v>
      </c>
      <c r="B49" s="7">
        <v>6.6390036470392388</v>
      </c>
      <c r="C49" s="7">
        <v>7.7836594482529016</v>
      </c>
      <c r="D49" s="7">
        <v>5.9522101663110423</v>
      </c>
      <c r="E49" s="7">
        <v>4.8075543650973804</v>
      </c>
      <c r="F49" s="7">
        <v>6.1811413265537754</v>
      </c>
      <c r="G49" s="7">
        <v>8.6993840892238321</v>
      </c>
      <c r="H49" s="7">
        <v>8.2415217687383659</v>
      </c>
      <c r="I49" s="7">
        <v>6.4100724867965075</v>
      </c>
      <c r="J49" s="7">
        <v>7.5547282880101694</v>
      </c>
      <c r="K49" s="7">
        <v>5.7232790060683101</v>
      </c>
      <c r="L49" s="7">
        <v>4.8075543650973804</v>
      </c>
      <c r="M49" s="7">
        <v>5.9522101663110423</v>
      </c>
      <c r="N49" s="7">
        <v>8.4704529289810981</v>
      </c>
      <c r="O49" s="7">
        <v>8.2415217687383677</v>
      </c>
      <c r="P49" s="7">
        <v>6.4100724867965075</v>
      </c>
      <c r="Q49" s="7">
        <v>7.5547282880101685</v>
      </c>
      <c r="R49" s="7">
        <v>5.7232790060683101</v>
      </c>
      <c r="S49" s="7">
        <v>4.8075543650973804</v>
      </c>
      <c r="T49" s="7">
        <v>6.1811413265537745</v>
      </c>
      <c r="U49" s="7">
        <v>8.6993840892238321</v>
      </c>
      <c r="V49" s="7">
        <v>8.6993840892238303</v>
      </c>
      <c r="W49" s="7">
        <v>6.6390036470392406</v>
      </c>
      <c r="X49" s="7">
        <v>7.7836594482529025</v>
      </c>
      <c r="Y49" s="7">
        <v>6.1811413265537754</v>
      </c>
      <c r="Z49" s="7">
        <v>5.0364855253401126</v>
      </c>
      <c r="AA49" s="7">
        <v>6.6390036470392397</v>
      </c>
      <c r="AB49" s="7">
        <v>9.3861775699520287</v>
      </c>
      <c r="AC49" s="7">
        <v>9.1572464097092947</v>
      </c>
      <c r="AD49" s="7">
        <v>7.3257971277674363</v>
      </c>
      <c r="AE49" s="7">
        <v>8.4704529289810999</v>
      </c>
      <c r="AF49" s="7"/>
      <c r="AI49" s="9" cm="1">
        <f t="array" ref="AI49">MAX(_xlfn._xlws.FILTER($D49:$AF49, $D$2:$AF$2=AI$2))</f>
        <v>9.3861775699520287</v>
      </c>
      <c r="AJ49" s="9" cm="1">
        <f t="array" ref="AJ49">MAX(_xlfn._xlws.FILTER($B49:$AF49, $B$2:$AF$2=AJ$2))</f>
        <v>9.1572464097092947</v>
      </c>
      <c r="AK49" s="9" cm="1">
        <f t="array" ref="AK49">MAX(_xlfn._xlws.FILTER($B49:$AF49, $B$2:$AF$2=AK$2))</f>
        <v>7.3257971277674363</v>
      </c>
      <c r="AL49" s="9" cm="1">
        <f t="array" ref="AL49">MAX(_xlfn._xlws.FILTER($B49:$AF49, $B$2:$AF$2=AL$2))</f>
        <v>8.4704529289810999</v>
      </c>
      <c r="AM49" s="9" cm="1">
        <f t="array" ref="AM49">MAX(_xlfn._xlws.FILTER($B49:$AF49, $B$2:$AF$2=AM$2))</f>
        <v>6.1811413265537754</v>
      </c>
      <c r="AN49" s="9" cm="1">
        <f t="array" ref="AN49">MAX(_xlfn._xlws.FILTER($B49:$AF49, $B$2:$AF$2=AN$2))</f>
        <v>5.0364855253401126</v>
      </c>
      <c r="AO49" s="9" cm="1">
        <f t="array" ref="AO49">MAX(_xlfn._xlws.FILTER($B49:$AF49, $B$2:$AF$2=AO$2))</f>
        <v>6.6390036470392397</v>
      </c>
    </row>
    <row r="50" spans="1:41" x14ac:dyDescent="0.25">
      <c r="A50" s="3" t="s">
        <v>55</v>
      </c>
      <c r="B50" s="7">
        <v>5.7232790060683101</v>
      </c>
      <c r="C50" s="7">
        <v>6.8679348072819728</v>
      </c>
      <c r="D50" s="7">
        <v>4.8075543650973804</v>
      </c>
      <c r="E50" s="7">
        <v>4.120760884369183</v>
      </c>
      <c r="F50" s="7">
        <v>5.0364855253401135</v>
      </c>
      <c r="G50" s="7">
        <v>7.3257971277674372</v>
      </c>
      <c r="H50" s="7">
        <v>6.8679348072819719</v>
      </c>
      <c r="I50" s="7">
        <v>5.494347845825577</v>
      </c>
      <c r="J50" s="7">
        <v>6.6390036470392397</v>
      </c>
      <c r="K50" s="7">
        <v>4.8075543650973804</v>
      </c>
      <c r="L50" s="7">
        <v>4.120760884369183</v>
      </c>
      <c r="M50" s="7">
        <v>5.0364855253401126</v>
      </c>
      <c r="N50" s="7">
        <v>7.3257971277674363</v>
      </c>
      <c r="O50" s="7">
        <v>6.8679348072819719</v>
      </c>
      <c r="P50" s="7">
        <v>5.4943478458255779</v>
      </c>
      <c r="Q50" s="7">
        <v>6.6390036470392397</v>
      </c>
      <c r="R50" s="7">
        <v>4.8075543650973804</v>
      </c>
      <c r="S50" s="7">
        <v>4.120760884369183</v>
      </c>
      <c r="T50" s="7">
        <v>5.0364855253401126</v>
      </c>
      <c r="U50" s="7">
        <v>7.5547282880101703</v>
      </c>
      <c r="V50" s="7">
        <v>7.0968659675247041</v>
      </c>
      <c r="W50" s="7">
        <v>5.723279006068311</v>
      </c>
      <c r="X50" s="7">
        <v>6.8679348072819728</v>
      </c>
      <c r="Y50" s="7">
        <v>5.0364855253401135</v>
      </c>
      <c r="Z50" s="7">
        <v>4.3496920446119161</v>
      </c>
      <c r="AA50" s="7">
        <v>5.4943478458255779</v>
      </c>
      <c r="AB50" s="7">
        <v>8.0125906084956338</v>
      </c>
      <c r="AC50" s="7">
        <v>7.7836594482529007</v>
      </c>
      <c r="AD50" s="7">
        <v>6.1811413265537745</v>
      </c>
      <c r="AE50" s="7">
        <v>7.5547282880101694</v>
      </c>
      <c r="AF50" s="7"/>
      <c r="AI50" s="9" cm="1">
        <f t="array" ref="AI50">MAX(_xlfn._xlws.FILTER($D50:$AF50, $D$2:$AF$2=AI$2))</f>
        <v>8.0125906084956338</v>
      </c>
      <c r="AJ50" s="9" cm="1">
        <f t="array" ref="AJ50">MAX(_xlfn._xlws.FILTER($B50:$AF50, $B$2:$AF$2=AJ$2))</f>
        <v>7.7836594482529007</v>
      </c>
      <c r="AK50" s="9" cm="1">
        <f t="array" ref="AK50">MAX(_xlfn._xlws.FILTER($B50:$AF50, $B$2:$AF$2=AK$2))</f>
        <v>6.1811413265537745</v>
      </c>
      <c r="AL50" s="9" cm="1">
        <f t="array" ref="AL50">MAX(_xlfn._xlws.FILTER($B50:$AF50, $B$2:$AF$2=AL$2))</f>
        <v>7.5547282880101694</v>
      </c>
      <c r="AM50" s="9" cm="1">
        <f t="array" ref="AM50">MAX(_xlfn._xlws.FILTER($B50:$AF50, $B$2:$AF$2=AM$2))</f>
        <v>5.0364855253401135</v>
      </c>
      <c r="AN50" s="9" cm="1">
        <f t="array" ref="AN50">MAX(_xlfn._xlws.FILTER($B50:$AF50, $B$2:$AF$2=AN$2))</f>
        <v>4.3496920446119161</v>
      </c>
      <c r="AO50" s="9" cm="1">
        <f t="array" ref="AO50">MAX(_xlfn._xlws.FILTER($B50:$AF50, $B$2:$AF$2=AO$2))</f>
        <v>5.4943478458255779</v>
      </c>
    </row>
    <row r="51" spans="1:41" s="12" customFormat="1" x14ac:dyDescent="0.25">
      <c r="A51" s="10"/>
      <c r="B51" s="11">
        <f>MAX(B3:B50)</f>
        <v>25.869221107428761</v>
      </c>
      <c r="C51" s="11">
        <f t="shared" ref="C51:AF51" si="2">MAX(C3:C50)</f>
        <v>24.266702985729637</v>
      </c>
      <c r="D51" s="11">
        <f t="shared" si="2"/>
        <v>23.579909505001439</v>
      </c>
      <c r="E51" s="11">
        <f t="shared" si="2"/>
        <v>19.688079780874986</v>
      </c>
      <c r="F51" s="11">
        <f t="shared" si="2"/>
        <v>16.254112377234001</v>
      </c>
      <c r="G51" s="11">
        <f t="shared" si="2"/>
        <v>31.592500113497074</v>
      </c>
      <c r="H51" s="11">
        <f t="shared" si="2"/>
        <v>26.098152267671491</v>
      </c>
      <c r="I51" s="11">
        <f t="shared" si="2"/>
        <v>24.953496466457832</v>
      </c>
      <c r="J51" s="11">
        <f t="shared" si="2"/>
        <v>23.579909505001439</v>
      </c>
      <c r="K51" s="11">
        <f t="shared" si="2"/>
        <v>22.89311602427324</v>
      </c>
      <c r="L51" s="11">
        <f t="shared" si="2"/>
        <v>19.459148620632252</v>
      </c>
      <c r="M51" s="11">
        <f t="shared" si="2"/>
        <v>16.025181216991268</v>
      </c>
      <c r="N51" s="11">
        <f t="shared" si="2"/>
        <v>31.363568953254333</v>
      </c>
      <c r="O51" s="11">
        <f t="shared" si="2"/>
        <v>26.098152267671495</v>
      </c>
      <c r="P51" s="11">
        <f t="shared" si="2"/>
        <v>25.182427626700569</v>
      </c>
      <c r="Q51" s="11">
        <f t="shared" si="2"/>
        <v>23.808840665244169</v>
      </c>
      <c r="R51" s="11">
        <f t="shared" si="2"/>
        <v>23.350978344758705</v>
      </c>
      <c r="S51" s="11">
        <f t="shared" si="2"/>
        <v>19.688079780874986</v>
      </c>
      <c r="T51" s="11">
        <f t="shared" si="2"/>
        <v>16.254112377234001</v>
      </c>
      <c r="U51" s="11">
        <f t="shared" si="2"/>
        <v>32.279293594225273</v>
      </c>
      <c r="V51" s="11">
        <f t="shared" si="2"/>
        <v>27.013876908642423</v>
      </c>
      <c r="W51" s="11">
        <f t="shared" si="2"/>
        <v>26.098152267671498</v>
      </c>
      <c r="X51" s="11">
        <f t="shared" si="2"/>
        <v>24.953496466457835</v>
      </c>
      <c r="Y51" s="11">
        <f t="shared" si="2"/>
        <v>24.495634145972367</v>
      </c>
      <c r="Z51" s="11">
        <f t="shared" si="2"/>
        <v>20.832735582088649</v>
      </c>
      <c r="AA51" s="11">
        <f t="shared" si="2"/>
        <v>17.398768178447664</v>
      </c>
      <c r="AB51" s="11">
        <f t="shared" si="2"/>
        <v>34.568605196652591</v>
      </c>
      <c r="AC51" s="11">
        <f t="shared" si="2"/>
        <v>29.074257350827011</v>
      </c>
      <c r="AD51" s="11">
        <f t="shared" si="2"/>
        <v>28.158532709856086</v>
      </c>
      <c r="AE51" s="11">
        <f t="shared" si="2"/>
        <v>27.013876908642427</v>
      </c>
      <c r="AF51" s="11">
        <f t="shared" si="2"/>
        <v>0</v>
      </c>
    </row>
  </sheetData>
  <mergeCells count="1">
    <mergeCell ref="AI1:A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70AA3-4216-4562-BE8B-7031FFABDCFD}">
  <sheetPr>
    <tabColor rgb="FFFFFF00"/>
  </sheetPr>
  <dimension ref="A1:AG51"/>
  <sheetViews>
    <sheetView zoomScale="75" zoomScaleNormal="75" workbookViewId="0">
      <pane xSplit="1" ySplit="2" topLeftCell="B3" activePane="bottomRight" state="frozen"/>
      <selection activeCell="I28" sqref="I28"/>
      <selection pane="topRight" activeCell="I28" sqref="I28"/>
      <selection pane="bottomLeft" activeCell="I28" sqref="I28"/>
      <selection pane="bottomRight" activeCell="I28" sqref="I28"/>
    </sheetView>
  </sheetViews>
  <sheetFormatPr defaultColWidth="9.140625" defaultRowHeight="15" x14ac:dyDescent="0.25"/>
  <cols>
    <col min="1" max="1" width="11" style="3" bestFit="1" customWidth="1"/>
    <col min="2" max="10" width="7.7109375" style="3" bestFit="1" customWidth="1"/>
    <col min="11" max="31" width="8.85546875" style="3" bestFit="1" customWidth="1"/>
    <col min="32" max="32" width="7.7109375" style="3" bestFit="1" customWidth="1"/>
    <col min="33" max="33" width="7.5703125" style="3" bestFit="1" customWidth="1"/>
    <col min="34" max="16384" width="9.140625" style="3"/>
  </cols>
  <sheetData>
    <row r="1" spans="1:32" x14ac:dyDescent="0.25">
      <c r="A1" s="14" t="s">
        <v>0</v>
      </c>
      <c r="B1" s="2">
        <f>'C-FTE Apr'!B1</f>
        <v>46113</v>
      </c>
      <c r="C1" s="2">
        <f>B1+1</f>
        <v>46114</v>
      </c>
      <c r="D1" s="2">
        <f t="shared" ref="D1:AF1" si="0">C1+1</f>
        <v>46115</v>
      </c>
      <c r="E1" s="2">
        <f t="shared" si="0"/>
        <v>46116</v>
      </c>
      <c r="F1" s="2">
        <f t="shared" si="0"/>
        <v>46117</v>
      </c>
      <c r="G1" s="2">
        <f t="shared" si="0"/>
        <v>46118</v>
      </c>
      <c r="H1" s="2">
        <f t="shared" si="0"/>
        <v>46119</v>
      </c>
      <c r="I1" s="2">
        <f t="shared" si="0"/>
        <v>46120</v>
      </c>
      <c r="J1" s="2">
        <f t="shared" si="0"/>
        <v>46121</v>
      </c>
      <c r="K1" s="2">
        <f t="shared" si="0"/>
        <v>46122</v>
      </c>
      <c r="L1" s="2">
        <f t="shared" si="0"/>
        <v>46123</v>
      </c>
      <c r="M1" s="2">
        <f t="shared" si="0"/>
        <v>46124</v>
      </c>
      <c r="N1" s="2">
        <f t="shared" si="0"/>
        <v>46125</v>
      </c>
      <c r="O1" s="2">
        <f t="shared" si="0"/>
        <v>46126</v>
      </c>
      <c r="P1" s="2">
        <f t="shared" si="0"/>
        <v>46127</v>
      </c>
      <c r="Q1" s="2">
        <f t="shared" si="0"/>
        <v>46128</v>
      </c>
      <c r="R1" s="2">
        <f t="shared" si="0"/>
        <v>46129</v>
      </c>
      <c r="S1" s="2">
        <f t="shared" si="0"/>
        <v>46130</v>
      </c>
      <c r="T1" s="2">
        <f t="shared" si="0"/>
        <v>46131</v>
      </c>
      <c r="U1" s="2">
        <f t="shared" si="0"/>
        <v>46132</v>
      </c>
      <c r="V1" s="2">
        <f t="shared" si="0"/>
        <v>46133</v>
      </c>
      <c r="W1" s="2">
        <f t="shared" si="0"/>
        <v>46134</v>
      </c>
      <c r="X1" s="2">
        <f t="shared" si="0"/>
        <v>46135</v>
      </c>
      <c r="Y1" s="2">
        <f t="shared" si="0"/>
        <v>46136</v>
      </c>
      <c r="Z1" s="2">
        <f t="shared" si="0"/>
        <v>46137</v>
      </c>
      <c r="AA1" s="2">
        <f t="shared" si="0"/>
        <v>46138</v>
      </c>
      <c r="AB1" s="2">
        <f t="shared" si="0"/>
        <v>46139</v>
      </c>
      <c r="AC1" s="2">
        <f t="shared" si="0"/>
        <v>46140</v>
      </c>
      <c r="AD1" s="2">
        <f t="shared" si="0"/>
        <v>46141</v>
      </c>
      <c r="AE1" s="2">
        <f t="shared" si="0"/>
        <v>46142</v>
      </c>
      <c r="AF1" s="2">
        <f t="shared" si="0"/>
        <v>46143</v>
      </c>
    </row>
    <row r="2" spans="1:32" x14ac:dyDescent="0.25">
      <c r="A2" s="15"/>
      <c r="B2" s="5" t="str">
        <f>TEXT(B1,"ddd")</f>
        <v>Wed</v>
      </c>
      <c r="C2" s="5" t="str">
        <f t="shared" ref="C2" si="1">TEXT(C1,"ddd")</f>
        <v>Thu</v>
      </c>
      <c r="D2" s="5" t="str">
        <f t="shared" ref="D2" si="2">TEXT(D1,"ddd")</f>
        <v>Fri</v>
      </c>
      <c r="E2" s="5" t="str">
        <f t="shared" ref="E2" si="3">TEXT(E1,"ddd")</f>
        <v>Sat</v>
      </c>
      <c r="F2" s="5" t="str">
        <f t="shared" ref="F2" si="4">TEXT(F1,"ddd")</f>
        <v>Sun</v>
      </c>
      <c r="G2" s="5" t="str">
        <f t="shared" ref="G2" si="5">TEXT(G1,"ddd")</f>
        <v>Mon</v>
      </c>
      <c r="H2" s="5" t="str">
        <f t="shared" ref="H2" si="6">TEXT(H1,"ddd")</f>
        <v>Tue</v>
      </c>
      <c r="I2" s="5" t="str">
        <f t="shared" ref="I2" si="7">TEXT(I1,"ddd")</f>
        <v>Wed</v>
      </c>
      <c r="J2" s="5" t="str">
        <f t="shared" ref="J2" si="8">TEXT(J1,"ddd")</f>
        <v>Thu</v>
      </c>
      <c r="K2" s="5" t="str">
        <f t="shared" ref="K2" si="9">TEXT(K1,"ddd")</f>
        <v>Fri</v>
      </c>
      <c r="L2" s="5" t="str">
        <f t="shared" ref="L2" si="10">TEXT(L1,"ddd")</f>
        <v>Sat</v>
      </c>
      <c r="M2" s="5" t="str">
        <f t="shared" ref="M2" si="11">TEXT(M1,"ddd")</f>
        <v>Sun</v>
      </c>
      <c r="N2" s="5" t="str">
        <f t="shared" ref="N2" si="12">TEXT(N1,"ddd")</f>
        <v>Mon</v>
      </c>
      <c r="O2" s="5" t="str">
        <f t="shared" ref="O2" si="13">TEXT(O1,"ddd")</f>
        <v>Tue</v>
      </c>
      <c r="P2" s="5" t="str">
        <f t="shared" ref="P2" si="14">TEXT(P1,"ddd")</f>
        <v>Wed</v>
      </c>
      <c r="Q2" s="5" t="str">
        <f t="shared" ref="Q2" si="15">TEXT(Q1,"ddd")</f>
        <v>Thu</v>
      </c>
      <c r="R2" s="5" t="str">
        <f t="shared" ref="R2" si="16">TEXT(R1,"ddd")</f>
        <v>Fri</v>
      </c>
      <c r="S2" s="5" t="str">
        <f t="shared" ref="S2" si="17">TEXT(S1,"ddd")</f>
        <v>Sat</v>
      </c>
      <c r="T2" s="5" t="str">
        <f t="shared" ref="T2" si="18">TEXT(T1,"ddd")</f>
        <v>Sun</v>
      </c>
      <c r="U2" s="5" t="str">
        <f t="shared" ref="U2" si="19">TEXT(U1,"ddd")</f>
        <v>Mon</v>
      </c>
      <c r="V2" s="5" t="str">
        <f t="shared" ref="V2" si="20">TEXT(V1,"ddd")</f>
        <v>Tue</v>
      </c>
      <c r="W2" s="5" t="str">
        <f t="shared" ref="W2" si="21">TEXT(W1,"ddd")</f>
        <v>Wed</v>
      </c>
      <c r="X2" s="5" t="str">
        <f t="shared" ref="X2" si="22">TEXT(X1,"ddd")</f>
        <v>Thu</v>
      </c>
      <c r="Y2" s="5" t="str">
        <f t="shared" ref="Y2" si="23">TEXT(Y1,"ddd")</f>
        <v>Fri</v>
      </c>
      <c r="Z2" s="5" t="str">
        <f t="shared" ref="Z2" si="24">TEXT(Z1,"ddd")</f>
        <v>Sat</v>
      </c>
      <c r="AA2" s="5" t="str">
        <f t="shared" ref="AA2" si="25">TEXT(AA1,"ddd")</f>
        <v>Sun</v>
      </c>
      <c r="AB2" s="5" t="str">
        <f t="shared" ref="AB2" si="26">TEXT(AB1,"ddd")</f>
        <v>Mon</v>
      </c>
      <c r="AC2" s="5" t="str">
        <f t="shared" ref="AC2" si="27">TEXT(AC1,"ddd")</f>
        <v>Tue</v>
      </c>
      <c r="AD2" s="5" t="str">
        <f t="shared" ref="AD2" si="28">TEXT(AD1,"ddd")</f>
        <v>Wed</v>
      </c>
      <c r="AE2" s="5" t="str">
        <f t="shared" ref="AE2" si="29">TEXT(AE1,"ddd")</f>
        <v>Thu</v>
      </c>
      <c r="AF2" s="5" t="str">
        <f t="shared" ref="AF2" si="30">TEXT(AF1,"ddd")</f>
        <v>Fri</v>
      </c>
    </row>
    <row r="3" spans="1:32" x14ac:dyDescent="0.25">
      <c r="A3" s="3" t="s">
        <v>8</v>
      </c>
      <c r="B3" s="7">
        <f>'C-FTE Apr'!B3*2.65</f>
        <v>0</v>
      </c>
      <c r="C3" s="7">
        <f>'C-FTE Apr'!C3*2.65</f>
        <v>0</v>
      </c>
      <c r="D3" s="7">
        <f>'C-FTE Apr'!D3*2.65</f>
        <v>0</v>
      </c>
      <c r="E3" s="7">
        <f>'C-FTE Apr'!E3*2.65</f>
        <v>0</v>
      </c>
      <c r="F3" s="7">
        <f>'C-FTE Apr'!F3*2.65</f>
        <v>0</v>
      </c>
      <c r="G3" s="7">
        <f>'C-FTE Apr'!G3*2.65</f>
        <v>0</v>
      </c>
      <c r="H3" s="7">
        <f>'C-FTE Apr'!H3*2.65</f>
        <v>0</v>
      </c>
      <c r="I3" s="7">
        <f>'C-FTE Apr'!I3*2.65</f>
        <v>0</v>
      </c>
      <c r="J3" s="7">
        <f>'C-FTE Apr'!J3*2.65</f>
        <v>0</v>
      </c>
      <c r="K3" s="7">
        <f>'C-FTE Apr'!K3*2.65</f>
        <v>0</v>
      </c>
      <c r="L3" s="7">
        <f>'C-FTE Apr'!L3*2.65</f>
        <v>0</v>
      </c>
      <c r="M3" s="7">
        <f>'C-FTE Apr'!M3*2.65</f>
        <v>0</v>
      </c>
      <c r="N3" s="7">
        <f>'C-FTE Apr'!N3*2.65</f>
        <v>0</v>
      </c>
      <c r="O3" s="7">
        <f>'C-FTE Apr'!O3*2.65</f>
        <v>0</v>
      </c>
      <c r="P3" s="7">
        <f>'C-FTE Apr'!P3*2.65</f>
        <v>0</v>
      </c>
      <c r="Q3" s="7">
        <f>'C-FTE Apr'!Q3*2.65</f>
        <v>0</v>
      </c>
      <c r="R3" s="7">
        <f>'C-FTE Apr'!R3*2.65</f>
        <v>0</v>
      </c>
      <c r="S3" s="7">
        <f>'C-FTE Apr'!S3*2.65</f>
        <v>0</v>
      </c>
      <c r="T3" s="7">
        <f>'C-FTE Apr'!T3*2.65</f>
        <v>0</v>
      </c>
      <c r="U3" s="7">
        <f>'C-FTE Apr'!U3*2.65</f>
        <v>0</v>
      </c>
      <c r="V3" s="7">
        <f>'C-FTE Apr'!V3*2.65</f>
        <v>0</v>
      </c>
      <c r="W3" s="7">
        <f>'C-FTE Apr'!W3*2.65</f>
        <v>0</v>
      </c>
      <c r="X3" s="7">
        <f>'C-FTE Apr'!X3*2.65</f>
        <v>0</v>
      </c>
      <c r="Y3" s="7">
        <f>'C-FTE Apr'!Y3*2.65</f>
        <v>0</v>
      </c>
      <c r="Z3" s="7">
        <f>'C-FTE Apr'!Z3*2.65</f>
        <v>0</v>
      </c>
      <c r="AA3" s="7">
        <f>'C-FTE Apr'!AA3*2.65</f>
        <v>0</v>
      </c>
      <c r="AB3" s="7">
        <f>'C-FTE Apr'!AB3*2.65</f>
        <v>0</v>
      </c>
      <c r="AC3" s="7">
        <f>'C-FTE Apr'!AC3*2.65</f>
        <v>0</v>
      </c>
      <c r="AD3" s="7">
        <f>'C-FTE Apr'!AD3*2.65</f>
        <v>0</v>
      </c>
      <c r="AE3" s="7">
        <f>'C-FTE Apr'!AE3*2.65</f>
        <v>0</v>
      </c>
      <c r="AF3" s="7">
        <f>'C-FTE Apr'!AF3*2.65</f>
        <v>0</v>
      </c>
    </row>
    <row r="4" spans="1:32" x14ac:dyDescent="0.25">
      <c r="A4" s="3" t="s">
        <v>9</v>
      </c>
      <c r="B4" s="7">
        <f>'C-FTE Apr'!B4*2.65</f>
        <v>0</v>
      </c>
      <c r="C4" s="7">
        <f>'C-FTE Apr'!C4*2.65</f>
        <v>0</v>
      </c>
      <c r="D4" s="7">
        <f>'C-FTE Apr'!D4*2.65</f>
        <v>0</v>
      </c>
      <c r="E4" s="7">
        <f>'C-FTE Apr'!E4*2.65</f>
        <v>0</v>
      </c>
      <c r="F4" s="7">
        <f>'C-FTE Apr'!F4*2.65</f>
        <v>0</v>
      </c>
      <c r="G4" s="7">
        <f>'C-FTE Apr'!G4*2.65</f>
        <v>0</v>
      </c>
      <c r="H4" s="7">
        <f>'C-FTE Apr'!H4*2.65</f>
        <v>0</v>
      </c>
      <c r="I4" s="7">
        <f>'C-FTE Apr'!I4*2.65</f>
        <v>0</v>
      </c>
      <c r="J4" s="7">
        <f>'C-FTE Apr'!J4*2.65</f>
        <v>0</v>
      </c>
      <c r="K4" s="7">
        <f>'C-FTE Apr'!K4*2.65</f>
        <v>0</v>
      </c>
      <c r="L4" s="7">
        <f>'C-FTE Apr'!L4*2.65</f>
        <v>0</v>
      </c>
      <c r="M4" s="7">
        <f>'C-FTE Apr'!M4*2.65</f>
        <v>0</v>
      </c>
      <c r="N4" s="7">
        <f>'C-FTE Apr'!N4*2.65</f>
        <v>0</v>
      </c>
      <c r="O4" s="7">
        <f>'C-FTE Apr'!O4*2.65</f>
        <v>0</v>
      </c>
      <c r="P4" s="7">
        <f>'C-FTE Apr'!P4*2.65</f>
        <v>0</v>
      </c>
      <c r="Q4" s="7">
        <f>'C-FTE Apr'!Q4*2.65</f>
        <v>0</v>
      </c>
      <c r="R4" s="7">
        <f>'C-FTE Apr'!R4*2.65</f>
        <v>0</v>
      </c>
      <c r="S4" s="7">
        <f>'C-FTE Apr'!S4*2.65</f>
        <v>0</v>
      </c>
      <c r="T4" s="7">
        <f>'C-FTE Apr'!T4*2.65</f>
        <v>0</v>
      </c>
      <c r="U4" s="7">
        <f>'C-FTE Apr'!U4*2.65</f>
        <v>0</v>
      </c>
      <c r="V4" s="7">
        <f>'C-FTE Apr'!V4*2.65</f>
        <v>0</v>
      </c>
      <c r="W4" s="7">
        <f>'C-FTE Apr'!W4*2.65</f>
        <v>0</v>
      </c>
      <c r="X4" s="7">
        <f>'C-FTE Apr'!X4*2.65</f>
        <v>0</v>
      </c>
      <c r="Y4" s="7">
        <f>'C-FTE Apr'!Y4*2.65</f>
        <v>0</v>
      </c>
      <c r="Z4" s="7">
        <f>'C-FTE Apr'!Z4*2.65</f>
        <v>0</v>
      </c>
      <c r="AA4" s="7">
        <f>'C-FTE Apr'!AA4*2.65</f>
        <v>0</v>
      </c>
      <c r="AB4" s="7">
        <f>'C-FTE Apr'!AB4*2.65</f>
        <v>0</v>
      </c>
      <c r="AC4" s="7">
        <f>'C-FTE Apr'!AC4*2.65</f>
        <v>0</v>
      </c>
      <c r="AD4" s="7">
        <f>'C-FTE Apr'!AD4*2.65</f>
        <v>0</v>
      </c>
      <c r="AE4" s="7">
        <f>'C-FTE Apr'!AE4*2.65</f>
        <v>0</v>
      </c>
      <c r="AF4" s="7">
        <f>'C-FTE Apr'!AF4*2.65</f>
        <v>0</v>
      </c>
    </row>
    <row r="5" spans="1:32" x14ac:dyDescent="0.25">
      <c r="A5" s="3" t="s">
        <v>10</v>
      </c>
      <c r="B5" s="7">
        <f>'C-FTE Apr'!B5*2.65</f>
        <v>0</v>
      </c>
      <c r="C5" s="7">
        <f>'C-FTE Apr'!C5*2.65</f>
        <v>0</v>
      </c>
      <c r="D5" s="7">
        <f>'C-FTE Apr'!D5*2.65</f>
        <v>0</v>
      </c>
      <c r="E5" s="7">
        <f>'C-FTE Apr'!E5*2.65</f>
        <v>0</v>
      </c>
      <c r="F5" s="7">
        <f>'C-FTE Apr'!F5*2.65</f>
        <v>0</v>
      </c>
      <c r="G5" s="7">
        <f>'C-FTE Apr'!G5*2.65</f>
        <v>0</v>
      </c>
      <c r="H5" s="7">
        <f>'C-FTE Apr'!H5*2.65</f>
        <v>0</v>
      </c>
      <c r="I5" s="7">
        <f>'C-FTE Apr'!I5*2.65</f>
        <v>0</v>
      </c>
      <c r="J5" s="7">
        <f>'C-FTE Apr'!J5*2.65</f>
        <v>0</v>
      </c>
      <c r="K5" s="7">
        <f>'C-FTE Apr'!K5*2.65</f>
        <v>0</v>
      </c>
      <c r="L5" s="7">
        <f>'C-FTE Apr'!L5*2.65</f>
        <v>0</v>
      </c>
      <c r="M5" s="7">
        <f>'C-FTE Apr'!M5*2.65</f>
        <v>0</v>
      </c>
      <c r="N5" s="7">
        <f>'C-FTE Apr'!N5*2.65</f>
        <v>0</v>
      </c>
      <c r="O5" s="7">
        <f>'C-FTE Apr'!O5*2.65</f>
        <v>0</v>
      </c>
      <c r="P5" s="7">
        <f>'C-FTE Apr'!P5*2.65</f>
        <v>0</v>
      </c>
      <c r="Q5" s="7">
        <f>'C-FTE Apr'!Q5*2.65</f>
        <v>0</v>
      </c>
      <c r="R5" s="7">
        <f>'C-FTE Apr'!R5*2.65</f>
        <v>0</v>
      </c>
      <c r="S5" s="7">
        <f>'C-FTE Apr'!S5*2.65</f>
        <v>0</v>
      </c>
      <c r="T5" s="7">
        <f>'C-FTE Apr'!T5*2.65</f>
        <v>0</v>
      </c>
      <c r="U5" s="7">
        <f>'C-FTE Apr'!U5*2.65</f>
        <v>0</v>
      </c>
      <c r="V5" s="7">
        <f>'C-FTE Apr'!V5*2.65</f>
        <v>0</v>
      </c>
      <c r="W5" s="7">
        <f>'C-FTE Apr'!W5*2.65</f>
        <v>0</v>
      </c>
      <c r="X5" s="7">
        <f>'C-FTE Apr'!X5*2.65</f>
        <v>0</v>
      </c>
      <c r="Y5" s="7">
        <f>'C-FTE Apr'!Y5*2.65</f>
        <v>0</v>
      </c>
      <c r="Z5" s="7">
        <f>'C-FTE Apr'!Z5*2.65</f>
        <v>0</v>
      </c>
      <c r="AA5" s="7">
        <f>'C-FTE Apr'!AA5*2.65</f>
        <v>0</v>
      </c>
      <c r="AB5" s="7">
        <f>'C-FTE Apr'!AB5*2.65</f>
        <v>0</v>
      </c>
      <c r="AC5" s="7">
        <f>'C-FTE Apr'!AC5*2.65</f>
        <v>0</v>
      </c>
      <c r="AD5" s="7">
        <f>'C-FTE Apr'!AD5*2.65</f>
        <v>0</v>
      </c>
      <c r="AE5" s="7">
        <f>'C-FTE Apr'!AE5*2.65</f>
        <v>0</v>
      </c>
      <c r="AF5" s="7">
        <f>'C-FTE Apr'!AF5*2.65</f>
        <v>0</v>
      </c>
    </row>
    <row r="6" spans="1:32" x14ac:dyDescent="0.25">
      <c r="A6" s="3" t="s">
        <v>11</v>
      </c>
      <c r="B6" s="7">
        <f>'C-FTE Apr'!B6*2.65</f>
        <v>0</v>
      </c>
      <c r="C6" s="7">
        <f>'C-FTE Apr'!C6*2.65</f>
        <v>0</v>
      </c>
      <c r="D6" s="7">
        <f>'C-FTE Apr'!D6*2.65</f>
        <v>0</v>
      </c>
      <c r="E6" s="7">
        <f>'C-FTE Apr'!E6*2.65</f>
        <v>0</v>
      </c>
      <c r="F6" s="7">
        <f>'C-FTE Apr'!F6*2.65</f>
        <v>0</v>
      </c>
      <c r="G6" s="7">
        <f>'C-FTE Apr'!G6*2.65</f>
        <v>0</v>
      </c>
      <c r="H6" s="7">
        <f>'C-FTE Apr'!H6*2.65</f>
        <v>0</v>
      </c>
      <c r="I6" s="7">
        <f>'C-FTE Apr'!I6*2.65</f>
        <v>0</v>
      </c>
      <c r="J6" s="7">
        <f>'C-FTE Apr'!J6*2.65</f>
        <v>0</v>
      </c>
      <c r="K6" s="7">
        <f>'C-FTE Apr'!K6*2.65</f>
        <v>0</v>
      </c>
      <c r="L6" s="7">
        <f>'C-FTE Apr'!L6*2.65</f>
        <v>0</v>
      </c>
      <c r="M6" s="7">
        <f>'C-FTE Apr'!M6*2.65</f>
        <v>0</v>
      </c>
      <c r="N6" s="7">
        <f>'C-FTE Apr'!N6*2.65</f>
        <v>0</v>
      </c>
      <c r="O6" s="7">
        <f>'C-FTE Apr'!O6*2.65</f>
        <v>0</v>
      </c>
      <c r="P6" s="7">
        <f>'C-FTE Apr'!P6*2.65</f>
        <v>0</v>
      </c>
      <c r="Q6" s="7">
        <f>'C-FTE Apr'!Q6*2.65</f>
        <v>0</v>
      </c>
      <c r="R6" s="7">
        <f>'C-FTE Apr'!R6*2.65</f>
        <v>0</v>
      </c>
      <c r="S6" s="7">
        <f>'C-FTE Apr'!S6*2.65</f>
        <v>0</v>
      </c>
      <c r="T6" s="7">
        <f>'C-FTE Apr'!T6*2.65</f>
        <v>0</v>
      </c>
      <c r="U6" s="7">
        <f>'C-FTE Apr'!U6*2.65</f>
        <v>0</v>
      </c>
      <c r="V6" s="7">
        <f>'C-FTE Apr'!V6*2.65</f>
        <v>0</v>
      </c>
      <c r="W6" s="7">
        <f>'C-FTE Apr'!W6*2.65</f>
        <v>0</v>
      </c>
      <c r="X6" s="7">
        <f>'C-FTE Apr'!X6*2.65</f>
        <v>0</v>
      </c>
      <c r="Y6" s="7">
        <f>'C-FTE Apr'!Y6*2.65</f>
        <v>0</v>
      </c>
      <c r="Z6" s="7">
        <f>'C-FTE Apr'!Z6*2.65</f>
        <v>0</v>
      </c>
      <c r="AA6" s="7">
        <f>'C-FTE Apr'!AA6*2.65</f>
        <v>0</v>
      </c>
      <c r="AB6" s="7">
        <f>'C-FTE Apr'!AB6*2.65</f>
        <v>0</v>
      </c>
      <c r="AC6" s="7">
        <f>'C-FTE Apr'!AC6*2.65</f>
        <v>0</v>
      </c>
      <c r="AD6" s="7">
        <f>'C-FTE Apr'!AD6*2.65</f>
        <v>0</v>
      </c>
      <c r="AE6" s="7">
        <f>'C-FTE Apr'!AE6*2.65</f>
        <v>0</v>
      </c>
      <c r="AF6" s="7">
        <f>'C-FTE Apr'!AF6*2.65</f>
        <v>0</v>
      </c>
    </row>
    <row r="7" spans="1:32" x14ac:dyDescent="0.25">
      <c r="A7" s="3" t="s">
        <v>12</v>
      </c>
      <c r="B7" s="7">
        <f>'C-FTE Apr'!B7*2.65</f>
        <v>0</v>
      </c>
      <c r="C7" s="7">
        <f>'C-FTE Apr'!C7*2.65</f>
        <v>0</v>
      </c>
      <c r="D7" s="7">
        <f>'C-FTE Apr'!D7*2.65</f>
        <v>0</v>
      </c>
      <c r="E7" s="7">
        <f>'C-FTE Apr'!E7*2.65</f>
        <v>0</v>
      </c>
      <c r="F7" s="7">
        <f>'C-FTE Apr'!F7*2.65</f>
        <v>0</v>
      </c>
      <c r="G7" s="7">
        <f>'C-FTE Apr'!G7*2.65</f>
        <v>0</v>
      </c>
      <c r="H7" s="7">
        <f>'C-FTE Apr'!H7*2.65</f>
        <v>0</v>
      </c>
      <c r="I7" s="7">
        <f>'C-FTE Apr'!I7*2.65</f>
        <v>0</v>
      </c>
      <c r="J7" s="7">
        <f>'C-FTE Apr'!J7*2.65</f>
        <v>0</v>
      </c>
      <c r="K7" s="7">
        <f>'C-FTE Apr'!K7*2.65</f>
        <v>0</v>
      </c>
      <c r="L7" s="7">
        <f>'C-FTE Apr'!L7*2.65</f>
        <v>0</v>
      </c>
      <c r="M7" s="7">
        <f>'C-FTE Apr'!M7*2.65</f>
        <v>0</v>
      </c>
      <c r="N7" s="7">
        <f>'C-FTE Apr'!N7*2.65</f>
        <v>0</v>
      </c>
      <c r="O7" s="7">
        <f>'C-FTE Apr'!O7*2.65</f>
        <v>0</v>
      </c>
      <c r="P7" s="7">
        <f>'C-FTE Apr'!P7*2.65</f>
        <v>0</v>
      </c>
      <c r="Q7" s="7">
        <f>'C-FTE Apr'!Q7*2.65</f>
        <v>0</v>
      </c>
      <c r="R7" s="7">
        <f>'C-FTE Apr'!R7*2.65</f>
        <v>0</v>
      </c>
      <c r="S7" s="7">
        <f>'C-FTE Apr'!S7*2.65</f>
        <v>0</v>
      </c>
      <c r="T7" s="7">
        <f>'C-FTE Apr'!T7*2.65</f>
        <v>0</v>
      </c>
      <c r="U7" s="7">
        <f>'C-FTE Apr'!U7*2.65</f>
        <v>0</v>
      </c>
      <c r="V7" s="7">
        <f>'C-FTE Apr'!V7*2.65</f>
        <v>0</v>
      </c>
      <c r="W7" s="7">
        <f>'C-FTE Apr'!W7*2.65</f>
        <v>0</v>
      </c>
      <c r="X7" s="7">
        <f>'C-FTE Apr'!X7*2.65</f>
        <v>0</v>
      </c>
      <c r="Y7" s="7">
        <f>'C-FTE Apr'!Y7*2.65</f>
        <v>0</v>
      </c>
      <c r="Z7" s="7">
        <f>'C-FTE Apr'!Z7*2.65</f>
        <v>0</v>
      </c>
      <c r="AA7" s="7">
        <f>'C-FTE Apr'!AA7*2.65</f>
        <v>0</v>
      </c>
      <c r="AB7" s="7">
        <f>'C-FTE Apr'!AB7*2.65</f>
        <v>0</v>
      </c>
      <c r="AC7" s="7">
        <f>'C-FTE Apr'!AC7*2.65</f>
        <v>0</v>
      </c>
      <c r="AD7" s="7">
        <f>'C-FTE Apr'!AD7*2.65</f>
        <v>0</v>
      </c>
      <c r="AE7" s="7">
        <f>'C-FTE Apr'!AE7*2.65</f>
        <v>0</v>
      </c>
      <c r="AF7" s="7">
        <f>'C-FTE Apr'!AF7*2.65</f>
        <v>0</v>
      </c>
    </row>
    <row r="8" spans="1:32" x14ac:dyDescent="0.25">
      <c r="A8" s="3" t="s">
        <v>13</v>
      </c>
      <c r="B8" s="7">
        <f>'C-FTE Apr'!B8*2.65</f>
        <v>0</v>
      </c>
      <c r="C8" s="7">
        <f>'C-FTE Apr'!C8*2.65</f>
        <v>0</v>
      </c>
      <c r="D8" s="7">
        <f>'C-FTE Apr'!D8*2.65</f>
        <v>0</v>
      </c>
      <c r="E8" s="7">
        <f>'C-FTE Apr'!E8*2.65</f>
        <v>0</v>
      </c>
      <c r="F8" s="7">
        <f>'C-FTE Apr'!F8*2.65</f>
        <v>0</v>
      </c>
      <c r="G8" s="7">
        <f>'C-FTE Apr'!G8*2.65</f>
        <v>0</v>
      </c>
      <c r="H8" s="7">
        <f>'C-FTE Apr'!H8*2.65</f>
        <v>0</v>
      </c>
      <c r="I8" s="7">
        <f>'C-FTE Apr'!I8*2.65</f>
        <v>0</v>
      </c>
      <c r="J8" s="7">
        <f>'C-FTE Apr'!J8*2.65</f>
        <v>0</v>
      </c>
      <c r="K8" s="7">
        <f>'C-FTE Apr'!K8*2.65</f>
        <v>0</v>
      </c>
      <c r="L8" s="7">
        <f>'C-FTE Apr'!L8*2.65</f>
        <v>0</v>
      </c>
      <c r="M8" s="7">
        <f>'C-FTE Apr'!M8*2.65</f>
        <v>0</v>
      </c>
      <c r="N8" s="7">
        <f>'C-FTE Apr'!N8*2.65</f>
        <v>0</v>
      </c>
      <c r="O8" s="7">
        <f>'C-FTE Apr'!O8*2.65</f>
        <v>0</v>
      </c>
      <c r="P8" s="7">
        <f>'C-FTE Apr'!P8*2.65</f>
        <v>0</v>
      </c>
      <c r="Q8" s="7">
        <f>'C-FTE Apr'!Q8*2.65</f>
        <v>0</v>
      </c>
      <c r="R8" s="7">
        <f>'C-FTE Apr'!R8*2.65</f>
        <v>0</v>
      </c>
      <c r="S8" s="7">
        <f>'C-FTE Apr'!S8*2.65</f>
        <v>0</v>
      </c>
      <c r="T8" s="7">
        <f>'C-FTE Apr'!T8*2.65</f>
        <v>0</v>
      </c>
      <c r="U8" s="7">
        <f>'C-FTE Apr'!U8*2.65</f>
        <v>0</v>
      </c>
      <c r="V8" s="7">
        <f>'C-FTE Apr'!V8*2.65</f>
        <v>0</v>
      </c>
      <c r="W8" s="7">
        <f>'C-FTE Apr'!W8*2.65</f>
        <v>0</v>
      </c>
      <c r="X8" s="7">
        <f>'C-FTE Apr'!X8*2.65</f>
        <v>0</v>
      </c>
      <c r="Y8" s="7">
        <f>'C-FTE Apr'!Y8*2.65</f>
        <v>0</v>
      </c>
      <c r="Z8" s="7">
        <f>'C-FTE Apr'!Z8*2.65</f>
        <v>0</v>
      </c>
      <c r="AA8" s="7">
        <f>'C-FTE Apr'!AA8*2.65</f>
        <v>0</v>
      </c>
      <c r="AB8" s="7">
        <f>'C-FTE Apr'!AB8*2.65</f>
        <v>0</v>
      </c>
      <c r="AC8" s="7">
        <f>'C-FTE Apr'!AC8*2.65</f>
        <v>0</v>
      </c>
      <c r="AD8" s="7">
        <f>'C-FTE Apr'!AD8*2.65</f>
        <v>0</v>
      </c>
      <c r="AE8" s="7">
        <f>'C-FTE Apr'!AE8*2.65</f>
        <v>0</v>
      </c>
      <c r="AF8" s="7">
        <f>'C-FTE Apr'!AF8*2.65</f>
        <v>0</v>
      </c>
    </row>
    <row r="9" spans="1:32" x14ac:dyDescent="0.25">
      <c r="A9" s="3" t="s">
        <v>14</v>
      </c>
      <c r="B9" s="7">
        <f>'C-FTE Apr'!B9*2.65</f>
        <v>0</v>
      </c>
      <c r="C9" s="7">
        <f>'C-FTE Apr'!C9*2.65</f>
        <v>0</v>
      </c>
      <c r="D9" s="7">
        <f>'C-FTE Apr'!D9*2.65</f>
        <v>0</v>
      </c>
      <c r="E9" s="7">
        <f>'C-FTE Apr'!E9*2.65</f>
        <v>0</v>
      </c>
      <c r="F9" s="7">
        <f>'C-FTE Apr'!F9*2.65</f>
        <v>0</v>
      </c>
      <c r="G9" s="7">
        <f>'C-FTE Apr'!G9*2.65</f>
        <v>0</v>
      </c>
      <c r="H9" s="7">
        <f>'C-FTE Apr'!H9*2.65</f>
        <v>0</v>
      </c>
      <c r="I9" s="7">
        <f>'C-FTE Apr'!I9*2.65</f>
        <v>0</v>
      </c>
      <c r="J9" s="7">
        <f>'C-FTE Apr'!J9*2.65</f>
        <v>0</v>
      </c>
      <c r="K9" s="7">
        <f>'C-FTE Apr'!K9*2.65</f>
        <v>0</v>
      </c>
      <c r="L9" s="7">
        <f>'C-FTE Apr'!L9*2.65</f>
        <v>0</v>
      </c>
      <c r="M9" s="7">
        <f>'C-FTE Apr'!M9*2.65</f>
        <v>0</v>
      </c>
      <c r="N9" s="7">
        <f>'C-FTE Apr'!N9*2.65</f>
        <v>0</v>
      </c>
      <c r="O9" s="7">
        <f>'C-FTE Apr'!O9*2.65</f>
        <v>0</v>
      </c>
      <c r="P9" s="7">
        <f>'C-FTE Apr'!P9*2.65</f>
        <v>0</v>
      </c>
      <c r="Q9" s="7">
        <f>'C-FTE Apr'!Q9*2.65</f>
        <v>0</v>
      </c>
      <c r="R9" s="7">
        <f>'C-FTE Apr'!R9*2.65</f>
        <v>0</v>
      </c>
      <c r="S9" s="7">
        <f>'C-FTE Apr'!S9*2.65</f>
        <v>0</v>
      </c>
      <c r="T9" s="7">
        <f>'C-FTE Apr'!T9*2.65</f>
        <v>0</v>
      </c>
      <c r="U9" s="7">
        <f>'C-FTE Apr'!U9*2.65</f>
        <v>0</v>
      </c>
      <c r="V9" s="7">
        <f>'C-FTE Apr'!V9*2.65</f>
        <v>0</v>
      </c>
      <c r="W9" s="7">
        <f>'C-FTE Apr'!W9*2.65</f>
        <v>0</v>
      </c>
      <c r="X9" s="7">
        <f>'C-FTE Apr'!X9*2.65</f>
        <v>0</v>
      </c>
      <c r="Y9" s="7">
        <f>'C-FTE Apr'!Y9*2.65</f>
        <v>0</v>
      </c>
      <c r="Z9" s="7">
        <f>'C-FTE Apr'!Z9*2.65</f>
        <v>0</v>
      </c>
      <c r="AA9" s="7">
        <f>'C-FTE Apr'!AA9*2.65</f>
        <v>0</v>
      </c>
      <c r="AB9" s="7">
        <f>'C-FTE Apr'!AB9*2.65</f>
        <v>0</v>
      </c>
      <c r="AC9" s="7">
        <f>'C-FTE Apr'!AC9*2.65</f>
        <v>0</v>
      </c>
      <c r="AD9" s="7">
        <f>'C-FTE Apr'!AD9*2.65</f>
        <v>0</v>
      </c>
      <c r="AE9" s="7">
        <f>'C-FTE Apr'!AE9*2.65</f>
        <v>0</v>
      </c>
      <c r="AF9" s="7">
        <f>'C-FTE Apr'!AF9*2.65</f>
        <v>0</v>
      </c>
    </row>
    <row r="10" spans="1:32" x14ac:dyDescent="0.25">
      <c r="A10" s="3" t="s">
        <v>15</v>
      </c>
      <c r="B10" s="7">
        <f>'C-FTE Apr'!B10*2.65</f>
        <v>0</v>
      </c>
      <c r="C10" s="7">
        <f>'C-FTE Apr'!C10*2.65</f>
        <v>0</v>
      </c>
      <c r="D10" s="7">
        <f>'C-FTE Apr'!D10*2.65</f>
        <v>0</v>
      </c>
      <c r="E10" s="7">
        <f>'C-FTE Apr'!E10*2.65</f>
        <v>0</v>
      </c>
      <c r="F10" s="7">
        <f>'C-FTE Apr'!F10*2.65</f>
        <v>0</v>
      </c>
      <c r="G10" s="7">
        <f>'C-FTE Apr'!G10*2.65</f>
        <v>0</v>
      </c>
      <c r="H10" s="7">
        <f>'C-FTE Apr'!H10*2.65</f>
        <v>0</v>
      </c>
      <c r="I10" s="7">
        <f>'C-FTE Apr'!I10*2.65</f>
        <v>0</v>
      </c>
      <c r="J10" s="7">
        <f>'C-FTE Apr'!J10*2.65</f>
        <v>0</v>
      </c>
      <c r="K10" s="7">
        <f>'C-FTE Apr'!K10*2.65</f>
        <v>0</v>
      </c>
      <c r="L10" s="7">
        <f>'C-FTE Apr'!L10*2.65</f>
        <v>0</v>
      </c>
      <c r="M10" s="7">
        <f>'C-FTE Apr'!M10*2.65</f>
        <v>0</v>
      </c>
      <c r="N10" s="7">
        <f>'C-FTE Apr'!N10*2.65</f>
        <v>0</v>
      </c>
      <c r="O10" s="7">
        <f>'C-FTE Apr'!O10*2.65</f>
        <v>0</v>
      </c>
      <c r="P10" s="7">
        <f>'C-FTE Apr'!P10*2.65</f>
        <v>0</v>
      </c>
      <c r="Q10" s="7">
        <f>'C-FTE Apr'!Q10*2.65</f>
        <v>0</v>
      </c>
      <c r="R10" s="7">
        <f>'C-FTE Apr'!R10*2.65</f>
        <v>0</v>
      </c>
      <c r="S10" s="7">
        <f>'C-FTE Apr'!S10*2.65</f>
        <v>0</v>
      </c>
      <c r="T10" s="7">
        <f>'C-FTE Apr'!T10*2.65</f>
        <v>0</v>
      </c>
      <c r="U10" s="7">
        <f>'C-FTE Apr'!U10*2.65</f>
        <v>0</v>
      </c>
      <c r="V10" s="7">
        <f>'C-FTE Apr'!V10*2.65</f>
        <v>0</v>
      </c>
      <c r="W10" s="7">
        <f>'C-FTE Apr'!W10*2.65</f>
        <v>0</v>
      </c>
      <c r="X10" s="7">
        <f>'C-FTE Apr'!X10*2.65</f>
        <v>0</v>
      </c>
      <c r="Y10" s="7">
        <f>'C-FTE Apr'!Y10*2.65</f>
        <v>0</v>
      </c>
      <c r="Z10" s="7">
        <f>'C-FTE Apr'!Z10*2.65</f>
        <v>0</v>
      </c>
      <c r="AA10" s="7">
        <f>'C-FTE Apr'!AA10*2.65</f>
        <v>0</v>
      </c>
      <c r="AB10" s="7">
        <f>'C-FTE Apr'!AB10*2.65</f>
        <v>0</v>
      </c>
      <c r="AC10" s="7">
        <f>'C-FTE Apr'!AC10*2.65</f>
        <v>0</v>
      </c>
      <c r="AD10" s="7">
        <f>'C-FTE Apr'!AD10*2.65</f>
        <v>0</v>
      </c>
      <c r="AE10" s="7">
        <f>'C-FTE Apr'!AE10*2.65</f>
        <v>0</v>
      </c>
      <c r="AF10" s="7">
        <f>'C-FTE Apr'!AF10*2.65</f>
        <v>0</v>
      </c>
    </row>
    <row r="11" spans="1:32" x14ac:dyDescent="0.25">
      <c r="A11" s="3" t="s">
        <v>16</v>
      </c>
      <c r="B11" s="7">
        <f>'C-FTE Apr'!B11*2.65</f>
        <v>0</v>
      </c>
      <c r="C11" s="7">
        <f>'C-FTE Apr'!C11*2.65</f>
        <v>0</v>
      </c>
      <c r="D11" s="7">
        <f>'C-FTE Apr'!D11*2.65</f>
        <v>0</v>
      </c>
      <c r="E11" s="7">
        <f>'C-FTE Apr'!E11*2.65</f>
        <v>0</v>
      </c>
      <c r="F11" s="7">
        <f>'C-FTE Apr'!F11*2.65</f>
        <v>0</v>
      </c>
      <c r="G11" s="7">
        <f>'C-FTE Apr'!G11*2.65</f>
        <v>0</v>
      </c>
      <c r="H11" s="7">
        <f>'C-FTE Apr'!H11*2.65</f>
        <v>0</v>
      </c>
      <c r="I11" s="7">
        <f>'C-FTE Apr'!I11*2.65</f>
        <v>0</v>
      </c>
      <c r="J11" s="7">
        <f>'C-FTE Apr'!J11*2.65</f>
        <v>0</v>
      </c>
      <c r="K11" s="7">
        <f>'C-FTE Apr'!K11*2.65</f>
        <v>0</v>
      </c>
      <c r="L11" s="7">
        <f>'C-FTE Apr'!L11*2.65</f>
        <v>0</v>
      </c>
      <c r="M11" s="7">
        <f>'C-FTE Apr'!M11*2.65</f>
        <v>0</v>
      </c>
      <c r="N11" s="7">
        <f>'C-FTE Apr'!N11*2.65</f>
        <v>0</v>
      </c>
      <c r="O11" s="7">
        <f>'C-FTE Apr'!O11*2.65</f>
        <v>0</v>
      </c>
      <c r="P11" s="7">
        <f>'C-FTE Apr'!P11*2.65</f>
        <v>0</v>
      </c>
      <c r="Q11" s="7">
        <f>'C-FTE Apr'!Q11*2.65</f>
        <v>0</v>
      </c>
      <c r="R11" s="7">
        <f>'C-FTE Apr'!R11*2.65</f>
        <v>0</v>
      </c>
      <c r="S11" s="7">
        <f>'C-FTE Apr'!S11*2.65</f>
        <v>0</v>
      </c>
      <c r="T11" s="7">
        <f>'C-FTE Apr'!T11*2.65</f>
        <v>0</v>
      </c>
      <c r="U11" s="7">
        <f>'C-FTE Apr'!U11*2.65</f>
        <v>0</v>
      </c>
      <c r="V11" s="7">
        <f>'C-FTE Apr'!V11*2.65</f>
        <v>0</v>
      </c>
      <c r="W11" s="7">
        <f>'C-FTE Apr'!W11*2.65</f>
        <v>0</v>
      </c>
      <c r="X11" s="7">
        <f>'C-FTE Apr'!X11*2.65</f>
        <v>0</v>
      </c>
      <c r="Y11" s="7">
        <f>'C-FTE Apr'!Y11*2.65</f>
        <v>0</v>
      </c>
      <c r="Z11" s="7">
        <f>'C-FTE Apr'!Z11*2.65</f>
        <v>0</v>
      </c>
      <c r="AA11" s="7">
        <f>'C-FTE Apr'!AA11*2.65</f>
        <v>0</v>
      </c>
      <c r="AB11" s="7">
        <f>'C-FTE Apr'!AB11*2.65</f>
        <v>0</v>
      </c>
      <c r="AC11" s="7">
        <f>'C-FTE Apr'!AC11*2.65</f>
        <v>0</v>
      </c>
      <c r="AD11" s="7">
        <f>'C-FTE Apr'!AD11*2.65</f>
        <v>0</v>
      </c>
      <c r="AE11" s="7">
        <f>'C-FTE Apr'!AE11*2.65</f>
        <v>0</v>
      </c>
      <c r="AF11" s="7">
        <f>'C-FTE Apr'!AF11*2.65</f>
        <v>0</v>
      </c>
    </row>
    <row r="12" spans="1:32" x14ac:dyDescent="0.25">
      <c r="A12" s="3" t="s">
        <v>17</v>
      </c>
      <c r="B12" s="7">
        <f>'C-FTE Apr'!B12*2.65</f>
        <v>0</v>
      </c>
      <c r="C12" s="7">
        <f>'C-FTE Apr'!C12*2.65</f>
        <v>0</v>
      </c>
      <c r="D12" s="7">
        <f>'C-FTE Apr'!D12*2.65</f>
        <v>0</v>
      </c>
      <c r="E12" s="7">
        <f>'C-FTE Apr'!E12*2.65</f>
        <v>0</v>
      </c>
      <c r="F12" s="7">
        <f>'C-FTE Apr'!F12*2.65</f>
        <v>0</v>
      </c>
      <c r="G12" s="7">
        <f>'C-FTE Apr'!G12*2.65</f>
        <v>0</v>
      </c>
      <c r="H12" s="7">
        <f>'C-FTE Apr'!H12*2.65</f>
        <v>0</v>
      </c>
      <c r="I12" s="7">
        <f>'C-FTE Apr'!I12*2.65</f>
        <v>0</v>
      </c>
      <c r="J12" s="7">
        <f>'C-FTE Apr'!J12*2.65</f>
        <v>0</v>
      </c>
      <c r="K12" s="7">
        <f>'C-FTE Apr'!K12*2.65</f>
        <v>0</v>
      </c>
      <c r="L12" s="7">
        <f>'C-FTE Apr'!L12*2.65</f>
        <v>0</v>
      </c>
      <c r="M12" s="7">
        <f>'C-FTE Apr'!M12*2.65</f>
        <v>0</v>
      </c>
      <c r="N12" s="7">
        <f>'C-FTE Apr'!N12*2.65</f>
        <v>0</v>
      </c>
      <c r="O12" s="7">
        <f>'C-FTE Apr'!O12*2.65</f>
        <v>0</v>
      </c>
      <c r="P12" s="7">
        <f>'C-FTE Apr'!P12*2.65</f>
        <v>0</v>
      </c>
      <c r="Q12" s="7">
        <f>'C-FTE Apr'!Q12*2.65</f>
        <v>0</v>
      </c>
      <c r="R12" s="7">
        <f>'C-FTE Apr'!R12*2.65</f>
        <v>0</v>
      </c>
      <c r="S12" s="7">
        <f>'C-FTE Apr'!S12*2.65</f>
        <v>0</v>
      </c>
      <c r="T12" s="7">
        <f>'C-FTE Apr'!T12*2.65</f>
        <v>0</v>
      </c>
      <c r="U12" s="7">
        <f>'C-FTE Apr'!U12*2.65</f>
        <v>0</v>
      </c>
      <c r="V12" s="7">
        <f>'C-FTE Apr'!V12*2.65</f>
        <v>0</v>
      </c>
      <c r="W12" s="7">
        <f>'C-FTE Apr'!W12*2.65</f>
        <v>0</v>
      </c>
      <c r="X12" s="7">
        <f>'C-FTE Apr'!X12*2.65</f>
        <v>0</v>
      </c>
      <c r="Y12" s="7">
        <f>'C-FTE Apr'!Y12*2.65</f>
        <v>0</v>
      </c>
      <c r="Z12" s="7">
        <f>'C-FTE Apr'!Z12*2.65</f>
        <v>0</v>
      </c>
      <c r="AA12" s="7">
        <f>'C-FTE Apr'!AA12*2.65</f>
        <v>0</v>
      </c>
      <c r="AB12" s="7">
        <f>'C-FTE Apr'!AB12*2.65</f>
        <v>0</v>
      </c>
      <c r="AC12" s="7">
        <f>'C-FTE Apr'!AC12*2.65</f>
        <v>0</v>
      </c>
      <c r="AD12" s="7">
        <f>'C-FTE Apr'!AD12*2.65</f>
        <v>0</v>
      </c>
      <c r="AE12" s="7">
        <f>'C-FTE Apr'!AE12*2.65</f>
        <v>0</v>
      </c>
      <c r="AF12" s="7">
        <f>'C-FTE Apr'!AF12*2.65</f>
        <v>0</v>
      </c>
    </row>
    <row r="13" spans="1:32" x14ac:dyDescent="0.25">
      <c r="A13" s="3" t="s">
        <v>18</v>
      </c>
      <c r="B13" s="7">
        <f>'C-FTE Apr'!B13*2.65</f>
        <v>0</v>
      </c>
      <c r="C13" s="7">
        <f>'C-FTE Apr'!C13*2.65</f>
        <v>0</v>
      </c>
      <c r="D13" s="7">
        <f>'C-FTE Apr'!D13*2.65</f>
        <v>0</v>
      </c>
      <c r="E13" s="7">
        <f>'C-FTE Apr'!E13*2.65</f>
        <v>0</v>
      </c>
      <c r="F13" s="7">
        <f>'C-FTE Apr'!F13*2.65</f>
        <v>0</v>
      </c>
      <c r="G13" s="7">
        <f>'C-FTE Apr'!G13*2.65</f>
        <v>0</v>
      </c>
      <c r="H13" s="7">
        <f>'C-FTE Apr'!H13*2.65</f>
        <v>0</v>
      </c>
      <c r="I13" s="7">
        <f>'C-FTE Apr'!I13*2.65</f>
        <v>0</v>
      </c>
      <c r="J13" s="7">
        <f>'C-FTE Apr'!J13*2.65</f>
        <v>0</v>
      </c>
      <c r="K13" s="7">
        <f>'C-FTE Apr'!K13*2.65</f>
        <v>0</v>
      </c>
      <c r="L13" s="7">
        <f>'C-FTE Apr'!L13*2.65</f>
        <v>0</v>
      </c>
      <c r="M13" s="7">
        <f>'C-FTE Apr'!M13*2.65</f>
        <v>0</v>
      </c>
      <c r="N13" s="7">
        <f>'C-FTE Apr'!N13*2.65</f>
        <v>0</v>
      </c>
      <c r="O13" s="7">
        <f>'C-FTE Apr'!O13*2.65</f>
        <v>0</v>
      </c>
      <c r="P13" s="7">
        <f>'C-FTE Apr'!P13*2.65</f>
        <v>0</v>
      </c>
      <c r="Q13" s="7">
        <f>'C-FTE Apr'!Q13*2.65</f>
        <v>0</v>
      </c>
      <c r="R13" s="7">
        <f>'C-FTE Apr'!R13*2.65</f>
        <v>0</v>
      </c>
      <c r="S13" s="7">
        <f>'C-FTE Apr'!S13*2.65</f>
        <v>0</v>
      </c>
      <c r="T13" s="7">
        <f>'C-FTE Apr'!T13*2.65</f>
        <v>0</v>
      </c>
      <c r="U13" s="7">
        <f>'C-FTE Apr'!U13*2.65</f>
        <v>0</v>
      </c>
      <c r="V13" s="7">
        <f>'C-FTE Apr'!V13*2.65</f>
        <v>0</v>
      </c>
      <c r="W13" s="7">
        <f>'C-FTE Apr'!W13*2.65</f>
        <v>0</v>
      </c>
      <c r="X13" s="7">
        <f>'C-FTE Apr'!X13*2.65</f>
        <v>0</v>
      </c>
      <c r="Y13" s="7">
        <f>'C-FTE Apr'!Y13*2.65</f>
        <v>0</v>
      </c>
      <c r="Z13" s="7">
        <f>'C-FTE Apr'!Z13*2.65</f>
        <v>0</v>
      </c>
      <c r="AA13" s="7">
        <f>'C-FTE Apr'!AA13*2.65</f>
        <v>0</v>
      </c>
      <c r="AB13" s="7">
        <f>'C-FTE Apr'!AB13*2.65</f>
        <v>0</v>
      </c>
      <c r="AC13" s="7">
        <f>'C-FTE Apr'!AC13*2.65</f>
        <v>0</v>
      </c>
      <c r="AD13" s="7">
        <f>'C-FTE Apr'!AD13*2.65</f>
        <v>0</v>
      </c>
      <c r="AE13" s="7">
        <f>'C-FTE Apr'!AE13*2.65</f>
        <v>0</v>
      </c>
      <c r="AF13" s="7">
        <f>'C-FTE Apr'!AF13*2.65</f>
        <v>0</v>
      </c>
    </row>
    <row r="14" spans="1:32" x14ac:dyDescent="0.25">
      <c r="A14" s="3" t="s">
        <v>19</v>
      </c>
      <c r="B14" s="7">
        <f>'C-FTE Apr'!B14*2.65</f>
        <v>0</v>
      </c>
      <c r="C14" s="7">
        <f>'C-FTE Apr'!C14*2.65</f>
        <v>0</v>
      </c>
      <c r="D14" s="7">
        <f>'C-FTE Apr'!D14*2.65</f>
        <v>0</v>
      </c>
      <c r="E14" s="7">
        <f>'C-FTE Apr'!E14*2.65</f>
        <v>0</v>
      </c>
      <c r="F14" s="7">
        <f>'C-FTE Apr'!F14*2.65</f>
        <v>0</v>
      </c>
      <c r="G14" s="7">
        <f>'C-FTE Apr'!G14*2.65</f>
        <v>0</v>
      </c>
      <c r="H14" s="7">
        <f>'C-FTE Apr'!H14*2.65</f>
        <v>0</v>
      </c>
      <c r="I14" s="7">
        <f>'C-FTE Apr'!I14*2.65</f>
        <v>0</v>
      </c>
      <c r="J14" s="7">
        <f>'C-FTE Apr'!J14*2.65</f>
        <v>0</v>
      </c>
      <c r="K14" s="7">
        <f>'C-FTE Apr'!K14*2.65</f>
        <v>0</v>
      </c>
      <c r="L14" s="7">
        <f>'C-FTE Apr'!L14*2.65</f>
        <v>0</v>
      </c>
      <c r="M14" s="7">
        <f>'C-FTE Apr'!M14*2.65</f>
        <v>0</v>
      </c>
      <c r="N14" s="7">
        <f>'C-FTE Apr'!N14*2.65</f>
        <v>0</v>
      </c>
      <c r="O14" s="7">
        <f>'C-FTE Apr'!O14*2.65</f>
        <v>0</v>
      </c>
      <c r="P14" s="7">
        <f>'C-FTE Apr'!P14*2.65</f>
        <v>0</v>
      </c>
      <c r="Q14" s="7">
        <f>'C-FTE Apr'!Q14*2.65</f>
        <v>0</v>
      </c>
      <c r="R14" s="7">
        <f>'C-FTE Apr'!R14*2.65</f>
        <v>0</v>
      </c>
      <c r="S14" s="7">
        <f>'C-FTE Apr'!S14*2.65</f>
        <v>0</v>
      </c>
      <c r="T14" s="7">
        <f>'C-FTE Apr'!T14*2.65</f>
        <v>0</v>
      </c>
      <c r="U14" s="7">
        <f>'C-FTE Apr'!U14*2.65</f>
        <v>0</v>
      </c>
      <c r="V14" s="7">
        <f>'C-FTE Apr'!V14*2.65</f>
        <v>0</v>
      </c>
      <c r="W14" s="7">
        <f>'C-FTE Apr'!W14*2.65</f>
        <v>0</v>
      </c>
      <c r="X14" s="7">
        <f>'C-FTE Apr'!X14*2.65</f>
        <v>0</v>
      </c>
      <c r="Y14" s="7">
        <f>'C-FTE Apr'!Y14*2.65</f>
        <v>0</v>
      </c>
      <c r="Z14" s="7">
        <f>'C-FTE Apr'!Z14*2.65</f>
        <v>0</v>
      </c>
      <c r="AA14" s="7">
        <f>'C-FTE Apr'!AA14*2.65</f>
        <v>0</v>
      </c>
      <c r="AB14" s="7">
        <f>'C-FTE Apr'!AB14*2.65</f>
        <v>0</v>
      </c>
      <c r="AC14" s="7">
        <f>'C-FTE Apr'!AC14*2.65</f>
        <v>0</v>
      </c>
      <c r="AD14" s="7">
        <f>'C-FTE Apr'!AD14*2.65</f>
        <v>0</v>
      </c>
      <c r="AE14" s="7">
        <f>'C-FTE Apr'!AE14*2.65</f>
        <v>0</v>
      </c>
      <c r="AF14" s="7">
        <f>'C-FTE Apr'!AF14*2.65</f>
        <v>0</v>
      </c>
    </row>
    <row r="15" spans="1:32" x14ac:dyDescent="0.25">
      <c r="A15" s="3" t="s">
        <v>20</v>
      </c>
      <c r="B15" s="7">
        <f>'C-FTE Apr'!B15*2.65</f>
        <v>0</v>
      </c>
      <c r="C15" s="7">
        <f>'C-FTE Apr'!C15*2.65</f>
        <v>0</v>
      </c>
      <c r="D15" s="7">
        <f>'C-FTE Apr'!D15*2.65</f>
        <v>0</v>
      </c>
      <c r="E15" s="7">
        <f>'C-FTE Apr'!E15*2.65</f>
        <v>0</v>
      </c>
      <c r="F15" s="7">
        <f>'C-FTE Apr'!F15*2.65</f>
        <v>0</v>
      </c>
      <c r="G15" s="7">
        <f>'C-FTE Apr'!G15*2.65</f>
        <v>0</v>
      </c>
      <c r="H15" s="7">
        <f>'C-FTE Apr'!H15*2.65</f>
        <v>0</v>
      </c>
      <c r="I15" s="7">
        <f>'C-FTE Apr'!I15*2.65</f>
        <v>0</v>
      </c>
      <c r="J15" s="7">
        <f>'C-FTE Apr'!J15*2.65</f>
        <v>0</v>
      </c>
      <c r="K15" s="7">
        <f>'C-FTE Apr'!K15*2.65</f>
        <v>0</v>
      </c>
      <c r="L15" s="7">
        <f>'C-FTE Apr'!L15*2.65</f>
        <v>0</v>
      </c>
      <c r="M15" s="7">
        <f>'C-FTE Apr'!M15*2.65</f>
        <v>0</v>
      </c>
      <c r="N15" s="7">
        <f>'C-FTE Apr'!N15*2.65</f>
        <v>0</v>
      </c>
      <c r="O15" s="7">
        <f>'C-FTE Apr'!O15*2.65</f>
        <v>0</v>
      </c>
      <c r="P15" s="7">
        <f>'C-FTE Apr'!P15*2.65</f>
        <v>0</v>
      </c>
      <c r="Q15" s="7">
        <f>'C-FTE Apr'!Q15*2.65</f>
        <v>0</v>
      </c>
      <c r="R15" s="7">
        <f>'C-FTE Apr'!R15*2.65</f>
        <v>0</v>
      </c>
      <c r="S15" s="7">
        <f>'C-FTE Apr'!S15*2.65</f>
        <v>0</v>
      </c>
      <c r="T15" s="7">
        <f>'C-FTE Apr'!T15*2.65</f>
        <v>0</v>
      </c>
      <c r="U15" s="7">
        <f>'C-FTE Apr'!U15*2.65</f>
        <v>0</v>
      </c>
      <c r="V15" s="7">
        <f>'C-FTE Apr'!V15*2.65</f>
        <v>0</v>
      </c>
      <c r="W15" s="7">
        <f>'C-FTE Apr'!W15*2.65</f>
        <v>0</v>
      </c>
      <c r="X15" s="7">
        <f>'C-FTE Apr'!X15*2.65</f>
        <v>0</v>
      </c>
      <c r="Y15" s="7">
        <f>'C-FTE Apr'!Y15*2.65</f>
        <v>0</v>
      </c>
      <c r="Z15" s="7">
        <f>'C-FTE Apr'!Z15*2.65</f>
        <v>0</v>
      </c>
      <c r="AA15" s="7">
        <f>'C-FTE Apr'!AA15*2.65</f>
        <v>0</v>
      </c>
      <c r="AB15" s="7">
        <f>'C-FTE Apr'!AB15*2.65</f>
        <v>0</v>
      </c>
      <c r="AC15" s="7">
        <f>'C-FTE Apr'!AC15*2.65</f>
        <v>0</v>
      </c>
      <c r="AD15" s="7">
        <f>'C-FTE Apr'!AD15*2.65</f>
        <v>0</v>
      </c>
      <c r="AE15" s="7">
        <f>'C-FTE Apr'!AE15*2.65</f>
        <v>0</v>
      </c>
      <c r="AF15" s="7">
        <f>'C-FTE Apr'!AF15*2.65</f>
        <v>0</v>
      </c>
    </row>
    <row r="16" spans="1:32" x14ac:dyDescent="0.25">
      <c r="A16" s="3" t="s">
        <v>21</v>
      </c>
      <c r="B16" s="7">
        <f>'C-FTE Apr'!B16*2.65</f>
        <v>0</v>
      </c>
      <c r="C16" s="7">
        <f>'C-FTE Apr'!C16*2.65</f>
        <v>0</v>
      </c>
      <c r="D16" s="7">
        <f>'C-FTE Apr'!D16*2.65</f>
        <v>0</v>
      </c>
      <c r="E16" s="7">
        <f>'C-FTE Apr'!E16*2.65</f>
        <v>0</v>
      </c>
      <c r="F16" s="7">
        <f>'C-FTE Apr'!F16*2.65</f>
        <v>0</v>
      </c>
      <c r="G16" s="7">
        <f>'C-FTE Apr'!G16*2.65</f>
        <v>0</v>
      </c>
      <c r="H16" s="7">
        <f>'C-FTE Apr'!H16*2.65</f>
        <v>0</v>
      </c>
      <c r="I16" s="7">
        <f>'C-FTE Apr'!I16*2.65</f>
        <v>0</v>
      </c>
      <c r="J16" s="7">
        <f>'C-FTE Apr'!J16*2.65</f>
        <v>0</v>
      </c>
      <c r="K16" s="7">
        <f>'C-FTE Apr'!K16*2.65</f>
        <v>0</v>
      </c>
      <c r="L16" s="7">
        <f>'C-FTE Apr'!L16*2.65</f>
        <v>0</v>
      </c>
      <c r="M16" s="7">
        <f>'C-FTE Apr'!M16*2.65</f>
        <v>0</v>
      </c>
      <c r="N16" s="7">
        <f>'C-FTE Apr'!N16*2.65</f>
        <v>0</v>
      </c>
      <c r="O16" s="7">
        <f>'C-FTE Apr'!O16*2.65</f>
        <v>0</v>
      </c>
      <c r="P16" s="7">
        <f>'C-FTE Apr'!P16*2.65</f>
        <v>0</v>
      </c>
      <c r="Q16" s="7">
        <f>'C-FTE Apr'!Q16*2.65</f>
        <v>0</v>
      </c>
      <c r="R16" s="7">
        <f>'C-FTE Apr'!R16*2.65</f>
        <v>0</v>
      </c>
      <c r="S16" s="7">
        <f>'C-FTE Apr'!S16*2.65</f>
        <v>0</v>
      </c>
      <c r="T16" s="7">
        <f>'C-FTE Apr'!T16*2.65</f>
        <v>0</v>
      </c>
      <c r="U16" s="7">
        <f>'C-FTE Apr'!U16*2.65</f>
        <v>0</v>
      </c>
      <c r="V16" s="7">
        <f>'C-FTE Apr'!V16*2.65</f>
        <v>0</v>
      </c>
      <c r="W16" s="7">
        <f>'C-FTE Apr'!W16*2.65</f>
        <v>0</v>
      </c>
      <c r="X16" s="7">
        <f>'C-FTE Apr'!X16*2.65</f>
        <v>0</v>
      </c>
      <c r="Y16" s="7">
        <f>'C-FTE Apr'!Y16*2.65</f>
        <v>0</v>
      </c>
      <c r="Z16" s="7">
        <f>'C-FTE Apr'!Z16*2.65</f>
        <v>0</v>
      </c>
      <c r="AA16" s="7">
        <f>'C-FTE Apr'!AA16*2.65</f>
        <v>0</v>
      </c>
      <c r="AB16" s="7">
        <f>'C-FTE Apr'!AB16*2.65</f>
        <v>0</v>
      </c>
      <c r="AC16" s="7">
        <f>'C-FTE Apr'!AC16*2.65</f>
        <v>0</v>
      </c>
      <c r="AD16" s="7">
        <f>'C-FTE Apr'!AD16*2.65</f>
        <v>0</v>
      </c>
      <c r="AE16" s="7">
        <f>'C-FTE Apr'!AE16*2.65</f>
        <v>0</v>
      </c>
      <c r="AF16" s="7">
        <f>'C-FTE Apr'!AF16*2.65</f>
        <v>0</v>
      </c>
    </row>
    <row r="17" spans="1:32" x14ac:dyDescent="0.25">
      <c r="A17" s="3" t="s">
        <v>22</v>
      </c>
      <c r="B17" s="7">
        <f>'C-FTE Apr'!B17*2.65</f>
        <v>0</v>
      </c>
      <c r="C17" s="7">
        <f>'C-FTE Apr'!C17*2.65</f>
        <v>0</v>
      </c>
      <c r="D17" s="7">
        <f>'C-FTE Apr'!D17*2.65</f>
        <v>0</v>
      </c>
      <c r="E17" s="7">
        <f>'C-FTE Apr'!E17*2.65</f>
        <v>0</v>
      </c>
      <c r="F17" s="7">
        <f>'C-FTE Apr'!F17*2.65</f>
        <v>0</v>
      </c>
      <c r="G17" s="7">
        <f>'C-FTE Apr'!G17*2.65</f>
        <v>0</v>
      </c>
      <c r="H17" s="7">
        <f>'C-FTE Apr'!H17*2.65</f>
        <v>0</v>
      </c>
      <c r="I17" s="7">
        <f>'C-FTE Apr'!I17*2.65</f>
        <v>0</v>
      </c>
      <c r="J17" s="7">
        <f>'C-FTE Apr'!J17*2.65</f>
        <v>0</v>
      </c>
      <c r="K17" s="7">
        <f>'C-FTE Apr'!K17*2.65</f>
        <v>0</v>
      </c>
      <c r="L17" s="7">
        <f>'C-FTE Apr'!L17*2.65</f>
        <v>0</v>
      </c>
      <c r="M17" s="7">
        <f>'C-FTE Apr'!M17*2.65</f>
        <v>0</v>
      </c>
      <c r="N17" s="7">
        <f>'C-FTE Apr'!N17*2.65</f>
        <v>0</v>
      </c>
      <c r="O17" s="7">
        <f>'C-FTE Apr'!O17*2.65</f>
        <v>0</v>
      </c>
      <c r="P17" s="7">
        <f>'C-FTE Apr'!P17*2.65</f>
        <v>0</v>
      </c>
      <c r="Q17" s="7">
        <f>'C-FTE Apr'!Q17*2.65</f>
        <v>0</v>
      </c>
      <c r="R17" s="7">
        <f>'C-FTE Apr'!R17*2.65</f>
        <v>0</v>
      </c>
      <c r="S17" s="7">
        <f>'C-FTE Apr'!S17*2.65</f>
        <v>0</v>
      </c>
      <c r="T17" s="7">
        <f>'C-FTE Apr'!T17*2.65</f>
        <v>0</v>
      </c>
      <c r="U17" s="7">
        <f>'C-FTE Apr'!U17*2.65</f>
        <v>0</v>
      </c>
      <c r="V17" s="7">
        <f>'C-FTE Apr'!V17*2.65</f>
        <v>0</v>
      </c>
      <c r="W17" s="7">
        <f>'C-FTE Apr'!W17*2.65</f>
        <v>0</v>
      </c>
      <c r="X17" s="7">
        <f>'C-FTE Apr'!X17*2.65</f>
        <v>0</v>
      </c>
      <c r="Y17" s="7">
        <f>'C-FTE Apr'!Y17*2.65</f>
        <v>0</v>
      </c>
      <c r="Z17" s="7">
        <f>'C-FTE Apr'!Z17*2.65</f>
        <v>0</v>
      </c>
      <c r="AA17" s="7">
        <f>'C-FTE Apr'!AA17*2.65</f>
        <v>0</v>
      </c>
      <c r="AB17" s="7">
        <f>'C-FTE Apr'!AB17*2.65</f>
        <v>0</v>
      </c>
      <c r="AC17" s="7">
        <f>'C-FTE Apr'!AC17*2.65</f>
        <v>0</v>
      </c>
      <c r="AD17" s="7">
        <f>'C-FTE Apr'!AD17*2.65</f>
        <v>0</v>
      </c>
      <c r="AE17" s="7">
        <f>'C-FTE Apr'!AE17*2.65</f>
        <v>0</v>
      </c>
      <c r="AF17" s="7">
        <f>'C-FTE Apr'!AF17*2.65</f>
        <v>0</v>
      </c>
    </row>
    <row r="18" spans="1:32" x14ac:dyDescent="0.25">
      <c r="A18" s="3" t="s">
        <v>23</v>
      </c>
      <c r="B18" s="7">
        <f>'C-FTE Apr'!B18*2.65</f>
        <v>0</v>
      </c>
      <c r="C18" s="7">
        <f>'C-FTE Apr'!C18*2.65</f>
        <v>0</v>
      </c>
      <c r="D18" s="7">
        <f>'C-FTE Apr'!D18*2.65</f>
        <v>0</v>
      </c>
      <c r="E18" s="7">
        <f>'C-FTE Apr'!E18*2.65</f>
        <v>0</v>
      </c>
      <c r="F18" s="7">
        <f>'C-FTE Apr'!F18*2.65</f>
        <v>0</v>
      </c>
      <c r="G18" s="7">
        <f>'C-FTE Apr'!G18*2.65</f>
        <v>0</v>
      </c>
      <c r="H18" s="7">
        <f>'C-FTE Apr'!H18*2.65</f>
        <v>0</v>
      </c>
      <c r="I18" s="7">
        <f>'C-FTE Apr'!I18*2.65</f>
        <v>0</v>
      </c>
      <c r="J18" s="7">
        <f>'C-FTE Apr'!J18*2.65</f>
        <v>0</v>
      </c>
      <c r="K18" s="7">
        <f>'C-FTE Apr'!K18*2.65</f>
        <v>0</v>
      </c>
      <c r="L18" s="7">
        <f>'C-FTE Apr'!L18*2.65</f>
        <v>0</v>
      </c>
      <c r="M18" s="7">
        <f>'C-FTE Apr'!M18*2.65</f>
        <v>0</v>
      </c>
      <c r="N18" s="7">
        <f>'C-FTE Apr'!N18*2.65</f>
        <v>0</v>
      </c>
      <c r="O18" s="7">
        <f>'C-FTE Apr'!O18*2.65</f>
        <v>0</v>
      </c>
      <c r="P18" s="7">
        <f>'C-FTE Apr'!P18*2.65</f>
        <v>0</v>
      </c>
      <c r="Q18" s="7">
        <f>'C-FTE Apr'!Q18*2.65</f>
        <v>0</v>
      </c>
      <c r="R18" s="7">
        <f>'C-FTE Apr'!R18*2.65</f>
        <v>0</v>
      </c>
      <c r="S18" s="7">
        <f>'C-FTE Apr'!S18*2.65</f>
        <v>0</v>
      </c>
      <c r="T18" s="7">
        <f>'C-FTE Apr'!T18*2.65</f>
        <v>0</v>
      </c>
      <c r="U18" s="7">
        <f>'C-FTE Apr'!U18*2.65</f>
        <v>0</v>
      </c>
      <c r="V18" s="7">
        <f>'C-FTE Apr'!V18*2.65</f>
        <v>0</v>
      </c>
      <c r="W18" s="7">
        <f>'C-FTE Apr'!W18*2.65</f>
        <v>0</v>
      </c>
      <c r="X18" s="7">
        <f>'C-FTE Apr'!X18*2.65</f>
        <v>0</v>
      </c>
      <c r="Y18" s="7">
        <f>'C-FTE Apr'!Y18*2.65</f>
        <v>0</v>
      </c>
      <c r="Z18" s="7">
        <f>'C-FTE Apr'!Z18*2.65</f>
        <v>0</v>
      </c>
      <c r="AA18" s="7">
        <f>'C-FTE Apr'!AA18*2.65</f>
        <v>0</v>
      </c>
      <c r="AB18" s="7">
        <f>'C-FTE Apr'!AB18*2.65</f>
        <v>0</v>
      </c>
      <c r="AC18" s="7">
        <f>'C-FTE Apr'!AC18*2.65</f>
        <v>0</v>
      </c>
      <c r="AD18" s="7">
        <f>'C-FTE Apr'!AD18*2.65</f>
        <v>0</v>
      </c>
      <c r="AE18" s="7">
        <f>'C-FTE Apr'!AE18*2.65</f>
        <v>0</v>
      </c>
      <c r="AF18" s="7">
        <f>'C-FTE Apr'!AF18*2.65</f>
        <v>0</v>
      </c>
    </row>
    <row r="19" spans="1:32" x14ac:dyDescent="0.25">
      <c r="A19" s="3" t="s">
        <v>24</v>
      </c>
      <c r="B19" s="7">
        <f>'C-FTE Apr'!B19*2.65</f>
        <v>15.773356940724261</v>
      </c>
      <c r="C19" s="7">
        <f>'C-FTE Apr'!C19*2.65</f>
        <v>16.380024515367506</v>
      </c>
      <c r="D19" s="7">
        <f>'C-FTE Apr'!D19*2.65</f>
        <v>16.986692090010745</v>
      </c>
      <c r="E19" s="7">
        <f>'C-FTE Apr'!E19*2.65</f>
        <v>13.953354216794539</v>
      </c>
      <c r="F19" s="7">
        <f>'C-FTE Apr'!F19*2.65</f>
        <v>9.1000136196486139</v>
      </c>
      <c r="G19" s="7">
        <f>'C-FTE Apr'!G19*2.65</f>
        <v>18.200027239297224</v>
      </c>
      <c r="H19" s="7">
        <f>'C-FTE Apr'!H19*2.65</f>
        <v>16.380024515367502</v>
      </c>
      <c r="I19" s="7">
        <f>'C-FTE Apr'!I19*2.65</f>
        <v>15.166689366081021</v>
      </c>
      <c r="J19" s="7">
        <f>'C-FTE Apr'!J19*2.65</f>
        <v>15.773356940724261</v>
      </c>
      <c r="K19" s="7">
        <f>'C-FTE Apr'!K19*2.65</f>
        <v>16.380024515367502</v>
      </c>
      <c r="L19" s="7">
        <f>'C-FTE Apr'!L19*2.65</f>
        <v>13.953354216794539</v>
      </c>
      <c r="M19" s="7">
        <f>'C-FTE Apr'!M19*2.65</f>
        <v>9.1000136196486121</v>
      </c>
      <c r="N19" s="7">
        <f>'C-FTE Apr'!N19*2.65</f>
        <v>17.593359664653981</v>
      </c>
      <c r="O19" s="7">
        <f>'C-FTE Apr'!O19*2.65</f>
        <v>15.773356940724264</v>
      </c>
      <c r="P19" s="7">
        <f>'C-FTE Apr'!P19*2.65</f>
        <v>15.166689366081023</v>
      </c>
      <c r="Q19" s="7">
        <f>'C-FTE Apr'!Q19*2.65</f>
        <v>15.773356940724261</v>
      </c>
      <c r="R19" s="7">
        <f>'C-FTE Apr'!R19*2.65</f>
        <v>16.380024515367506</v>
      </c>
      <c r="S19" s="7">
        <f>'C-FTE Apr'!S19*2.65</f>
        <v>13.953354216794539</v>
      </c>
      <c r="T19" s="7">
        <f>'C-FTE Apr'!T19*2.65</f>
        <v>9.1000136196486139</v>
      </c>
      <c r="U19" s="7">
        <f>'C-FTE Apr'!U19*2.65</f>
        <v>18.200027239297228</v>
      </c>
      <c r="V19" s="7">
        <f>'C-FTE Apr'!V19*2.65</f>
        <v>16.380024515367502</v>
      </c>
      <c r="W19" s="7">
        <f>'C-FTE Apr'!W19*2.65</f>
        <v>15.773356940724264</v>
      </c>
      <c r="X19" s="7">
        <f>'C-FTE Apr'!X19*2.65</f>
        <v>16.986692090010745</v>
      </c>
      <c r="Y19" s="7">
        <f>'C-FTE Apr'!Y19*2.65</f>
        <v>17.593359664653988</v>
      </c>
      <c r="Z19" s="7">
        <f>'C-FTE Apr'!Z19*2.65</f>
        <v>15.166689366081021</v>
      </c>
      <c r="AA19" s="7">
        <f>'C-FTE Apr'!AA19*2.65</f>
        <v>9.7066811942918534</v>
      </c>
      <c r="AB19" s="7">
        <f>'C-FTE Apr'!AB19*2.65</f>
        <v>20.020029963226946</v>
      </c>
      <c r="AC19" s="7">
        <f>'C-FTE Apr'!AC19*2.65</f>
        <v>18.200027239297224</v>
      </c>
      <c r="AD19" s="7">
        <f>'C-FTE Apr'!AD19*2.65</f>
        <v>16.986692090010745</v>
      </c>
      <c r="AE19" s="7">
        <f>'C-FTE Apr'!AE19*2.65</f>
        <v>18.200027239297224</v>
      </c>
      <c r="AF19" s="7">
        <f>'C-FTE Apr'!AF19*2.65</f>
        <v>0</v>
      </c>
    </row>
    <row r="20" spans="1:32" x14ac:dyDescent="0.25">
      <c r="A20" s="3" t="s">
        <v>25</v>
      </c>
      <c r="B20" s="7">
        <f>'C-FTE Apr'!B20*2.65</f>
        <v>20.02002996322695</v>
      </c>
      <c r="C20" s="7">
        <f>'C-FTE Apr'!C20*2.65</f>
        <v>20.626697537870189</v>
      </c>
      <c r="D20" s="7">
        <f>'C-FTE Apr'!D20*2.65</f>
        <v>19.413362388583707</v>
      </c>
      <c r="E20" s="7">
        <f>'C-FTE Apr'!E20*2.65</f>
        <v>15.773356940724264</v>
      </c>
      <c r="F20" s="7">
        <f>'C-FTE Apr'!F20*2.65</f>
        <v>11.526683918221577</v>
      </c>
      <c r="G20" s="7">
        <f>'C-FTE Apr'!G20*2.65</f>
        <v>23.053367836443154</v>
      </c>
      <c r="H20" s="7">
        <f>'C-FTE Apr'!H20*2.65</f>
        <v>20.02002996322695</v>
      </c>
      <c r="I20" s="7">
        <f>'C-FTE Apr'!I20*2.65</f>
        <v>18.806694813940467</v>
      </c>
      <c r="J20" s="7">
        <f>'C-FTE Apr'!J20*2.65</f>
        <v>20.02002996322695</v>
      </c>
      <c r="K20" s="7">
        <f>'C-FTE Apr'!K20*2.65</f>
        <v>18.806694813940467</v>
      </c>
      <c r="L20" s="7">
        <f>'C-FTE Apr'!L20*2.65</f>
        <v>15.16668936608102</v>
      </c>
      <c r="M20" s="7">
        <f>'C-FTE Apr'!M20*2.65</f>
        <v>11.526683918221577</v>
      </c>
      <c r="N20" s="7">
        <f>'C-FTE Apr'!N20*2.65</f>
        <v>23.053367836443151</v>
      </c>
      <c r="O20" s="7">
        <f>'C-FTE Apr'!O20*2.65</f>
        <v>20.02002996322695</v>
      </c>
      <c r="P20" s="7">
        <f>'C-FTE Apr'!P20*2.65</f>
        <v>18.806694813940471</v>
      </c>
      <c r="Q20" s="7">
        <f>'C-FTE Apr'!Q20*2.65</f>
        <v>20.020029963226946</v>
      </c>
      <c r="R20" s="7">
        <f>'C-FTE Apr'!R20*2.65</f>
        <v>19.413362388583707</v>
      </c>
      <c r="S20" s="7">
        <f>'C-FTE Apr'!S20*2.65</f>
        <v>15.773356940724264</v>
      </c>
      <c r="T20" s="7">
        <f>'C-FTE Apr'!T20*2.65</f>
        <v>11.526683918221575</v>
      </c>
      <c r="U20" s="7">
        <f>'C-FTE Apr'!U20*2.65</f>
        <v>23.660035411086394</v>
      </c>
      <c r="V20" s="7">
        <f>'C-FTE Apr'!V20*2.65</f>
        <v>20.626697537870189</v>
      </c>
      <c r="W20" s="7">
        <f>'C-FTE Apr'!W20*2.65</f>
        <v>20.02002996322695</v>
      </c>
      <c r="X20" s="7">
        <f>'C-FTE Apr'!X20*2.65</f>
        <v>20.626697537870189</v>
      </c>
      <c r="Y20" s="7">
        <f>'C-FTE Apr'!Y20*2.65</f>
        <v>20.02002996322695</v>
      </c>
      <c r="Z20" s="7">
        <f>'C-FTE Apr'!Z20*2.65</f>
        <v>16.380024515367506</v>
      </c>
      <c r="AA20" s="7">
        <f>'C-FTE Apr'!AA20*2.65</f>
        <v>12.133351492864817</v>
      </c>
      <c r="AB20" s="7">
        <f>'C-FTE Apr'!AB20*2.65</f>
        <v>24.873370560372877</v>
      </c>
      <c r="AC20" s="7">
        <f>'C-FTE Apr'!AC20*2.65</f>
        <v>22.446700261799908</v>
      </c>
      <c r="AD20" s="7">
        <f>'C-FTE Apr'!AD20*2.65</f>
        <v>21.233365112513429</v>
      </c>
      <c r="AE20" s="7">
        <f>'C-FTE Apr'!AE20*2.65</f>
        <v>22.446700261799915</v>
      </c>
      <c r="AF20" s="7">
        <f>'C-FTE Apr'!AF20*2.65</f>
        <v>0</v>
      </c>
    </row>
    <row r="21" spans="1:32" x14ac:dyDescent="0.25">
      <c r="A21" s="3" t="s">
        <v>26</v>
      </c>
      <c r="B21" s="7">
        <f>'C-FTE Apr'!B21*2.65</f>
        <v>26.086705709659356</v>
      </c>
      <c r="C21" s="7">
        <f>'C-FTE Apr'!C21*2.65</f>
        <v>27.300040858945835</v>
      </c>
      <c r="D21" s="7">
        <f>'C-FTE Apr'!D21*2.65</f>
        <v>25.480038135016116</v>
      </c>
      <c r="E21" s="7">
        <f>'C-FTE Apr'!E21*2.65</f>
        <v>19.413362388583707</v>
      </c>
      <c r="F21" s="7">
        <f>'C-FTE Apr'!F21*2.65</f>
        <v>14.560021791437784</v>
      </c>
      <c r="G21" s="7">
        <f>'C-FTE Apr'!G21*2.65</f>
        <v>31.546713881448529</v>
      </c>
      <c r="H21" s="7">
        <f>'C-FTE Apr'!H21*2.65</f>
        <v>27.300040858945835</v>
      </c>
      <c r="I21" s="7">
        <f>'C-FTE Apr'!I21*2.65</f>
        <v>24.873370560372877</v>
      </c>
      <c r="J21" s="7">
        <f>'C-FTE Apr'!J21*2.65</f>
        <v>26.086705709659356</v>
      </c>
      <c r="K21" s="7">
        <f>'C-FTE Apr'!K21*2.65</f>
        <v>24.873370560372877</v>
      </c>
      <c r="L21" s="7">
        <f>'C-FTE Apr'!L21*2.65</f>
        <v>19.413362388583703</v>
      </c>
      <c r="M21" s="7">
        <f>'C-FTE Apr'!M21*2.65</f>
        <v>14.56002179143778</v>
      </c>
      <c r="N21" s="7">
        <f>'C-FTE Apr'!N21*2.65</f>
        <v>31.546713881448522</v>
      </c>
      <c r="O21" s="7">
        <f>'C-FTE Apr'!O21*2.65</f>
        <v>27.300040858945835</v>
      </c>
      <c r="P21" s="7">
        <f>'C-FTE Apr'!P21*2.65</f>
        <v>24.873370560372877</v>
      </c>
      <c r="Q21" s="7">
        <f>'C-FTE Apr'!Q21*2.65</f>
        <v>26.693373284302591</v>
      </c>
      <c r="R21" s="7">
        <f>'C-FTE Apr'!R21*2.65</f>
        <v>24.873370560372877</v>
      </c>
      <c r="S21" s="7">
        <f>'C-FTE Apr'!S21*2.65</f>
        <v>19.413362388583707</v>
      </c>
      <c r="T21" s="7">
        <f>'C-FTE Apr'!T21*2.65</f>
        <v>15.166689366081023</v>
      </c>
      <c r="U21" s="7">
        <f>'C-FTE Apr'!U21*2.65</f>
        <v>32.153381456091765</v>
      </c>
      <c r="V21" s="7">
        <f>'C-FTE Apr'!V21*2.65</f>
        <v>28.513376008232321</v>
      </c>
      <c r="W21" s="7">
        <f>'C-FTE Apr'!W21*2.65</f>
        <v>26.086705709659359</v>
      </c>
      <c r="X21" s="7">
        <f>'C-FTE Apr'!X21*2.65</f>
        <v>27.906708433589081</v>
      </c>
      <c r="Y21" s="7">
        <f>'C-FTE Apr'!Y21*2.65</f>
        <v>26.086705709659359</v>
      </c>
      <c r="Z21" s="7">
        <f>'C-FTE Apr'!Z21*2.65</f>
        <v>20.626697537870189</v>
      </c>
      <c r="AA21" s="7">
        <f>'C-FTE Apr'!AA21*2.65</f>
        <v>15.773356940724264</v>
      </c>
      <c r="AB21" s="7">
        <f>'C-FTE Apr'!AB21*2.65</f>
        <v>34.58005175466473</v>
      </c>
      <c r="AC21" s="7">
        <f>'C-FTE Apr'!AC21*2.65</f>
        <v>30.333378732162039</v>
      </c>
      <c r="AD21" s="7">
        <f>'C-FTE Apr'!AD21*2.65</f>
        <v>27.906708433589081</v>
      </c>
      <c r="AE21" s="7">
        <f>'C-FTE Apr'!AE21*2.65</f>
        <v>30.333378732162043</v>
      </c>
      <c r="AF21" s="7">
        <f>'C-FTE Apr'!AF21*2.65</f>
        <v>0</v>
      </c>
    </row>
    <row r="22" spans="1:32" x14ac:dyDescent="0.25">
      <c r="A22" s="3" t="s">
        <v>27</v>
      </c>
      <c r="B22" s="7">
        <f>'C-FTE Apr'!B22*2.65</f>
        <v>31.546713881448522</v>
      </c>
      <c r="C22" s="7">
        <f>'C-FTE Apr'!C22*2.65</f>
        <v>33.366716605378244</v>
      </c>
      <c r="D22" s="7">
        <f>'C-FTE Apr'!D22*2.65</f>
        <v>31.546713881448522</v>
      </c>
      <c r="E22" s="7">
        <f>'C-FTE Apr'!E22*2.65</f>
        <v>23.053367836443154</v>
      </c>
      <c r="F22" s="7">
        <f>'C-FTE Apr'!F22*2.65</f>
        <v>17.593359664653985</v>
      </c>
      <c r="G22" s="7">
        <f>'C-FTE Apr'!G22*2.65</f>
        <v>39.43339235181066</v>
      </c>
      <c r="H22" s="7">
        <f>'C-FTE Apr'!H22*2.65</f>
        <v>35.793386903951209</v>
      </c>
      <c r="I22" s="7">
        <f>'C-FTE Apr'!I22*2.65</f>
        <v>30.940046306805282</v>
      </c>
      <c r="J22" s="7">
        <f>'C-FTE Apr'!J22*2.65</f>
        <v>32.153381456091765</v>
      </c>
      <c r="K22" s="7">
        <f>'C-FTE Apr'!K22*2.65</f>
        <v>30.940046306805286</v>
      </c>
      <c r="L22" s="7">
        <f>'C-FTE Apr'!L22*2.65</f>
        <v>22.446700261799908</v>
      </c>
      <c r="M22" s="7">
        <f>'C-FTE Apr'!M22*2.65</f>
        <v>16.986692090010745</v>
      </c>
      <c r="N22" s="7">
        <f>'C-FTE Apr'!N22*2.65</f>
        <v>38.826724777167414</v>
      </c>
      <c r="O22" s="7">
        <f>'C-FTE Apr'!O22*2.65</f>
        <v>35.793386903951216</v>
      </c>
      <c r="P22" s="7">
        <f>'C-FTE Apr'!P22*2.65</f>
        <v>30.940046306805286</v>
      </c>
      <c r="Q22" s="7">
        <f>'C-FTE Apr'!Q22*2.65</f>
        <v>32.760049030735004</v>
      </c>
      <c r="R22" s="7">
        <f>'C-FTE Apr'!R22*2.65</f>
        <v>30.940046306805282</v>
      </c>
      <c r="S22" s="7">
        <f>'C-FTE Apr'!S22*2.65</f>
        <v>23.053367836443154</v>
      </c>
      <c r="T22" s="7">
        <f>'C-FTE Apr'!T22*2.65</f>
        <v>17.593359664653985</v>
      </c>
      <c r="U22" s="7">
        <f>'C-FTE Apr'!U22*2.65</f>
        <v>40.0400599264539</v>
      </c>
      <c r="V22" s="7">
        <f>'C-FTE Apr'!V22*2.65</f>
        <v>37.613389627880927</v>
      </c>
      <c r="W22" s="7">
        <f>'C-FTE Apr'!W22*2.65</f>
        <v>32.153381456091765</v>
      </c>
      <c r="X22" s="7">
        <f>'C-FTE Apr'!X22*2.65</f>
        <v>34.58005175466473</v>
      </c>
      <c r="Y22" s="7">
        <f>'C-FTE Apr'!Y22*2.65</f>
        <v>32.760049030735011</v>
      </c>
      <c r="Z22" s="7">
        <f>'C-FTE Apr'!Z22*2.65</f>
        <v>24.266702985729633</v>
      </c>
      <c r="AA22" s="7">
        <f>'C-FTE Apr'!AA22*2.65</f>
        <v>18.806694813940467</v>
      </c>
      <c r="AB22" s="7">
        <f>'C-FTE Apr'!AB22*2.65</f>
        <v>43.073397799670104</v>
      </c>
      <c r="AC22" s="7">
        <f>'C-FTE Apr'!AC22*2.65</f>
        <v>40.040059926453893</v>
      </c>
      <c r="AD22" s="7">
        <f>'C-FTE Apr'!AD22*2.65</f>
        <v>34.58005175466473</v>
      </c>
      <c r="AE22" s="7">
        <f>'C-FTE Apr'!AE22*2.65</f>
        <v>37.006722053237688</v>
      </c>
      <c r="AF22" s="7">
        <f>'C-FTE Apr'!AF22*2.65</f>
        <v>0</v>
      </c>
    </row>
    <row r="23" spans="1:32" x14ac:dyDescent="0.25">
      <c r="A23" s="3" t="s">
        <v>28</v>
      </c>
      <c r="B23" s="7">
        <f>'C-FTE Apr'!B23*2.65</f>
        <v>37.006722053237688</v>
      </c>
      <c r="C23" s="7">
        <f>'C-FTE Apr'!C23*2.65</f>
        <v>38.220057202524174</v>
      </c>
      <c r="D23" s="7">
        <f>'C-FTE Apr'!D23*2.65</f>
        <v>37.613389627880935</v>
      </c>
      <c r="E23" s="7">
        <f>'C-FTE Apr'!E23*2.65</f>
        <v>27.300040858945835</v>
      </c>
      <c r="F23" s="7">
        <f>'C-FTE Apr'!F23*2.65</f>
        <v>20.626697537870189</v>
      </c>
      <c r="G23" s="7">
        <f>'C-FTE Apr'!G23*2.65</f>
        <v>45.500068098243062</v>
      </c>
      <c r="H23" s="7">
        <f>'C-FTE Apr'!H23*2.65</f>
        <v>43.680065374313337</v>
      </c>
      <c r="I23" s="7">
        <f>'C-FTE Apr'!I23*2.65</f>
        <v>35.793386903951209</v>
      </c>
      <c r="J23" s="7">
        <f>'C-FTE Apr'!J23*2.65</f>
        <v>37.006722053237695</v>
      </c>
      <c r="K23" s="7">
        <f>'C-FTE Apr'!K23*2.65</f>
        <v>37.006722053237695</v>
      </c>
      <c r="L23" s="7">
        <f>'C-FTE Apr'!L23*2.65</f>
        <v>26.693373284302595</v>
      </c>
      <c r="M23" s="7">
        <f>'C-FTE Apr'!M23*2.65</f>
        <v>20.626697537870189</v>
      </c>
      <c r="N23" s="7">
        <f>'C-FTE Apr'!N23*2.65</f>
        <v>45.500068098243055</v>
      </c>
      <c r="O23" s="7">
        <f>'C-FTE Apr'!O23*2.65</f>
        <v>43.680065374313351</v>
      </c>
      <c r="P23" s="7">
        <f>'C-FTE Apr'!P23*2.65</f>
        <v>35.793386903951216</v>
      </c>
      <c r="Q23" s="7">
        <f>'C-FTE Apr'!Q23*2.65</f>
        <v>37.006722053237688</v>
      </c>
      <c r="R23" s="7">
        <f>'C-FTE Apr'!R23*2.65</f>
        <v>37.613389627880927</v>
      </c>
      <c r="S23" s="7">
        <f>'C-FTE Apr'!S23*2.65</f>
        <v>27.300040858945835</v>
      </c>
      <c r="T23" s="7">
        <f>'C-FTE Apr'!T23*2.65</f>
        <v>20.626697537870189</v>
      </c>
      <c r="U23" s="7">
        <f>'C-FTE Apr'!U23*2.65</f>
        <v>46.713403247529556</v>
      </c>
      <c r="V23" s="7">
        <f>'C-FTE Apr'!V23*2.65</f>
        <v>44.893400523599816</v>
      </c>
      <c r="W23" s="7">
        <f>'C-FTE Apr'!W23*2.65</f>
        <v>37.613389627880935</v>
      </c>
      <c r="X23" s="7">
        <f>'C-FTE Apr'!X23*2.65</f>
        <v>38.826724777167414</v>
      </c>
      <c r="Y23" s="7">
        <f>'C-FTE Apr'!Y23*2.65</f>
        <v>39.433392351810653</v>
      </c>
      <c r="Z23" s="7">
        <f>'C-FTE Apr'!Z23*2.65</f>
        <v>29.12004358287556</v>
      </c>
      <c r="AA23" s="7">
        <f>'C-FTE Apr'!AA23*2.65</f>
        <v>22.446700261799915</v>
      </c>
      <c r="AB23" s="7">
        <f>'C-FTE Apr'!AB23*2.65</f>
        <v>49.746741120745753</v>
      </c>
      <c r="AC23" s="7">
        <f>'C-FTE Apr'!AC23*2.65</f>
        <v>48.53340597145926</v>
      </c>
      <c r="AD23" s="7">
        <f>'C-FTE Apr'!AD23*2.65</f>
        <v>40.646727501097139</v>
      </c>
      <c r="AE23" s="7">
        <f>'C-FTE Apr'!AE23*2.65</f>
        <v>42.466730225026858</v>
      </c>
      <c r="AF23" s="7">
        <f>'C-FTE Apr'!AF23*2.65</f>
        <v>0</v>
      </c>
    </row>
    <row r="24" spans="1:32" x14ac:dyDescent="0.25">
      <c r="A24" s="3" t="s">
        <v>29</v>
      </c>
      <c r="B24" s="7">
        <f>'C-FTE Apr'!B24*2.65</f>
        <v>43.073397799670104</v>
      </c>
      <c r="C24" s="7">
        <f>'C-FTE Apr'!C24*2.65</f>
        <v>44.286732948956583</v>
      </c>
      <c r="D24" s="7">
        <f>'C-FTE Apr'!D24*2.65</f>
        <v>44.89340052359983</v>
      </c>
      <c r="E24" s="7">
        <f>'C-FTE Apr'!E24*2.65</f>
        <v>33.97338418002149</v>
      </c>
      <c r="F24" s="7">
        <f>'C-FTE Apr'!F24*2.65</f>
        <v>26.086705709659359</v>
      </c>
      <c r="G24" s="7">
        <f>'C-FTE Apr'!G24*2.65</f>
        <v>53.993414143248437</v>
      </c>
      <c r="H24" s="7">
        <f>'C-FTE Apr'!H24*2.65</f>
        <v>50.353408695388985</v>
      </c>
      <c r="I24" s="7">
        <f>'C-FTE Apr'!I24*2.65</f>
        <v>41.253395075740379</v>
      </c>
      <c r="J24" s="7">
        <f>'C-FTE Apr'!J24*2.65</f>
        <v>43.07339779967009</v>
      </c>
      <c r="K24" s="7">
        <f>'C-FTE Apr'!K24*2.65</f>
        <v>44.286732948956583</v>
      </c>
      <c r="L24" s="7">
        <f>'C-FTE Apr'!L24*2.65</f>
        <v>33.366716605378244</v>
      </c>
      <c r="M24" s="7">
        <f>'C-FTE Apr'!M24*2.65</f>
        <v>26.086705709659356</v>
      </c>
      <c r="N24" s="7">
        <f>'C-FTE Apr'!N24*2.65</f>
        <v>53.38674656860519</v>
      </c>
      <c r="O24" s="7">
        <f>'C-FTE Apr'!O24*2.65</f>
        <v>50.353408695388993</v>
      </c>
      <c r="P24" s="7">
        <f>'C-FTE Apr'!P24*2.65</f>
        <v>41.860062650383625</v>
      </c>
      <c r="Q24" s="7">
        <f>'C-FTE Apr'!Q24*2.65</f>
        <v>43.073397799670104</v>
      </c>
      <c r="R24" s="7">
        <f>'C-FTE Apr'!R24*2.65</f>
        <v>44.89340052359983</v>
      </c>
      <c r="S24" s="7">
        <f>'C-FTE Apr'!S24*2.65</f>
        <v>33.97338418002149</v>
      </c>
      <c r="T24" s="7">
        <f>'C-FTE Apr'!T24*2.65</f>
        <v>26.693373284302595</v>
      </c>
      <c r="U24" s="7">
        <f>'C-FTE Apr'!U24*2.65</f>
        <v>55.206749292534916</v>
      </c>
      <c r="V24" s="7">
        <f>'C-FTE Apr'!V24*2.65</f>
        <v>52.173411419318711</v>
      </c>
      <c r="W24" s="7">
        <f>'C-FTE Apr'!W24*2.65</f>
        <v>43.680065374313351</v>
      </c>
      <c r="X24" s="7">
        <f>'C-FTE Apr'!X24*2.65</f>
        <v>45.500068098243062</v>
      </c>
      <c r="Y24" s="7">
        <f>'C-FTE Apr'!Y24*2.65</f>
        <v>47.320070822172788</v>
      </c>
      <c r="Z24" s="7">
        <f>'C-FTE Apr'!Z24*2.65</f>
        <v>35.793386903951216</v>
      </c>
      <c r="AA24" s="7">
        <f>'C-FTE Apr'!AA24*2.65</f>
        <v>28.513376008232321</v>
      </c>
      <c r="AB24" s="7">
        <f>'C-FTE Apr'!AB24*2.65</f>
        <v>58.84675474039436</v>
      </c>
      <c r="AC24" s="7">
        <f>'C-FTE Apr'!AC24*2.65</f>
        <v>56.420084441821388</v>
      </c>
      <c r="AD24" s="7">
        <f>'C-FTE Apr'!AD24*2.65</f>
        <v>46.713403247529541</v>
      </c>
      <c r="AE24" s="7">
        <f>'C-FTE Apr'!AE24*2.65</f>
        <v>49.140073546102506</v>
      </c>
      <c r="AF24" s="7">
        <f>'C-FTE Apr'!AF24*2.65</f>
        <v>0</v>
      </c>
    </row>
    <row r="25" spans="1:32" x14ac:dyDescent="0.25">
      <c r="A25" s="3" t="s">
        <v>30</v>
      </c>
      <c r="B25" s="7">
        <f>'C-FTE Apr'!B25*2.65</f>
        <v>47.926738396816027</v>
      </c>
      <c r="C25" s="7">
        <f>'C-FTE Apr'!C25*2.65</f>
        <v>49.746741120745753</v>
      </c>
      <c r="D25" s="7">
        <f>'C-FTE Apr'!D25*2.65</f>
        <v>49.746741120745753</v>
      </c>
      <c r="E25" s="7">
        <f>'C-FTE Apr'!E25*2.65</f>
        <v>40.0400599264539</v>
      </c>
      <c r="F25" s="7">
        <f>'C-FTE Apr'!F25*2.65</f>
        <v>30.333378732162046</v>
      </c>
      <c r="G25" s="7">
        <f>'C-FTE Apr'!G25*2.65</f>
        <v>62.486760188253811</v>
      </c>
      <c r="H25" s="7">
        <f>'C-FTE Apr'!H25*2.65</f>
        <v>56.420084441821388</v>
      </c>
      <c r="I25" s="7">
        <f>'C-FTE Apr'!I25*2.65</f>
        <v>46.106735672886302</v>
      </c>
      <c r="J25" s="7">
        <f>'C-FTE Apr'!J25*2.65</f>
        <v>47.926738396816027</v>
      </c>
      <c r="K25" s="7">
        <f>'C-FTE Apr'!K25*2.65</f>
        <v>48.533405971459267</v>
      </c>
      <c r="L25" s="7">
        <f>'C-FTE Apr'!L25*2.65</f>
        <v>39.433392351810653</v>
      </c>
      <c r="M25" s="7">
        <f>'C-FTE Apr'!M25*2.65</f>
        <v>29.726711157518803</v>
      </c>
      <c r="N25" s="7">
        <f>'C-FTE Apr'!N25*2.65</f>
        <v>61.880092613610557</v>
      </c>
      <c r="O25" s="7">
        <f>'C-FTE Apr'!O25*2.65</f>
        <v>56.420084441821395</v>
      </c>
      <c r="P25" s="7">
        <f>'C-FTE Apr'!P25*2.65</f>
        <v>46.106735672886316</v>
      </c>
      <c r="Q25" s="7">
        <f>'C-FTE Apr'!Q25*2.65</f>
        <v>48.533405971459267</v>
      </c>
      <c r="R25" s="7">
        <f>'C-FTE Apr'!R25*2.65</f>
        <v>49.140073546102514</v>
      </c>
      <c r="S25" s="7">
        <f>'C-FTE Apr'!S25*2.65</f>
        <v>40.0400599264539</v>
      </c>
      <c r="T25" s="7">
        <f>'C-FTE Apr'!T25*2.65</f>
        <v>30.333378732162046</v>
      </c>
      <c r="U25" s="7">
        <f>'C-FTE Apr'!U25*2.65</f>
        <v>63.70009533754029</v>
      </c>
      <c r="V25" s="7">
        <f>'C-FTE Apr'!V25*2.65</f>
        <v>58.240087165751113</v>
      </c>
      <c r="W25" s="7">
        <f>'C-FTE Apr'!W25*2.65</f>
        <v>47.926738396816035</v>
      </c>
      <c r="X25" s="7">
        <f>'C-FTE Apr'!X25*2.65</f>
        <v>50.960076270032232</v>
      </c>
      <c r="Y25" s="7">
        <f>'C-FTE Apr'!Y25*2.65</f>
        <v>52.173411419318718</v>
      </c>
      <c r="Z25" s="7">
        <f>'C-FTE Apr'!Z25*2.65</f>
        <v>42.466730225026858</v>
      </c>
      <c r="AA25" s="7">
        <f>'C-FTE Apr'!AA25*2.65</f>
        <v>32.153381456091765</v>
      </c>
      <c r="AB25" s="7">
        <f>'C-FTE Apr'!AB25*2.65</f>
        <v>67.946768360042981</v>
      </c>
      <c r="AC25" s="7">
        <f>'C-FTE Apr'!AC25*2.65</f>
        <v>62.486760188253804</v>
      </c>
      <c r="AD25" s="7">
        <f>'C-FTE Apr'!AD25*2.65</f>
        <v>52.173411419318711</v>
      </c>
      <c r="AE25" s="7">
        <f>'C-FTE Apr'!AE25*2.65</f>
        <v>55.206749292534916</v>
      </c>
      <c r="AF25" s="7">
        <f>'C-FTE Apr'!AF25*2.65</f>
        <v>0</v>
      </c>
    </row>
    <row r="26" spans="1:32" x14ac:dyDescent="0.25">
      <c r="A26" s="3" t="s">
        <v>31</v>
      </c>
      <c r="B26" s="7">
        <f>'C-FTE Apr'!B26*2.65</f>
        <v>50.353408695388985</v>
      </c>
      <c r="C26" s="7">
        <f>'C-FTE Apr'!C26*2.65</f>
        <v>52.173411419318718</v>
      </c>
      <c r="D26" s="7">
        <f>'C-FTE Apr'!D26*2.65</f>
        <v>52.780078993961958</v>
      </c>
      <c r="E26" s="7">
        <f>'C-FTE Apr'!E26*2.65</f>
        <v>43.680065374313337</v>
      </c>
      <c r="F26" s="7">
        <f>'C-FTE Apr'!F26*2.65</f>
        <v>31.546713881448529</v>
      </c>
      <c r="G26" s="7">
        <f>'C-FTE Apr'!G26*2.65</f>
        <v>66.733433210756502</v>
      </c>
      <c r="H26" s="7">
        <f>'C-FTE Apr'!H26*2.65</f>
        <v>61.273425038967311</v>
      </c>
      <c r="I26" s="7">
        <f>'C-FTE Apr'!I26*2.65</f>
        <v>48.533405971459267</v>
      </c>
      <c r="J26" s="7">
        <f>'C-FTE Apr'!J26*2.65</f>
        <v>50.960076270032232</v>
      </c>
      <c r="K26" s="7">
        <f>'C-FTE Apr'!K26*2.65</f>
        <v>51.566743844675479</v>
      </c>
      <c r="L26" s="7">
        <f>'C-FTE Apr'!L26*2.65</f>
        <v>42.466730225026851</v>
      </c>
      <c r="M26" s="7">
        <f>'C-FTE Apr'!M26*2.65</f>
        <v>31.546713881448522</v>
      </c>
      <c r="N26" s="7">
        <f>'C-FTE Apr'!N26*2.65</f>
        <v>66.126765636113248</v>
      </c>
      <c r="O26" s="7">
        <f>'C-FTE Apr'!O26*2.65</f>
        <v>61.273425038967318</v>
      </c>
      <c r="P26" s="7">
        <f>'C-FTE Apr'!P26*2.65</f>
        <v>48.533405971459281</v>
      </c>
      <c r="Q26" s="7">
        <f>'C-FTE Apr'!Q26*2.65</f>
        <v>50.960076270032232</v>
      </c>
      <c r="R26" s="7">
        <f>'C-FTE Apr'!R26*2.65</f>
        <v>52.173411419318718</v>
      </c>
      <c r="S26" s="7">
        <f>'C-FTE Apr'!S26*2.65</f>
        <v>43.680065374313337</v>
      </c>
      <c r="T26" s="7">
        <f>'C-FTE Apr'!T26*2.65</f>
        <v>32.153381456091765</v>
      </c>
      <c r="U26" s="7">
        <f>'C-FTE Apr'!U26*2.65</f>
        <v>68.55343593468622</v>
      </c>
      <c r="V26" s="7">
        <f>'C-FTE Apr'!V26*2.65</f>
        <v>63.093427762897043</v>
      </c>
      <c r="W26" s="7">
        <f>'C-FTE Apr'!W26*2.65</f>
        <v>50.353408695388993</v>
      </c>
      <c r="X26" s="7">
        <f>'C-FTE Apr'!X26*2.65</f>
        <v>53.386746568605204</v>
      </c>
      <c r="Y26" s="7">
        <f>'C-FTE Apr'!Y26*2.65</f>
        <v>54.600081717891683</v>
      </c>
      <c r="Z26" s="7">
        <f>'C-FTE Apr'!Z26*2.65</f>
        <v>46.106735672886309</v>
      </c>
      <c r="AA26" s="7">
        <f>'C-FTE Apr'!AA26*2.65</f>
        <v>33.97338418002149</v>
      </c>
      <c r="AB26" s="7">
        <f>'C-FTE Apr'!AB26*2.65</f>
        <v>72.800108957188897</v>
      </c>
      <c r="AC26" s="7">
        <f>'C-FTE Apr'!AC26*2.65</f>
        <v>67.946768360042981</v>
      </c>
      <c r="AD26" s="7">
        <f>'C-FTE Apr'!AD26*2.65</f>
        <v>54.600081717891683</v>
      </c>
      <c r="AE26" s="7">
        <f>'C-FTE Apr'!AE26*2.65</f>
        <v>58.24008716575112</v>
      </c>
      <c r="AF26" s="7">
        <f>'C-FTE Apr'!AF26*2.65</f>
        <v>0</v>
      </c>
    </row>
    <row r="27" spans="1:32" x14ac:dyDescent="0.25">
      <c r="A27" s="3" t="s">
        <v>32</v>
      </c>
      <c r="B27" s="7">
        <f>'C-FTE Apr'!B27*2.65</f>
        <v>53.386746568605204</v>
      </c>
      <c r="C27" s="7">
        <f>'C-FTE Apr'!C27*2.65</f>
        <v>52.780078993961958</v>
      </c>
      <c r="D27" s="7">
        <f>'C-FTE Apr'!D27*2.65</f>
        <v>54.600081717891683</v>
      </c>
      <c r="E27" s="7">
        <f>'C-FTE Apr'!E27*2.65</f>
        <v>43.073397799670104</v>
      </c>
      <c r="F27" s="7">
        <f>'C-FTE Apr'!F27*2.65</f>
        <v>32.760049030735011</v>
      </c>
      <c r="G27" s="7">
        <f>'C-FTE Apr'!G27*2.65</f>
        <v>66.126765636113248</v>
      </c>
      <c r="H27" s="7">
        <f>'C-FTE Apr'!H27*2.65</f>
        <v>64.30676291218353</v>
      </c>
      <c r="I27" s="7">
        <f>'C-FTE Apr'!I27*2.65</f>
        <v>50.960076270032239</v>
      </c>
      <c r="J27" s="7">
        <f>'C-FTE Apr'!J27*2.65</f>
        <v>50.960076270032232</v>
      </c>
      <c r="K27" s="7">
        <f>'C-FTE Apr'!K27*2.65</f>
        <v>53.38674656860519</v>
      </c>
      <c r="L27" s="7">
        <f>'C-FTE Apr'!L27*2.65</f>
        <v>41.860062650383611</v>
      </c>
      <c r="M27" s="7">
        <f>'C-FTE Apr'!M27*2.65</f>
        <v>32.760049030735004</v>
      </c>
      <c r="N27" s="7">
        <f>'C-FTE Apr'!N27*2.65</f>
        <v>66.126765636113248</v>
      </c>
      <c r="O27" s="7">
        <f>'C-FTE Apr'!O27*2.65</f>
        <v>63.70009533754029</v>
      </c>
      <c r="P27" s="7">
        <f>'C-FTE Apr'!P27*2.65</f>
        <v>51.566743844675479</v>
      </c>
      <c r="Q27" s="7">
        <f>'C-FTE Apr'!Q27*2.65</f>
        <v>51.566743844675464</v>
      </c>
      <c r="R27" s="7">
        <f>'C-FTE Apr'!R27*2.65</f>
        <v>53.993414143248437</v>
      </c>
      <c r="S27" s="7">
        <f>'C-FTE Apr'!S27*2.65</f>
        <v>43.073397799670104</v>
      </c>
      <c r="T27" s="7">
        <f>'C-FTE Apr'!T27*2.65</f>
        <v>33.366716605378251</v>
      </c>
      <c r="U27" s="7">
        <f>'C-FTE Apr'!U27*2.65</f>
        <v>67.946768360042981</v>
      </c>
      <c r="V27" s="7">
        <f>'C-FTE Apr'!V27*2.65</f>
        <v>66.126765636113248</v>
      </c>
      <c r="W27" s="7">
        <f>'C-FTE Apr'!W27*2.65</f>
        <v>53.386746568605204</v>
      </c>
      <c r="X27" s="7">
        <f>'C-FTE Apr'!X27*2.65</f>
        <v>53.993414143248437</v>
      </c>
      <c r="Y27" s="7">
        <f>'C-FTE Apr'!Y27*2.65</f>
        <v>57.026752016464641</v>
      </c>
      <c r="Z27" s="7">
        <f>'C-FTE Apr'!Z27*2.65</f>
        <v>45.500068098243062</v>
      </c>
      <c r="AA27" s="7">
        <f>'C-FTE Apr'!AA27*2.65</f>
        <v>35.186719329307969</v>
      </c>
      <c r="AB27" s="7">
        <f>'C-FTE Apr'!AB27*2.65</f>
        <v>72.800108957188897</v>
      </c>
      <c r="AC27" s="7">
        <f>'C-FTE Apr'!AC27*2.65</f>
        <v>70.980106233259164</v>
      </c>
      <c r="AD27" s="7">
        <f>'C-FTE Apr'!AD27*2.65</f>
        <v>57.633419591107881</v>
      </c>
      <c r="AE27" s="7">
        <f>'C-FTE Apr'!AE27*2.65</f>
        <v>58.24008716575112</v>
      </c>
      <c r="AF27" s="7">
        <f>'C-FTE Apr'!AF27*2.65</f>
        <v>0</v>
      </c>
    </row>
    <row r="28" spans="1:32" x14ac:dyDescent="0.25">
      <c r="A28" s="3" t="s">
        <v>33</v>
      </c>
      <c r="B28" s="7">
        <f>'C-FTE Apr'!B28*2.65</f>
        <v>59.453422315037606</v>
      </c>
      <c r="C28" s="7">
        <f>'C-FTE Apr'!C28*2.65</f>
        <v>51.566743844675479</v>
      </c>
      <c r="D28" s="7">
        <f>'C-FTE Apr'!D28*2.65</f>
        <v>53.993414143248437</v>
      </c>
      <c r="E28" s="7">
        <f>'C-FTE Apr'!E28*2.65</f>
        <v>43.680065374313337</v>
      </c>
      <c r="F28" s="7">
        <f>'C-FTE Apr'!F28*2.65</f>
        <v>33.366716605378251</v>
      </c>
      <c r="G28" s="7">
        <f>'C-FTE Apr'!G28*2.65</f>
        <v>66.126765636113248</v>
      </c>
      <c r="H28" s="7">
        <f>'C-FTE Apr'!H28*2.65</f>
        <v>65.520098061470009</v>
      </c>
      <c r="I28" s="7">
        <f>'C-FTE Apr'!I28*2.65</f>
        <v>57.026752016464641</v>
      </c>
      <c r="J28" s="7">
        <f>'C-FTE Apr'!J28*2.65</f>
        <v>49.746741120745753</v>
      </c>
      <c r="K28" s="7">
        <f>'C-FTE Apr'!K28*2.65</f>
        <v>52.780078993961958</v>
      </c>
      <c r="L28" s="7">
        <f>'C-FTE Apr'!L28*2.65</f>
        <v>42.466730225026851</v>
      </c>
      <c r="M28" s="7">
        <f>'C-FTE Apr'!M28*2.65</f>
        <v>33.366716605378251</v>
      </c>
      <c r="N28" s="7">
        <f>'C-FTE Apr'!N28*2.65</f>
        <v>65.520098061470009</v>
      </c>
      <c r="O28" s="7">
        <f>'C-FTE Apr'!O28*2.65</f>
        <v>65.520098061470023</v>
      </c>
      <c r="P28" s="7">
        <f>'C-FTE Apr'!P28*2.65</f>
        <v>57.633419591107888</v>
      </c>
      <c r="Q28" s="7">
        <f>'C-FTE Apr'!Q28*2.65</f>
        <v>50.353408695388985</v>
      </c>
      <c r="R28" s="7">
        <f>'C-FTE Apr'!R28*2.65</f>
        <v>53.38674656860519</v>
      </c>
      <c r="S28" s="7">
        <f>'C-FTE Apr'!S28*2.65</f>
        <v>43.680065374313337</v>
      </c>
      <c r="T28" s="7">
        <f>'C-FTE Apr'!T28*2.65</f>
        <v>33.97338418002149</v>
      </c>
      <c r="U28" s="7">
        <f>'C-FTE Apr'!U28*2.65</f>
        <v>67.340100785399741</v>
      </c>
      <c r="V28" s="7">
        <f>'C-FTE Apr'!V28*2.65</f>
        <v>67.946768360042981</v>
      </c>
      <c r="W28" s="7">
        <f>'C-FTE Apr'!W28*2.65</f>
        <v>60.06008988968086</v>
      </c>
      <c r="X28" s="7">
        <f>'C-FTE Apr'!X28*2.65</f>
        <v>52.780078993961958</v>
      </c>
      <c r="Y28" s="7">
        <f>'C-FTE Apr'!Y28*2.65</f>
        <v>56.420084441821395</v>
      </c>
      <c r="Z28" s="7">
        <f>'C-FTE Apr'!Z28*2.65</f>
        <v>46.106735672886309</v>
      </c>
      <c r="AA28" s="7">
        <f>'C-FTE Apr'!AA28*2.65</f>
        <v>36.400054478594448</v>
      </c>
      <c r="AB28" s="7">
        <f>'C-FTE Apr'!AB28*2.65</f>
        <v>72.193441382545657</v>
      </c>
      <c r="AC28" s="7">
        <f>'C-FTE Apr'!AC28*2.65</f>
        <v>72.800108957188897</v>
      </c>
      <c r="AD28" s="7">
        <f>'C-FTE Apr'!AD28*2.65</f>
        <v>64.30676291218353</v>
      </c>
      <c r="AE28" s="7">
        <f>'C-FTE Apr'!AE28*2.65</f>
        <v>57.026752016464641</v>
      </c>
      <c r="AF28" s="7">
        <f>'C-FTE Apr'!AF28*2.65</f>
        <v>0</v>
      </c>
    </row>
    <row r="29" spans="1:32" x14ac:dyDescent="0.25">
      <c r="A29" s="3" t="s">
        <v>34</v>
      </c>
      <c r="B29" s="7">
        <f>'C-FTE Apr'!B29*2.65</f>
        <v>65.520098061470009</v>
      </c>
      <c r="C29" s="7">
        <f>'C-FTE Apr'!C29*2.65</f>
        <v>56.420084441821395</v>
      </c>
      <c r="D29" s="7">
        <f>'C-FTE Apr'!D29*2.65</f>
        <v>55.813416867178162</v>
      </c>
      <c r="E29" s="7">
        <f>'C-FTE Apr'!E29*2.65</f>
        <v>47.926738396816027</v>
      </c>
      <c r="F29" s="7">
        <f>'C-FTE Apr'!F29*2.65</f>
        <v>38.220057202524174</v>
      </c>
      <c r="G29" s="7">
        <f>'C-FTE Apr'!G29*2.65</f>
        <v>73.406776531832151</v>
      </c>
      <c r="H29" s="7">
        <f>'C-FTE Apr'!H29*2.65</f>
        <v>67.946768360042967</v>
      </c>
      <c r="I29" s="7">
        <f>'C-FTE Apr'!I29*2.65</f>
        <v>63.70009533754029</v>
      </c>
      <c r="J29" s="7">
        <f>'C-FTE Apr'!J29*2.65</f>
        <v>54.600081717891669</v>
      </c>
      <c r="K29" s="7">
        <f>'C-FTE Apr'!K29*2.65</f>
        <v>53.993414143248437</v>
      </c>
      <c r="L29" s="7">
        <f>'C-FTE Apr'!L29*2.65</f>
        <v>46.713403247529541</v>
      </c>
      <c r="M29" s="7">
        <f>'C-FTE Apr'!M29*2.65</f>
        <v>37.613389627880935</v>
      </c>
      <c r="N29" s="7">
        <f>'C-FTE Apr'!N29*2.65</f>
        <v>72.800108957188897</v>
      </c>
      <c r="O29" s="7">
        <f>'C-FTE Apr'!O29*2.65</f>
        <v>67.340100785399727</v>
      </c>
      <c r="P29" s="7">
        <f>'C-FTE Apr'!P29*2.65</f>
        <v>63.700095337540297</v>
      </c>
      <c r="Q29" s="7">
        <f>'C-FTE Apr'!Q29*2.65</f>
        <v>55.206749292534916</v>
      </c>
      <c r="R29" s="7">
        <f>'C-FTE Apr'!R29*2.65</f>
        <v>55.206749292534916</v>
      </c>
      <c r="S29" s="7">
        <f>'C-FTE Apr'!S29*2.65</f>
        <v>47.926738396816027</v>
      </c>
      <c r="T29" s="7">
        <f>'C-FTE Apr'!T29*2.65</f>
        <v>38.220057202524174</v>
      </c>
      <c r="U29" s="7">
        <f>'C-FTE Apr'!U29*2.65</f>
        <v>75.226779255761883</v>
      </c>
      <c r="V29" s="7">
        <f>'C-FTE Apr'!V29*2.65</f>
        <v>69.766771083972699</v>
      </c>
      <c r="W29" s="7">
        <f>'C-FTE Apr'!W29*2.65</f>
        <v>66.126765636113262</v>
      </c>
      <c r="X29" s="7">
        <f>'C-FTE Apr'!X29*2.65</f>
        <v>57.633419591107881</v>
      </c>
      <c r="Y29" s="7">
        <f>'C-FTE Apr'!Y29*2.65</f>
        <v>57.633419591107881</v>
      </c>
      <c r="Z29" s="7">
        <f>'C-FTE Apr'!Z29*2.65</f>
        <v>50.353408695388993</v>
      </c>
      <c r="AA29" s="7">
        <f>'C-FTE Apr'!AA29*2.65</f>
        <v>40.646727501097139</v>
      </c>
      <c r="AB29" s="7">
        <f>'C-FTE Apr'!AB29*2.65</f>
        <v>80.080119852907785</v>
      </c>
      <c r="AC29" s="7">
        <f>'C-FTE Apr'!AC29*2.65</f>
        <v>75.226779255761855</v>
      </c>
      <c r="AD29" s="7">
        <f>'C-FTE Apr'!AD29*2.65</f>
        <v>71.586773807902418</v>
      </c>
      <c r="AE29" s="7">
        <f>'C-FTE Apr'!AE29*2.65</f>
        <v>62.486760188253811</v>
      </c>
      <c r="AF29" s="7">
        <f>'C-FTE Apr'!AF29*2.65</f>
        <v>0</v>
      </c>
    </row>
    <row r="30" spans="1:32" x14ac:dyDescent="0.25">
      <c r="A30" s="3" t="s">
        <v>35</v>
      </c>
      <c r="B30" s="7">
        <f>'C-FTE Apr'!B30*2.65</f>
        <v>68.55343593468622</v>
      </c>
      <c r="C30" s="7">
        <f>'C-FTE Apr'!C30*2.65</f>
        <v>63.70009533754029</v>
      </c>
      <c r="D30" s="7">
        <f>'C-FTE Apr'!D30*2.65</f>
        <v>61.273425038967332</v>
      </c>
      <c r="E30" s="7">
        <f>'C-FTE Apr'!E30*2.65</f>
        <v>51.566743844675479</v>
      </c>
      <c r="F30" s="7">
        <f>'C-FTE Apr'!F30*2.65</f>
        <v>43.073397799670104</v>
      </c>
      <c r="G30" s="7">
        <f>'C-FTE Apr'!G30*2.65</f>
        <v>81.900122576837518</v>
      </c>
      <c r="H30" s="7">
        <f>'C-FTE Apr'!H30*2.65</f>
        <v>69.160103509329446</v>
      </c>
      <c r="I30" s="7">
        <f>'C-FTE Apr'!I30*2.65</f>
        <v>66.126765636113248</v>
      </c>
      <c r="J30" s="7">
        <f>'C-FTE Apr'!J30*2.65</f>
        <v>61.880092613610564</v>
      </c>
      <c r="K30" s="7">
        <f>'C-FTE Apr'!K30*2.65</f>
        <v>59.453422315037606</v>
      </c>
      <c r="L30" s="7">
        <f>'C-FTE Apr'!L30*2.65</f>
        <v>50.353408695388985</v>
      </c>
      <c r="M30" s="7">
        <f>'C-FTE Apr'!M30*2.65</f>
        <v>42.466730225026858</v>
      </c>
      <c r="N30" s="7">
        <f>'C-FTE Apr'!N30*2.65</f>
        <v>81.293455002194264</v>
      </c>
      <c r="O30" s="7">
        <f>'C-FTE Apr'!O30*2.65</f>
        <v>69.16010350932946</v>
      </c>
      <c r="P30" s="7">
        <f>'C-FTE Apr'!P30*2.65</f>
        <v>66.733433210756502</v>
      </c>
      <c r="Q30" s="7">
        <f>'C-FTE Apr'!Q30*2.65</f>
        <v>62.486760188253804</v>
      </c>
      <c r="R30" s="7">
        <f>'C-FTE Apr'!R30*2.65</f>
        <v>60.666757464324085</v>
      </c>
      <c r="S30" s="7">
        <f>'C-FTE Apr'!S30*2.65</f>
        <v>51.566743844675479</v>
      </c>
      <c r="T30" s="7">
        <f>'C-FTE Apr'!T30*2.65</f>
        <v>43.073397799670104</v>
      </c>
      <c r="U30" s="7">
        <f>'C-FTE Apr'!U30*2.65</f>
        <v>83.720125300767251</v>
      </c>
      <c r="V30" s="7">
        <f>'C-FTE Apr'!V30*2.65</f>
        <v>71.586773807902418</v>
      </c>
      <c r="W30" s="7">
        <f>'C-FTE Apr'!W30*2.65</f>
        <v>69.160103509329474</v>
      </c>
      <c r="X30" s="7">
        <f>'C-FTE Apr'!X30*2.65</f>
        <v>65.520098061470023</v>
      </c>
      <c r="Y30" s="7">
        <f>'C-FTE Apr'!Y30*2.65</f>
        <v>63.70009533754029</v>
      </c>
      <c r="Z30" s="7">
        <f>'C-FTE Apr'!Z30*2.65</f>
        <v>54.600081717891683</v>
      </c>
      <c r="AA30" s="7">
        <f>'C-FTE Apr'!AA30*2.65</f>
        <v>46.106735672886309</v>
      </c>
      <c r="AB30" s="7">
        <f>'C-FTE Apr'!AB30*2.65</f>
        <v>89.786801047199631</v>
      </c>
      <c r="AC30" s="7">
        <f>'C-FTE Apr'!AC30*2.65</f>
        <v>77.046781979691573</v>
      </c>
      <c r="AD30" s="7">
        <f>'C-FTE Apr'!AD30*2.65</f>
        <v>74.62011168111863</v>
      </c>
      <c r="AE30" s="7">
        <f>'C-FTE Apr'!AE30*2.65</f>
        <v>70.980106233259178</v>
      </c>
      <c r="AF30" s="7">
        <f>'C-FTE Apr'!AF30*2.65</f>
        <v>0</v>
      </c>
    </row>
    <row r="31" spans="1:32" x14ac:dyDescent="0.25">
      <c r="A31" s="3" t="s">
        <v>36</v>
      </c>
      <c r="B31" s="7">
        <f>'C-FTE Apr'!B31*2.65</f>
        <v>67.340100785399727</v>
      </c>
      <c r="C31" s="7">
        <f>'C-FTE Apr'!C31*2.65</f>
        <v>64.30676291218353</v>
      </c>
      <c r="D31" s="7">
        <f>'C-FTE Apr'!D31*2.65</f>
        <v>62.486760188253811</v>
      </c>
      <c r="E31" s="7">
        <f>'C-FTE Apr'!E31*2.65</f>
        <v>52.173411419318711</v>
      </c>
      <c r="F31" s="7">
        <f>'C-FTE Apr'!F31*2.65</f>
        <v>42.466730225026865</v>
      </c>
      <c r="G31" s="7">
        <f>'C-FTE Apr'!G31*2.65</f>
        <v>83.720125300767251</v>
      </c>
      <c r="H31" s="7">
        <f>'C-FTE Apr'!H31*2.65</f>
        <v>68.553435934686206</v>
      </c>
      <c r="I31" s="7">
        <f>'C-FTE Apr'!I31*2.65</f>
        <v>64.913430486826769</v>
      </c>
      <c r="J31" s="7">
        <f>'C-FTE Apr'!J31*2.65</f>
        <v>62.486760188253811</v>
      </c>
      <c r="K31" s="7">
        <f>'C-FTE Apr'!K31*2.65</f>
        <v>60.666757464324085</v>
      </c>
      <c r="L31" s="7">
        <f>'C-FTE Apr'!L31*2.65</f>
        <v>51.566743844675464</v>
      </c>
      <c r="M31" s="7">
        <f>'C-FTE Apr'!M31*2.65</f>
        <v>41.860062650383625</v>
      </c>
      <c r="N31" s="7">
        <f>'C-FTE Apr'!N31*2.65</f>
        <v>83.113457726123983</v>
      </c>
      <c r="O31" s="7">
        <f>'C-FTE Apr'!O31*2.65</f>
        <v>68.55343593468622</v>
      </c>
      <c r="P31" s="7">
        <f>'C-FTE Apr'!P31*2.65</f>
        <v>64.913430486826783</v>
      </c>
      <c r="Q31" s="7">
        <f>'C-FTE Apr'!Q31*2.65</f>
        <v>63.093427762897043</v>
      </c>
      <c r="R31" s="7">
        <f>'C-FTE Apr'!R31*2.65</f>
        <v>61.880092613610564</v>
      </c>
      <c r="S31" s="7">
        <f>'C-FTE Apr'!S31*2.65</f>
        <v>52.173411419318711</v>
      </c>
      <c r="T31" s="7">
        <f>'C-FTE Apr'!T31*2.65</f>
        <v>43.073397799670104</v>
      </c>
      <c r="U31" s="7">
        <f>'C-FTE Apr'!U31*2.65</f>
        <v>85.540128024696969</v>
      </c>
      <c r="V31" s="7">
        <f>'C-FTE Apr'!V31*2.65</f>
        <v>70.980106233259178</v>
      </c>
      <c r="W31" s="7">
        <f>'C-FTE Apr'!W31*2.65</f>
        <v>67.946768360042981</v>
      </c>
      <c r="X31" s="7">
        <f>'C-FTE Apr'!X31*2.65</f>
        <v>66.126765636113262</v>
      </c>
      <c r="Y31" s="7">
        <f>'C-FTE Apr'!Y31*2.65</f>
        <v>64.913430486826769</v>
      </c>
      <c r="Z31" s="7">
        <f>'C-FTE Apr'!Z31*2.65</f>
        <v>55.206749292534916</v>
      </c>
      <c r="AA31" s="7">
        <f>'C-FTE Apr'!AA31*2.65</f>
        <v>45.500068098243062</v>
      </c>
      <c r="AB31" s="7">
        <f>'C-FTE Apr'!AB31*2.65</f>
        <v>91.606803771129364</v>
      </c>
      <c r="AC31" s="7">
        <f>'C-FTE Apr'!AC31*2.65</f>
        <v>75.833446830405094</v>
      </c>
      <c r="AD31" s="7">
        <f>'C-FTE Apr'!AD31*2.65</f>
        <v>73.406776531832151</v>
      </c>
      <c r="AE31" s="7">
        <f>'C-FTE Apr'!AE31*2.65</f>
        <v>71.586773807902432</v>
      </c>
      <c r="AF31" s="7">
        <f>'C-FTE Apr'!AF31*2.65</f>
        <v>0</v>
      </c>
    </row>
    <row r="32" spans="1:32" x14ac:dyDescent="0.25">
      <c r="A32" s="3" t="s">
        <v>37</v>
      </c>
      <c r="B32" s="7">
        <f>'C-FTE Apr'!B32*2.65</f>
        <v>63.093427762897043</v>
      </c>
      <c r="C32" s="7">
        <f>'C-FTE Apr'!C32*2.65</f>
        <v>60.060089889680846</v>
      </c>
      <c r="D32" s="7">
        <f>'C-FTE Apr'!D32*2.65</f>
        <v>60.060089889680846</v>
      </c>
      <c r="E32" s="7">
        <f>'C-FTE Apr'!E32*2.65</f>
        <v>49.140073546102506</v>
      </c>
      <c r="F32" s="7">
        <f>'C-FTE Apr'!F32*2.65</f>
        <v>39.43339235181066</v>
      </c>
      <c r="G32" s="7">
        <f>'C-FTE Apr'!G32*2.65</f>
        <v>81.293455002194278</v>
      </c>
      <c r="H32" s="7">
        <f>'C-FTE Apr'!H32*2.65</f>
        <v>65.520098061470009</v>
      </c>
      <c r="I32" s="7">
        <f>'C-FTE Apr'!I32*2.65</f>
        <v>61.273425038967332</v>
      </c>
      <c r="J32" s="7">
        <f>'C-FTE Apr'!J32*2.65</f>
        <v>58.24008716575112</v>
      </c>
      <c r="K32" s="7">
        <f>'C-FTE Apr'!K32*2.65</f>
        <v>58.24008716575112</v>
      </c>
      <c r="L32" s="7">
        <f>'C-FTE Apr'!L32*2.65</f>
        <v>47.926738396816027</v>
      </c>
      <c r="M32" s="7">
        <f>'C-FTE Apr'!M32*2.65</f>
        <v>38.826724777167414</v>
      </c>
      <c r="N32" s="7">
        <f>'C-FTE Apr'!N32*2.65</f>
        <v>80.686787427551025</v>
      </c>
      <c r="O32" s="7">
        <f>'C-FTE Apr'!O32*2.65</f>
        <v>64.913430486826769</v>
      </c>
      <c r="P32" s="7">
        <f>'C-FTE Apr'!P32*2.65</f>
        <v>61.273425038967332</v>
      </c>
      <c r="Q32" s="7">
        <f>'C-FTE Apr'!Q32*2.65</f>
        <v>58.846754740394353</v>
      </c>
      <c r="R32" s="7">
        <f>'C-FTE Apr'!R32*2.65</f>
        <v>59.453422315037614</v>
      </c>
      <c r="S32" s="7">
        <f>'C-FTE Apr'!S32*2.65</f>
        <v>49.140073546102506</v>
      </c>
      <c r="T32" s="7">
        <f>'C-FTE Apr'!T32*2.65</f>
        <v>40.0400599264539</v>
      </c>
      <c r="U32" s="7">
        <f>'C-FTE Apr'!U32*2.65</f>
        <v>83.113457726123997</v>
      </c>
      <c r="V32" s="7">
        <f>'C-FTE Apr'!V32*2.65</f>
        <v>67.340100785399727</v>
      </c>
      <c r="W32" s="7">
        <f>'C-FTE Apr'!W32*2.65</f>
        <v>63.700095337540297</v>
      </c>
      <c r="X32" s="7">
        <f>'C-FTE Apr'!X32*2.65</f>
        <v>61.880092613610564</v>
      </c>
      <c r="Y32" s="7">
        <f>'C-FTE Apr'!Y32*2.65</f>
        <v>62.486760188253811</v>
      </c>
      <c r="Z32" s="7">
        <f>'C-FTE Apr'!Z32*2.65</f>
        <v>52.173411419318711</v>
      </c>
      <c r="AA32" s="7">
        <f>'C-FTE Apr'!AA32*2.65</f>
        <v>42.466730225026858</v>
      </c>
      <c r="AB32" s="7">
        <f>'C-FTE Apr'!AB32*2.65</f>
        <v>88.573465897913167</v>
      </c>
      <c r="AC32" s="7">
        <f>'C-FTE Apr'!AC32*2.65</f>
        <v>72.193441382545657</v>
      </c>
      <c r="AD32" s="7">
        <f>'C-FTE Apr'!AD32*2.65</f>
        <v>68.55343593468622</v>
      </c>
      <c r="AE32" s="7">
        <f>'C-FTE Apr'!AE32*2.65</f>
        <v>66.733433210756502</v>
      </c>
      <c r="AF32" s="7">
        <f>'C-FTE Apr'!AF32*2.65</f>
        <v>0</v>
      </c>
    </row>
    <row r="33" spans="1:32" x14ac:dyDescent="0.25">
      <c r="A33" s="3" t="s">
        <v>38</v>
      </c>
      <c r="B33" s="7">
        <f>'C-FTE Apr'!B33*2.65</f>
        <v>61.880092613610572</v>
      </c>
      <c r="C33" s="7">
        <f>'C-FTE Apr'!C33*2.65</f>
        <v>56.420084441821395</v>
      </c>
      <c r="D33" s="7">
        <f>'C-FTE Apr'!D33*2.65</f>
        <v>57.633419591107881</v>
      </c>
      <c r="E33" s="7">
        <f>'C-FTE Apr'!E33*2.65</f>
        <v>45.500068098243062</v>
      </c>
      <c r="F33" s="7">
        <f>'C-FTE Apr'!F33*2.65</f>
        <v>38.826724777167421</v>
      </c>
      <c r="G33" s="7">
        <f>'C-FTE Apr'!G33*2.65</f>
        <v>77.046781979691602</v>
      </c>
      <c r="H33" s="7">
        <f>'C-FTE Apr'!H33*2.65</f>
        <v>63.093427762897043</v>
      </c>
      <c r="I33" s="7">
        <f>'C-FTE Apr'!I33*2.65</f>
        <v>59.453422315037606</v>
      </c>
      <c r="J33" s="7">
        <f>'C-FTE Apr'!J33*2.65</f>
        <v>54.600081717891669</v>
      </c>
      <c r="K33" s="7">
        <f>'C-FTE Apr'!K33*2.65</f>
        <v>55.813416867178162</v>
      </c>
      <c r="L33" s="7">
        <f>'C-FTE Apr'!L33*2.65</f>
        <v>44.286732948956576</v>
      </c>
      <c r="M33" s="7">
        <f>'C-FTE Apr'!M33*2.65</f>
        <v>38.220057202524174</v>
      </c>
      <c r="N33" s="7">
        <f>'C-FTE Apr'!N33*2.65</f>
        <v>76.440114405048334</v>
      </c>
      <c r="O33" s="7">
        <f>'C-FTE Apr'!O33*2.65</f>
        <v>63.093427762897058</v>
      </c>
      <c r="P33" s="7">
        <f>'C-FTE Apr'!P33*2.65</f>
        <v>59.453422315037614</v>
      </c>
      <c r="Q33" s="7">
        <f>'C-FTE Apr'!Q33*2.65</f>
        <v>55.206749292534916</v>
      </c>
      <c r="R33" s="7">
        <f>'C-FTE Apr'!R33*2.65</f>
        <v>57.026752016464641</v>
      </c>
      <c r="S33" s="7">
        <f>'C-FTE Apr'!S33*2.65</f>
        <v>45.500068098243062</v>
      </c>
      <c r="T33" s="7">
        <f>'C-FTE Apr'!T33*2.65</f>
        <v>39.433392351810653</v>
      </c>
      <c r="U33" s="7">
        <f>'C-FTE Apr'!U33*2.65</f>
        <v>78.86678470362132</v>
      </c>
      <c r="V33" s="7">
        <f>'C-FTE Apr'!V33*2.65</f>
        <v>65.520098061470009</v>
      </c>
      <c r="W33" s="7">
        <f>'C-FTE Apr'!W33*2.65</f>
        <v>62.486760188253818</v>
      </c>
      <c r="X33" s="7">
        <f>'C-FTE Apr'!X33*2.65</f>
        <v>57.633419591107881</v>
      </c>
      <c r="Y33" s="7">
        <f>'C-FTE Apr'!Y33*2.65</f>
        <v>60.060089889680846</v>
      </c>
      <c r="Z33" s="7">
        <f>'C-FTE Apr'!Z33*2.65</f>
        <v>47.926738396816027</v>
      </c>
      <c r="AA33" s="7">
        <f>'C-FTE Apr'!AA33*2.65</f>
        <v>41.860062650383625</v>
      </c>
      <c r="AB33" s="7">
        <f>'C-FTE Apr'!AB33*2.65</f>
        <v>84.326792875410476</v>
      </c>
      <c r="AC33" s="7">
        <f>'C-FTE Apr'!AC33*2.65</f>
        <v>69.766771083972699</v>
      </c>
      <c r="AD33" s="7">
        <f>'C-FTE Apr'!AD33*2.65</f>
        <v>67.340100785399727</v>
      </c>
      <c r="AE33" s="7">
        <f>'C-FTE Apr'!AE33*2.65</f>
        <v>62.486760188253811</v>
      </c>
      <c r="AF33" s="7">
        <f>'C-FTE Apr'!AF33*2.65</f>
        <v>0</v>
      </c>
    </row>
    <row r="34" spans="1:32" x14ac:dyDescent="0.25">
      <c r="A34" s="3" t="s">
        <v>39</v>
      </c>
      <c r="B34" s="7">
        <f>'C-FTE Apr'!B34*2.65</f>
        <v>63.70009533754029</v>
      </c>
      <c r="C34" s="7">
        <f>'C-FTE Apr'!C34*2.65</f>
        <v>57.633419591107881</v>
      </c>
      <c r="D34" s="7">
        <f>'C-FTE Apr'!D34*2.65</f>
        <v>57.026752016464641</v>
      </c>
      <c r="E34" s="7">
        <f>'C-FTE Apr'!E34*2.65</f>
        <v>44.893400523599816</v>
      </c>
      <c r="F34" s="7">
        <f>'C-FTE Apr'!F34*2.65</f>
        <v>40.0400599264539</v>
      </c>
      <c r="G34" s="7">
        <f>'C-FTE Apr'!G34*2.65</f>
        <v>76.440114405048348</v>
      </c>
      <c r="H34" s="7">
        <f>'C-FTE Apr'!H34*2.65</f>
        <v>64.30676291218353</v>
      </c>
      <c r="I34" s="7">
        <f>'C-FTE Apr'!I34*2.65</f>
        <v>61.273425038967332</v>
      </c>
      <c r="J34" s="7">
        <f>'C-FTE Apr'!J34*2.65</f>
        <v>55.813416867178155</v>
      </c>
      <c r="K34" s="7">
        <f>'C-FTE Apr'!K34*2.65</f>
        <v>55.206749292534916</v>
      </c>
      <c r="L34" s="7">
        <f>'C-FTE Apr'!L34*2.65</f>
        <v>43.680065374313337</v>
      </c>
      <c r="M34" s="7">
        <f>'C-FTE Apr'!M34*2.65</f>
        <v>39.433392351810653</v>
      </c>
      <c r="N34" s="7">
        <f>'C-FTE Apr'!N34*2.65</f>
        <v>75.833446830405094</v>
      </c>
      <c r="O34" s="7">
        <f>'C-FTE Apr'!O34*2.65</f>
        <v>63.70009533754029</v>
      </c>
      <c r="P34" s="7">
        <f>'C-FTE Apr'!P34*2.65</f>
        <v>61.273425038967332</v>
      </c>
      <c r="Q34" s="7">
        <f>'C-FTE Apr'!Q34*2.65</f>
        <v>56.420084441821395</v>
      </c>
      <c r="R34" s="7">
        <f>'C-FTE Apr'!R34*2.65</f>
        <v>56.420084441821409</v>
      </c>
      <c r="S34" s="7">
        <f>'C-FTE Apr'!S34*2.65</f>
        <v>44.893400523599816</v>
      </c>
      <c r="T34" s="7">
        <f>'C-FTE Apr'!T34*2.65</f>
        <v>40.646727501097139</v>
      </c>
      <c r="U34" s="7">
        <f>'C-FTE Apr'!U34*2.65</f>
        <v>78.260117128978081</v>
      </c>
      <c r="V34" s="7">
        <f>'C-FTE Apr'!V34*2.65</f>
        <v>66.126765636113248</v>
      </c>
      <c r="W34" s="7">
        <f>'C-FTE Apr'!W34*2.65</f>
        <v>64.30676291218353</v>
      </c>
      <c r="X34" s="7">
        <f>'C-FTE Apr'!X34*2.65</f>
        <v>58.846754740394367</v>
      </c>
      <c r="Y34" s="7">
        <f>'C-FTE Apr'!Y34*2.65</f>
        <v>59.453422315037606</v>
      </c>
      <c r="Z34" s="7">
        <f>'C-FTE Apr'!Z34*2.65</f>
        <v>47.320070822172788</v>
      </c>
      <c r="AA34" s="7">
        <f>'C-FTE Apr'!AA34*2.65</f>
        <v>43.073397799670104</v>
      </c>
      <c r="AB34" s="7">
        <f>'C-FTE Apr'!AB34*2.65</f>
        <v>83.720125300767251</v>
      </c>
      <c r="AC34" s="7">
        <f>'C-FTE Apr'!AC34*2.65</f>
        <v>70.980106233259164</v>
      </c>
      <c r="AD34" s="7">
        <f>'C-FTE Apr'!AD34*2.65</f>
        <v>69.16010350932946</v>
      </c>
      <c r="AE34" s="7">
        <f>'C-FTE Apr'!AE34*2.65</f>
        <v>63.70009533754029</v>
      </c>
      <c r="AF34" s="7">
        <f>'C-FTE Apr'!AF34*2.65</f>
        <v>0</v>
      </c>
    </row>
    <row r="35" spans="1:32" x14ac:dyDescent="0.25">
      <c r="A35" s="3" t="s">
        <v>40</v>
      </c>
      <c r="B35" s="7">
        <f>'C-FTE Apr'!B35*2.65</f>
        <v>63.70009533754029</v>
      </c>
      <c r="C35" s="7">
        <f>'C-FTE Apr'!C35*2.65</f>
        <v>60.060089889680846</v>
      </c>
      <c r="D35" s="7">
        <f>'C-FTE Apr'!D35*2.65</f>
        <v>58.846754740394367</v>
      </c>
      <c r="E35" s="7">
        <f>'C-FTE Apr'!E35*2.65</f>
        <v>46.106735672886309</v>
      </c>
      <c r="F35" s="7">
        <f>'C-FTE Apr'!F35*2.65</f>
        <v>43.073397799670104</v>
      </c>
      <c r="G35" s="7">
        <f>'C-FTE Apr'!G35*2.65</f>
        <v>78.86678470362132</v>
      </c>
      <c r="H35" s="7">
        <f>'C-FTE Apr'!H35*2.65</f>
        <v>66.126765636113248</v>
      </c>
      <c r="I35" s="7">
        <f>'C-FTE Apr'!I35*2.65</f>
        <v>61.273425038967332</v>
      </c>
      <c r="J35" s="7">
        <f>'C-FTE Apr'!J35*2.65</f>
        <v>58.24008716575112</v>
      </c>
      <c r="K35" s="7">
        <f>'C-FTE Apr'!K35*2.65</f>
        <v>57.026752016464641</v>
      </c>
      <c r="L35" s="7">
        <f>'C-FTE Apr'!L35*2.65</f>
        <v>45.500068098243055</v>
      </c>
      <c r="M35" s="7">
        <f>'C-FTE Apr'!M35*2.65</f>
        <v>41.860062650383625</v>
      </c>
      <c r="N35" s="7">
        <f>'C-FTE Apr'!N35*2.65</f>
        <v>78.260117128978052</v>
      </c>
      <c r="O35" s="7">
        <f>'C-FTE Apr'!O35*2.65</f>
        <v>66.126765636113248</v>
      </c>
      <c r="P35" s="7">
        <f>'C-FTE Apr'!P35*2.65</f>
        <v>61.880092613610572</v>
      </c>
      <c r="Q35" s="7">
        <f>'C-FTE Apr'!Q35*2.65</f>
        <v>58.240087165751113</v>
      </c>
      <c r="R35" s="7">
        <f>'C-FTE Apr'!R35*2.65</f>
        <v>58.24008716575112</v>
      </c>
      <c r="S35" s="7">
        <f>'C-FTE Apr'!S35*2.65</f>
        <v>46.106735672886309</v>
      </c>
      <c r="T35" s="7">
        <f>'C-FTE Apr'!T35*2.65</f>
        <v>43.073397799670104</v>
      </c>
      <c r="U35" s="7">
        <f>'C-FTE Apr'!U35*2.65</f>
        <v>80.686787427551053</v>
      </c>
      <c r="V35" s="7">
        <f>'C-FTE Apr'!V35*2.65</f>
        <v>68.55343593468622</v>
      </c>
      <c r="W35" s="7">
        <f>'C-FTE Apr'!W35*2.65</f>
        <v>64.30676291218353</v>
      </c>
      <c r="X35" s="7">
        <f>'C-FTE Apr'!X35*2.65</f>
        <v>61.273425038967332</v>
      </c>
      <c r="Y35" s="7">
        <f>'C-FTE Apr'!Y35*2.65</f>
        <v>61.273425038967332</v>
      </c>
      <c r="Z35" s="7">
        <f>'C-FTE Apr'!Z35*2.65</f>
        <v>49.140073546102506</v>
      </c>
      <c r="AA35" s="7">
        <f>'C-FTE Apr'!AA35*2.65</f>
        <v>46.106735672886309</v>
      </c>
      <c r="AB35" s="7">
        <f>'C-FTE Apr'!AB35*2.65</f>
        <v>86.146795599340209</v>
      </c>
      <c r="AC35" s="7">
        <f>'C-FTE Apr'!AC35*2.65</f>
        <v>73.406776531832136</v>
      </c>
      <c r="AD35" s="7">
        <f>'C-FTE Apr'!AD35*2.65</f>
        <v>69.16010350932946</v>
      </c>
      <c r="AE35" s="7">
        <f>'C-FTE Apr'!AE35*2.65</f>
        <v>66.126765636113248</v>
      </c>
      <c r="AF35" s="7">
        <f>'C-FTE Apr'!AF35*2.65</f>
        <v>0</v>
      </c>
    </row>
    <row r="36" spans="1:32" x14ac:dyDescent="0.25">
      <c r="A36" s="3" t="s">
        <v>41</v>
      </c>
      <c r="B36" s="7">
        <f>'C-FTE Apr'!B36*2.65</f>
        <v>62.486760188253811</v>
      </c>
      <c r="C36" s="7">
        <f>'C-FTE Apr'!C36*2.65</f>
        <v>57.633419591107881</v>
      </c>
      <c r="D36" s="7">
        <f>'C-FTE Apr'!D36*2.65</f>
        <v>58.846754740394367</v>
      </c>
      <c r="E36" s="7">
        <f>'C-FTE Apr'!E36*2.65</f>
        <v>45.500068098243062</v>
      </c>
      <c r="F36" s="7">
        <f>'C-FTE Apr'!F36*2.65</f>
        <v>42.466730225026865</v>
      </c>
      <c r="G36" s="7">
        <f>'C-FTE Apr'!G36*2.65</f>
        <v>75.226779255761869</v>
      </c>
      <c r="H36" s="7">
        <f>'C-FTE Apr'!H36*2.65</f>
        <v>66.126765636113248</v>
      </c>
      <c r="I36" s="7">
        <f>'C-FTE Apr'!I36*2.65</f>
        <v>60.060089889680839</v>
      </c>
      <c r="J36" s="7">
        <f>'C-FTE Apr'!J36*2.65</f>
        <v>55.813416867178155</v>
      </c>
      <c r="K36" s="7">
        <f>'C-FTE Apr'!K36*2.65</f>
        <v>57.633419591107881</v>
      </c>
      <c r="L36" s="7">
        <f>'C-FTE Apr'!L36*2.65</f>
        <v>44.893400523599816</v>
      </c>
      <c r="M36" s="7">
        <f>'C-FTE Apr'!M36*2.65</f>
        <v>41.860062650383625</v>
      </c>
      <c r="N36" s="7">
        <f>'C-FTE Apr'!N36*2.65</f>
        <v>74.620111681118615</v>
      </c>
      <c r="O36" s="7">
        <f>'C-FTE Apr'!O36*2.65</f>
        <v>66.126765636113248</v>
      </c>
      <c r="P36" s="7">
        <f>'C-FTE Apr'!P36*2.65</f>
        <v>60.060089889680846</v>
      </c>
      <c r="Q36" s="7">
        <f>'C-FTE Apr'!Q36*2.65</f>
        <v>56.420084441821395</v>
      </c>
      <c r="R36" s="7">
        <f>'C-FTE Apr'!R36*2.65</f>
        <v>58.24008716575112</v>
      </c>
      <c r="S36" s="7">
        <f>'C-FTE Apr'!S36*2.65</f>
        <v>45.500068098243062</v>
      </c>
      <c r="T36" s="7">
        <f>'C-FTE Apr'!T36*2.65</f>
        <v>43.073397799670104</v>
      </c>
      <c r="U36" s="7">
        <f>'C-FTE Apr'!U36*2.65</f>
        <v>77.046781979691602</v>
      </c>
      <c r="V36" s="7">
        <f>'C-FTE Apr'!V36*2.65</f>
        <v>68.55343593468622</v>
      </c>
      <c r="W36" s="7">
        <f>'C-FTE Apr'!W36*2.65</f>
        <v>63.093427762897058</v>
      </c>
      <c r="X36" s="7">
        <f>'C-FTE Apr'!X36*2.65</f>
        <v>59.453422315037606</v>
      </c>
      <c r="Y36" s="7">
        <f>'C-FTE Apr'!Y36*2.65</f>
        <v>61.273425038967332</v>
      </c>
      <c r="Z36" s="7">
        <f>'C-FTE Apr'!Z36*2.65</f>
        <v>48.533405971459267</v>
      </c>
      <c r="AA36" s="7">
        <f>'C-FTE Apr'!AA36*2.65</f>
        <v>45.500068098243062</v>
      </c>
      <c r="AB36" s="7">
        <f>'C-FTE Apr'!AB36*2.65</f>
        <v>82.506790151480757</v>
      </c>
      <c r="AC36" s="7">
        <f>'C-FTE Apr'!AC36*2.65</f>
        <v>73.406776531832136</v>
      </c>
      <c r="AD36" s="7">
        <f>'C-FTE Apr'!AD36*2.65</f>
        <v>67.946768360042981</v>
      </c>
      <c r="AE36" s="7">
        <f>'C-FTE Apr'!AE36*2.65</f>
        <v>64.30676291218353</v>
      </c>
      <c r="AF36" s="7">
        <f>'C-FTE Apr'!AF36*2.65</f>
        <v>0</v>
      </c>
    </row>
    <row r="37" spans="1:32" x14ac:dyDescent="0.25">
      <c r="A37" s="3" t="s">
        <v>42</v>
      </c>
      <c r="B37" s="7">
        <f>'C-FTE Apr'!B37*2.65</f>
        <v>59.453422315037606</v>
      </c>
      <c r="C37" s="7">
        <f>'C-FTE Apr'!C37*2.65</f>
        <v>55.813416867178162</v>
      </c>
      <c r="D37" s="7">
        <f>'C-FTE Apr'!D37*2.65</f>
        <v>55.813416867178162</v>
      </c>
      <c r="E37" s="7">
        <f>'C-FTE Apr'!E37*2.65</f>
        <v>42.466730225026858</v>
      </c>
      <c r="F37" s="7">
        <f>'C-FTE Apr'!F37*2.65</f>
        <v>38.826724777167421</v>
      </c>
      <c r="G37" s="7">
        <f>'C-FTE Apr'!G37*2.65</f>
        <v>69.160103509329474</v>
      </c>
      <c r="H37" s="7">
        <f>'C-FTE Apr'!H37*2.65</f>
        <v>63.093427762897043</v>
      </c>
      <c r="I37" s="7">
        <f>'C-FTE Apr'!I37*2.65</f>
        <v>57.633419591107888</v>
      </c>
      <c r="J37" s="7">
        <f>'C-FTE Apr'!J37*2.65</f>
        <v>53.993414143248437</v>
      </c>
      <c r="K37" s="7">
        <f>'C-FTE Apr'!K37*2.65</f>
        <v>54.600081717891669</v>
      </c>
      <c r="L37" s="7">
        <f>'C-FTE Apr'!L37*2.65</f>
        <v>41.860062650383611</v>
      </c>
      <c r="M37" s="7">
        <f>'C-FTE Apr'!M37*2.65</f>
        <v>38.220057202524174</v>
      </c>
      <c r="N37" s="7">
        <f>'C-FTE Apr'!N37*2.65</f>
        <v>68.55343593468622</v>
      </c>
      <c r="O37" s="7">
        <f>'C-FTE Apr'!O37*2.65</f>
        <v>63.093427762897058</v>
      </c>
      <c r="P37" s="7">
        <f>'C-FTE Apr'!P37*2.65</f>
        <v>57.633419591107888</v>
      </c>
      <c r="Q37" s="7">
        <f>'C-FTE Apr'!Q37*2.65</f>
        <v>54.600081717891669</v>
      </c>
      <c r="R37" s="7">
        <f>'C-FTE Apr'!R37*2.65</f>
        <v>55.206749292534916</v>
      </c>
      <c r="S37" s="7">
        <f>'C-FTE Apr'!S37*2.65</f>
        <v>42.466730225026858</v>
      </c>
      <c r="T37" s="7">
        <f>'C-FTE Apr'!T37*2.65</f>
        <v>39.433392351810653</v>
      </c>
      <c r="U37" s="7">
        <f>'C-FTE Apr'!U37*2.65</f>
        <v>70.373438658615939</v>
      </c>
      <c r="V37" s="7">
        <f>'C-FTE Apr'!V37*2.65</f>
        <v>65.520098061470009</v>
      </c>
      <c r="W37" s="7">
        <f>'C-FTE Apr'!W37*2.65</f>
        <v>60.06008988968086</v>
      </c>
      <c r="X37" s="7">
        <f>'C-FTE Apr'!X37*2.65</f>
        <v>57.026752016464641</v>
      </c>
      <c r="Y37" s="7">
        <f>'C-FTE Apr'!Y37*2.65</f>
        <v>58.24008716575112</v>
      </c>
      <c r="Z37" s="7">
        <f>'C-FTE Apr'!Z37*2.65</f>
        <v>44.893400523599816</v>
      </c>
      <c r="AA37" s="7">
        <f>'C-FTE Apr'!AA37*2.65</f>
        <v>41.860062650383625</v>
      </c>
      <c r="AB37" s="7">
        <f>'C-FTE Apr'!AB37*2.65</f>
        <v>75.226779255761855</v>
      </c>
      <c r="AC37" s="7">
        <f>'C-FTE Apr'!AC37*2.65</f>
        <v>70.373438658615939</v>
      </c>
      <c r="AD37" s="7">
        <f>'C-FTE Apr'!AD37*2.65</f>
        <v>64.913430486826769</v>
      </c>
      <c r="AE37" s="7">
        <f>'C-FTE Apr'!AE37*2.65</f>
        <v>61.880092613610564</v>
      </c>
      <c r="AF37" s="7">
        <f>'C-FTE Apr'!AF37*2.65</f>
        <v>0</v>
      </c>
    </row>
    <row r="38" spans="1:32" x14ac:dyDescent="0.25">
      <c r="A38" s="3" t="s">
        <v>43</v>
      </c>
      <c r="B38" s="7">
        <f>'C-FTE Apr'!B38*2.65</f>
        <v>54.600081717891669</v>
      </c>
      <c r="C38" s="7">
        <f>'C-FTE Apr'!C38*2.65</f>
        <v>52.780078993961958</v>
      </c>
      <c r="D38" s="7">
        <f>'C-FTE Apr'!D38*2.65</f>
        <v>49.140073546102506</v>
      </c>
      <c r="E38" s="7">
        <f>'C-FTE Apr'!E38*2.65</f>
        <v>39.433392351810653</v>
      </c>
      <c r="F38" s="7">
        <f>'C-FTE Apr'!F38*2.65</f>
        <v>33.97338418002149</v>
      </c>
      <c r="G38" s="7">
        <f>'C-FTE Apr'!G38*2.65</f>
        <v>63.70009533754029</v>
      </c>
      <c r="H38" s="7">
        <f>'C-FTE Apr'!H38*2.65</f>
        <v>60.060089889680832</v>
      </c>
      <c r="I38" s="7">
        <f>'C-FTE Apr'!I38*2.65</f>
        <v>52.780078993961951</v>
      </c>
      <c r="J38" s="7">
        <f>'C-FTE Apr'!J38*2.65</f>
        <v>51.566743844675479</v>
      </c>
      <c r="K38" s="7">
        <f>'C-FTE Apr'!K38*2.65</f>
        <v>47.926738396816027</v>
      </c>
      <c r="L38" s="7">
        <f>'C-FTE Apr'!L38*2.65</f>
        <v>38.826724777167406</v>
      </c>
      <c r="M38" s="7">
        <f>'C-FTE Apr'!M38*2.65</f>
        <v>33.97338418002149</v>
      </c>
      <c r="N38" s="7">
        <f>'C-FTE Apr'!N38*2.65</f>
        <v>63.093427762897043</v>
      </c>
      <c r="O38" s="7">
        <f>'C-FTE Apr'!O38*2.65</f>
        <v>60.060089889680846</v>
      </c>
      <c r="P38" s="7">
        <f>'C-FTE Apr'!P38*2.65</f>
        <v>52.780078993961965</v>
      </c>
      <c r="Q38" s="7">
        <f>'C-FTE Apr'!Q38*2.65</f>
        <v>51.566743844675464</v>
      </c>
      <c r="R38" s="7">
        <f>'C-FTE Apr'!R38*2.65</f>
        <v>48.533405971459267</v>
      </c>
      <c r="S38" s="7">
        <f>'C-FTE Apr'!S38*2.65</f>
        <v>39.433392351810653</v>
      </c>
      <c r="T38" s="7">
        <f>'C-FTE Apr'!T38*2.65</f>
        <v>34.580051754664723</v>
      </c>
      <c r="U38" s="7">
        <f>'C-FTE Apr'!U38*2.65</f>
        <v>65.520098061470023</v>
      </c>
      <c r="V38" s="7">
        <f>'C-FTE Apr'!V38*2.65</f>
        <v>61.880092613610564</v>
      </c>
      <c r="W38" s="7">
        <f>'C-FTE Apr'!W38*2.65</f>
        <v>55.206749292534916</v>
      </c>
      <c r="X38" s="7">
        <f>'C-FTE Apr'!X38*2.65</f>
        <v>53.993414143248437</v>
      </c>
      <c r="Y38" s="7">
        <f>'C-FTE Apr'!Y38*2.65</f>
        <v>50.960076270032232</v>
      </c>
      <c r="Z38" s="7">
        <f>'C-FTE Apr'!Z38*2.65</f>
        <v>41.860062650383625</v>
      </c>
      <c r="AA38" s="7">
        <f>'C-FTE Apr'!AA38*2.65</f>
        <v>37.006722053237695</v>
      </c>
      <c r="AB38" s="7">
        <f>'C-FTE Apr'!AB38*2.65</f>
        <v>69.766771083972699</v>
      </c>
      <c r="AC38" s="7">
        <f>'C-FTE Apr'!AC38*2.65</f>
        <v>66.733433210756488</v>
      </c>
      <c r="AD38" s="7">
        <f>'C-FTE Apr'!AD38*2.65</f>
        <v>59.453422315037606</v>
      </c>
      <c r="AE38" s="7">
        <f>'C-FTE Apr'!AE38*2.65</f>
        <v>58.846754740394367</v>
      </c>
      <c r="AF38" s="7">
        <f>'C-FTE Apr'!AF38*2.65</f>
        <v>0</v>
      </c>
    </row>
    <row r="39" spans="1:32" x14ac:dyDescent="0.25">
      <c r="A39" s="3" t="s">
        <v>44</v>
      </c>
      <c r="B39" s="7">
        <f>'C-FTE Apr'!B39*2.65</f>
        <v>50.353408695388985</v>
      </c>
      <c r="C39" s="7">
        <f>'C-FTE Apr'!C39*2.65</f>
        <v>46.106735672886302</v>
      </c>
      <c r="D39" s="7">
        <f>'C-FTE Apr'!D39*2.65</f>
        <v>41.860062650383625</v>
      </c>
      <c r="E39" s="7">
        <f>'C-FTE Apr'!E39*2.65</f>
        <v>35.793386903951209</v>
      </c>
      <c r="F39" s="7">
        <f>'C-FTE Apr'!F39*2.65</f>
        <v>32.153381456091772</v>
      </c>
      <c r="G39" s="7">
        <f>'C-FTE Apr'!G39*2.65</f>
        <v>58.84675474039436</v>
      </c>
      <c r="H39" s="7">
        <f>'C-FTE Apr'!H39*2.65</f>
        <v>55.813416867178155</v>
      </c>
      <c r="I39" s="7">
        <f>'C-FTE Apr'!I39*2.65</f>
        <v>48.533405971459267</v>
      </c>
      <c r="J39" s="7">
        <f>'C-FTE Apr'!J39*2.65</f>
        <v>44.89340052359983</v>
      </c>
      <c r="K39" s="7">
        <f>'C-FTE Apr'!K39*2.65</f>
        <v>41.253395075740379</v>
      </c>
      <c r="L39" s="7">
        <f>'C-FTE Apr'!L39*2.65</f>
        <v>35.186719329307969</v>
      </c>
      <c r="M39" s="7">
        <f>'C-FTE Apr'!M39*2.65</f>
        <v>31.546713881448522</v>
      </c>
      <c r="N39" s="7">
        <f>'C-FTE Apr'!N39*2.65</f>
        <v>58.240087165751113</v>
      </c>
      <c r="O39" s="7">
        <f>'C-FTE Apr'!O39*2.65</f>
        <v>55.206749292534916</v>
      </c>
      <c r="P39" s="7">
        <f>'C-FTE Apr'!P39*2.65</f>
        <v>49.140073546102514</v>
      </c>
      <c r="Q39" s="7">
        <f>'C-FTE Apr'!Q39*2.65</f>
        <v>45.500068098243062</v>
      </c>
      <c r="R39" s="7">
        <f>'C-FTE Apr'!R39*2.65</f>
        <v>41.253395075740379</v>
      </c>
      <c r="S39" s="7">
        <f>'C-FTE Apr'!S39*2.65</f>
        <v>35.793386903951209</v>
      </c>
      <c r="T39" s="7">
        <f>'C-FTE Apr'!T39*2.65</f>
        <v>32.760049030735004</v>
      </c>
      <c r="U39" s="7">
        <f>'C-FTE Apr'!U39*2.65</f>
        <v>60.060089889680846</v>
      </c>
      <c r="V39" s="7">
        <f>'C-FTE Apr'!V39*2.65</f>
        <v>57.633419591107881</v>
      </c>
      <c r="W39" s="7">
        <f>'C-FTE Apr'!W39*2.65</f>
        <v>50.960076270032239</v>
      </c>
      <c r="X39" s="7">
        <f>'C-FTE Apr'!X39*2.65</f>
        <v>47.320070822172788</v>
      </c>
      <c r="Y39" s="7">
        <f>'C-FTE Apr'!Y39*2.65</f>
        <v>43.680065374313337</v>
      </c>
      <c r="Z39" s="7">
        <f>'C-FTE Apr'!Z39*2.65</f>
        <v>38.220057202524174</v>
      </c>
      <c r="AA39" s="7">
        <f>'C-FTE Apr'!AA39*2.65</f>
        <v>34.58005175466473</v>
      </c>
      <c r="AB39" s="7">
        <f>'C-FTE Apr'!AB39*2.65</f>
        <v>64.30676291218353</v>
      </c>
      <c r="AC39" s="7">
        <f>'C-FTE Apr'!AC39*2.65</f>
        <v>61.880092613610564</v>
      </c>
      <c r="AD39" s="7">
        <f>'C-FTE Apr'!AD39*2.65</f>
        <v>55.206749292534916</v>
      </c>
      <c r="AE39" s="7">
        <f>'C-FTE Apr'!AE39*2.65</f>
        <v>51.566743844675464</v>
      </c>
      <c r="AF39" s="7">
        <f>'C-FTE Apr'!AF39*2.65</f>
        <v>0</v>
      </c>
    </row>
    <row r="40" spans="1:32" x14ac:dyDescent="0.25">
      <c r="A40" s="3" t="s">
        <v>45</v>
      </c>
      <c r="B40" s="7">
        <f>'C-FTE Apr'!B40*2.65</f>
        <v>45.500068098243062</v>
      </c>
      <c r="C40" s="7">
        <f>'C-FTE Apr'!C40*2.65</f>
        <v>41.860062650383618</v>
      </c>
      <c r="D40" s="7">
        <f>'C-FTE Apr'!D40*2.65</f>
        <v>38.826724777167414</v>
      </c>
      <c r="E40" s="7">
        <f>'C-FTE Apr'!E40*2.65</f>
        <v>31.546713881448529</v>
      </c>
      <c r="F40" s="7">
        <f>'C-FTE Apr'!F40*2.65</f>
        <v>31.546713881448529</v>
      </c>
      <c r="G40" s="7">
        <f>'C-FTE Apr'!G40*2.65</f>
        <v>53.993414143248437</v>
      </c>
      <c r="H40" s="7">
        <f>'C-FTE Apr'!H40*2.65</f>
        <v>49.140073546102506</v>
      </c>
      <c r="I40" s="7">
        <f>'C-FTE Apr'!I40*2.65</f>
        <v>43.680065374313351</v>
      </c>
      <c r="J40" s="7">
        <f>'C-FTE Apr'!J40*2.65</f>
        <v>40.646727501097139</v>
      </c>
      <c r="K40" s="7">
        <f>'C-FTE Apr'!K40*2.65</f>
        <v>38.220057202524174</v>
      </c>
      <c r="L40" s="7">
        <f>'C-FTE Apr'!L40*2.65</f>
        <v>30.940046306805282</v>
      </c>
      <c r="M40" s="7">
        <f>'C-FTE Apr'!M40*2.65</f>
        <v>30.940046306805282</v>
      </c>
      <c r="N40" s="7">
        <f>'C-FTE Apr'!N40*2.65</f>
        <v>53.38674656860519</v>
      </c>
      <c r="O40" s="7">
        <f>'C-FTE Apr'!O40*2.65</f>
        <v>49.140073546102506</v>
      </c>
      <c r="P40" s="7">
        <f>'C-FTE Apr'!P40*2.65</f>
        <v>43.680065374313351</v>
      </c>
      <c r="Q40" s="7">
        <f>'C-FTE Apr'!Q40*2.65</f>
        <v>40.646727501097132</v>
      </c>
      <c r="R40" s="7">
        <f>'C-FTE Apr'!R40*2.65</f>
        <v>38.826724777167414</v>
      </c>
      <c r="S40" s="7">
        <f>'C-FTE Apr'!S40*2.65</f>
        <v>31.546713881448529</v>
      </c>
      <c r="T40" s="7">
        <f>'C-FTE Apr'!T40*2.65</f>
        <v>32.153381456091765</v>
      </c>
      <c r="U40" s="7">
        <f>'C-FTE Apr'!U40*2.65</f>
        <v>54.600081717891669</v>
      </c>
      <c r="V40" s="7">
        <f>'C-FTE Apr'!V40*2.65</f>
        <v>50.960076270032232</v>
      </c>
      <c r="W40" s="7">
        <f>'C-FTE Apr'!W40*2.65</f>
        <v>45.500068098243062</v>
      </c>
      <c r="X40" s="7">
        <f>'C-FTE Apr'!X40*2.65</f>
        <v>43.073397799670104</v>
      </c>
      <c r="Y40" s="7">
        <f>'C-FTE Apr'!Y40*2.65</f>
        <v>40.646727501097139</v>
      </c>
      <c r="Z40" s="7">
        <f>'C-FTE Apr'!Z40*2.65</f>
        <v>33.366716605378251</v>
      </c>
      <c r="AA40" s="7">
        <f>'C-FTE Apr'!AA40*2.65</f>
        <v>33.97338418002149</v>
      </c>
      <c r="AB40" s="7">
        <f>'C-FTE Apr'!AB40*2.65</f>
        <v>58.84675474039436</v>
      </c>
      <c r="AC40" s="7">
        <f>'C-FTE Apr'!AC40*2.65</f>
        <v>54.600081717891669</v>
      </c>
      <c r="AD40" s="7">
        <f>'C-FTE Apr'!AD40*2.65</f>
        <v>49.140073546102514</v>
      </c>
      <c r="AE40" s="7">
        <f>'C-FTE Apr'!AE40*2.65</f>
        <v>46.106735672886302</v>
      </c>
      <c r="AF40" s="7">
        <f>'C-FTE Apr'!AF40*2.65</f>
        <v>0</v>
      </c>
    </row>
    <row r="41" spans="1:32" x14ac:dyDescent="0.25">
      <c r="A41" s="3" t="s">
        <v>46</v>
      </c>
      <c r="B41" s="7">
        <f>'C-FTE Apr'!B41*2.65</f>
        <v>40.646727501097139</v>
      </c>
      <c r="C41" s="7">
        <f>'C-FTE Apr'!C41*2.65</f>
        <v>40.0400599264539</v>
      </c>
      <c r="D41" s="7">
        <f>'C-FTE Apr'!D41*2.65</f>
        <v>37.613389627880935</v>
      </c>
      <c r="E41" s="7">
        <f>'C-FTE Apr'!E41*2.65</f>
        <v>28.513376008232321</v>
      </c>
      <c r="F41" s="7">
        <f>'C-FTE Apr'!F41*2.65</f>
        <v>29.726711157518803</v>
      </c>
      <c r="G41" s="7">
        <f>'C-FTE Apr'!G41*2.65</f>
        <v>47.926738396816027</v>
      </c>
      <c r="H41" s="7">
        <f>'C-FTE Apr'!H41*2.65</f>
        <v>43.680065374313337</v>
      </c>
      <c r="I41" s="7">
        <f>'C-FTE Apr'!I41*2.65</f>
        <v>39.433392351810653</v>
      </c>
      <c r="J41" s="7">
        <f>'C-FTE Apr'!J41*2.65</f>
        <v>39.433392351810653</v>
      </c>
      <c r="K41" s="7">
        <f>'C-FTE Apr'!K41*2.65</f>
        <v>36.400054478594448</v>
      </c>
      <c r="L41" s="7">
        <f>'C-FTE Apr'!L41*2.65</f>
        <v>27.906708433589078</v>
      </c>
      <c r="M41" s="7">
        <f>'C-FTE Apr'!M41*2.65</f>
        <v>29.12004358287556</v>
      </c>
      <c r="N41" s="7">
        <f>'C-FTE Apr'!N41*2.65</f>
        <v>47.926738396816027</v>
      </c>
      <c r="O41" s="7">
        <f>'C-FTE Apr'!O41*2.65</f>
        <v>43.680065374313351</v>
      </c>
      <c r="P41" s="7">
        <f>'C-FTE Apr'!P41*2.65</f>
        <v>39.43339235181066</v>
      </c>
      <c r="Q41" s="7">
        <f>'C-FTE Apr'!Q41*2.65</f>
        <v>39.433392351810653</v>
      </c>
      <c r="R41" s="7">
        <f>'C-FTE Apr'!R41*2.65</f>
        <v>37.006722053237695</v>
      </c>
      <c r="S41" s="7">
        <f>'C-FTE Apr'!S41*2.65</f>
        <v>28.513376008232321</v>
      </c>
      <c r="T41" s="7">
        <f>'C-FTE Apr'!T41*2.65</f>
        <v>30.333378732162046</v>
      </c>
      <c r="U41" s="7">
        <f>'C-FTE Apr'!U41*2.65</f>
        <v>49.140073546102514</v>
      </c>
      <c r="V41" s="7">
        <f>'C-FTE Apr'!V41*2.65</f>
        <v>44.893400523599816</v>
      </c>
      <c r="W41" s="7">
        <f>'C-FTE Apr'!W41*2.65</f>
        <v>41.253395075740379</v>
      </c>
      <c r="X41" s="7">
        <f>'C-FTE Apr'!X41*2.65</f>
        <v>41.253395075740379</v>
      </c>
      <c r="Y41" s="7">
        <f>'C-FTE Apr'!Y41*2.65</f>
        <v>38.826724777167414</v>
      </c>
      <c r="Z41" s="7">
        <f>'C-FTE Apr'!Z41*2.65</f>
        <v>29.726711157518803</v>
      </c>
      <c r="AA41" s="7">
        <f>'C-FTE Apr'!AA41*2.65</f>
        <v>32.153381456091765</v>
      </c>
      <c r="AB41" s="7">
        <f>'C-FTE Apr'!AB41*2.65</f>
        <v>52.780078993961958</v>
      </c>
      <c r="AC41" s="7">
        <f>'C-FTE Apr'!AC41*2.65</f>
        <v>48.53340597145926</v>
      </c>
      <c r="AD41" s="7">
        <f>'C-FTE Apr'!AD41*2.65</f>
        <v>44.286732948956583</v>
      </c>
      <c r="AE41" s="7">
        <f>'C-FTE Apr'!AE41*2.65</f>
        <v>44.89340052359983</v>
      </c>
      <c r="AF41" s="7">
        <f>'C-FTE Apr'!AF41*2.65</f>
        <v>0</v>
      </c>
    </row>
    <row r="42" spans="1:32" x14ac:dyDescent="0.25">
      <c r="A42" s="3" t="s">
        <v>47</v>
      </c>
      <c r="B42" s="7">
        <f>'C-FTE Apr'!B42*2.65</f>
        <v>38.220057202524174</v>
      </c>
      <c r="C42" s="7">
        <f>'C-FTE Apr'!C42*2.65</f>
        <v>37.613389627880927</v>
      </c>
      <c r="D42" s="7">
        <f>'C-FTE Apr'!D42*2.65</f>
        <v>33.366716605378251</v>
      </c>
      <c r="E42" s="7">
        <f>'C-FTE Apr'!E42*2.65</f>
        <v>24.873370560372877</v>
      </c>
      <c r="F42" s="7">
        <f>'C-FTE Apr'!F42*2.65</f>
        <v>27.300040858945842</v>
      </c>
      <c r="G42" s="7">
        <f>'C-FTE Apr'!G42*2.65</f>
        <v>42.466730225026858</v>
      </c>
      <c r="H42" s="7">
        <f>'C-FTE Apr'!H42*2.65</f>
        <v>40.0400599264539</v>
      </c>
      <c r="I42" s="7">
        <f>'C-FTE Apr'!I42*2.65</f>
        <v>37.006722053237695</v>
      </c>
      <c r="J42" s="7">
        <f>'C-FTE Apr'!J42*2.65</f>
        <v>36.400054478594448</v>
      </c>
      <c r="K42" s="7">
        <f>'C-FTE Apr'!K42*2.65</f>
        <v>32.153381456091765</v>
      </c>
      <c r="L42" s="7">
        <f>'C-FTE Apr'!L42*2.65</f>
        <v>24.266702985729633</v>
      </c>
      <c r="M42" s="7">
        <f>'C-FTE Apr'!M42*2.65</f>
        <v>26.693373284302595</v>
      </c>
      <c r="N42" s="7">
        <f>'C-FTE Apr'!N42*2.65</f>
        <v>42.466730225026858</v>
      </c>
      <c r="O42" s="7">
        <f>'C-FTE Apr'!O42*2.65</f>
        <v>40.0400599264539</v>
      </c>
      <c r="P42" s="7">
        <f>'C-FTE Apr'!P42*2.65</f>
        <v>37.006722053237695</v>
      </c>
      <c r="Q42" s="7">
        <f>'C-FTE Apr'!Q42*2.65</f>
        <v>36.400054478594448</v>
      </c>
      <c r="R42" s="7">
        <f>'C-FTE Apr'!R42*2.65</f>
        <v>32.760049030735011</v>
      </c>
      <c r="S42" s="7">
        <f>'C-FTE Apr'!S42*2.65</f>
        <v>24.873370560372877</v>
      </c>
      <c r="T42" s="7">
        <f>'C-FTE Apr'!T42*2.65</f>
        <v>27.906708433589081</v>
      </c>
      <c r="U42" s="7">
        <f>'C-FTE Apr'!U42*2.65</f>
        <v>43.680065374313351</v>
      </c>
      <c r="V42" s="7">
        <f>'C-FTE Apr'!V42*2.65</f>
        <v>41.253395075740379</v>
      </c>
      <c r="W42" s="7">
        <f>'C-FTE Apr'!W42*2.65</f>
        <v>38.826724777167414</v>
      </c>
      <c r="X42" s="7">
        <f>'C-FTE Apr'!X42*2.65</f>
        <v>38.220057202524174</v>
      </c>
      <c r="Y42" s="7">
        <f>'C-FTE Apr'!Y42*2.65</f>
        <v>34.580051754664737</v>
      </c>
      <c r="Z42" s="7">
        <f>'C-FTE Apr'!Z42*2.65</f>
        <v>26.693373284302595</v>
      </c>
      <c r="AA42" s="7">
        <f>'C-FTE Apr'!AA42*2.65</f>
        <v>29.726711157518803</v>
      </c>
      <c r="AB42" s="7">
        <f>'C-FTE Apr'!AB42*2.65</f>
        <v>46.713403247529541</v>
      </c>
      <c r="AC42" s="7">
        <f>'C-FTE Apr'!AC42*2.65</f>
        <v>44.286732948956576</v>
      </c>
      <c r="AD42" s="7">
        <f>'C-FTE Apr'!AD42*2.65</f>
        <v>41.860062650383625</v>
      </c>
      <c r="AE42" s="7">
        <f>'C-FTE Apr'!AE42*2.65</f>
        <v>41.253395075740379</v>
      </c>
      <c r="AF42" s="7">
        <f>'C-FTE Apr'!AF42*2.65</f>
        <v>0</v>
      </c>
    </row>
    <row r="43" spans="1:32" x14ac:dyDescent="0.25">
      <c r="A43" s="3" t="s">
        <v>48</v>
      </c>
      <c r="B43" s="7">
        <f>'C-FTE Apr'!B43*2.65</f>
        <v>35.793386903951209</v>
      </c>
      <c r="C43" s="7">
        <f>'C-FTE Apr'!C43*2.65</f>
        <v>33.366716605378244</v>
      </c>
      <c r="D43" s="7">
        <f>'C-FTE Apr'!D43*2.65</f>
        <v>27.906708433589081</v>
      </c>
      <c r="E43" s="7">
        <f>'C-FTE Apr'!E43*2.65</f>
        <v>23.053367836443154</v>
      </c>
      <c r="F43" s="7">
        <f>'C-FTE Apr'!F43*2.65</f>
        <v>26.086705709659359</v>
      </c>
      <c r="G43" s="7">
        <f>'C-FTE Apr'!G43*2.65</f>
        <v>40.0400599264539</v>
      </c>
      <c r="H43" s="7">
        <f>'C-FTE Apr'!H43*2.65</f>
        <v>38.826724777167414</v>
      </c>
      <c r="I43" s="7">
        <f>'C-FTE Apr'!I43*2.65</f>
        <v>34.58005175466473</v>
      </c>
      <c r="J43" s="7">
        <f>'C-FTE Apr'!J43*2.65</f>
        <v>32.153381456091765</v>
      </c>
      <c r="K43" s="7">
        <f>'C-FTE Apr'!K43*2.65</f>
        <v>27.300040858945835</v>
      </c>
      <c r="L43" s="7">
        <f>'C-FTE Apr'!L43*2.65</f>
        <v>22.446700261799908</v>
      </c>
      <c r="M43" s="7">
        <f>'C-FTE Apr'!M43*2.65</f>
        <v>25.480038135016116</v>
      </c>
      <c r="N43" s="7">
        <f>'C-FTE Apr'!N43*2.65</f>
        <v>39.433392351810653</v>
      </c>
      <c r="O43" s="7">
        <f>'C-FTE Apr'!O43*2.65</f>
        <v>38.220057202524174</v>
      </c>
      <c r="P43" s="7">
        <f>'C-FTE Apr'!P43*2.65</f>
        <v>34.580051754664737</v>
      </c>
      <c r="Q43" s="7">
        <f>'C-FTE Apr'!Q43*2.65</f>
        <v>32.760049030735004</v>
      </c>
      <c r="R43" s="7">
        <f>'C-FTE Apr'!R43*2.65</f>
        <v>27.906708433589081</v>
      </c>
      <c r="S43" s="7">
        <f>'C-FTE Apr'!S43*2.65</f>
        <v>23.053367836443154</v>
      </c>
      <c r="T43" s="7">
        <f>'C-FTE Apr'!T43*2.65</f>
        <v>26.086705709659356</v>
      </c>
      <c r="U43" s="7">
        <f>'C-FTE Apr'!U43*2.65</f>
        <v>40.646727501097139</v>
      </c>
      <c r="V43" s="7">
        <f>'C-FTE Apr'!V43*2.65</f>
        <v>40.0400599264539</v>
      </c>
      <c r="W43" s="7">
        <f>'C-FTE Apr'!W43*2.65</f>
        <v>35.793386903951216</v>
      </c>
      <c r="X43" s="7">
        <f>'C-FTE Apr'!X43*2.65</f>
        <v>34.58005175466473</v>
      </c>
      <c r="Y43" s="7">
        <f>'C-FTE Apr'!Y43*2.65</f>
        <v>29.12004358287556</v>
      </c>
      <c r="Z43" s="7">
        <f>'C-FTE Apr'!Z43*2.65</f>
        <v>24.266702985729633</v>
      </c>
      <c r="AA43" s="7">
        <f>'C-FTE Apr'!AA43*2.65</f>
        <v>27.906708433589081</v>
      </c>
      <c r="AB43" s="7">
        <f>'C-FTE Apr'!AB43*2.65</f>
        <v>43.680065374313337</v>
      </c>
      <c r="AC43" s="7">
        <f>'C-FTE Apr'!AC43*2.65</f>
        <v>43.07339779967009</v>
      </c>
      <c r="AD43" s="7">
        <f>'C-FTE Apr'!AD43*2.65</f>
        <v>38.826724777167414</v>
      </c>
      <c r="AE43" s="7">
        <f>'C-FTE Apr'!AE43*2.65</f>
        <v>37.006722053237688</v>
      </c>
      <c r="AF43" s="7">
        <f>'C-FTE Apr'!AF43*2.65</f>
        <v>0</v>
      </c>
    </row>
    <row r="44" spans="1:32" x14ac:dyDescent="0.25">
      <c r="A44" s="3" t="s">
        <v>49</v>
      </c>
      <c r="B44" s="7">
        <f>'C-FTE Apr'!B44*2.65</f>
        <v>32.153381456091765</v>
      </c>
      <c r="C44" s="7">
        <f>'C-FTE Apr'!C44*2.65</f>
        <v>31.546713881448522</v>
      </c>
      <c r="D44" s="7">
        <f>'C-FTE Apr'!D44*2.65</f>
        <v>26.693373284302602</v>
      </c>
      <c r="E44" s="7">
        <f>'C-FTE Apr'!E44*2.65</f>
        <v>22.446700261799908</v>
      </c>
      <c r="F44" s="7">
        <f>'C-FTE Apr'!F44*2.65</f>
        <v>24.87337056037288</v>
      </c>
      <c r="G44" s="7">
        <f>'C-FTE Apr'!G44*2.65</f>
        <v>38.220057202524174</v>
      </c>
      <c r="H44" s="7">
        <f>'C-FTE Apr'!H44*2.65</f>
        <v>37.006722053237688</v>
      </c>
      <c r="I44" s="7">
        <f>'C-FTE Apr'!I44*2.65</f>
        <v>30.940046306805282</v>
      </c>
      <c r="J44" s="7">
        <f>'C-FTE Apr'!J44*2.65</f>
        <v>30.333378732162043</v>
      </c>
      <c r="K44" s="7">
        <f>'C-FTE Apr'!K44*2.65</f>
        <v>26.086705709659356</v>
      </c>
      <c r="L44" s="7">
        <f>'C-FTE Apr'!L44*2.65</f>
        <v>21.840032687156668</v>
      </c>
      <c r="M44" s="7">
        <f>'C-FTE Apr'!M44*2.65</f>
        <v>24.266702985729633</v>
      </c>
      <c r="N44" s="7">
        <f>'C-FTE Apr'!N44*2.65</f>
        <v>38.220057202524167</v>
      </c>
      <c r="O44" s="7">
        <f>'C-FTE Apr'!O44*2.65</f>
        <v>37.006722053237688</v>
      </c>
      <c r="P44" s="7">
        <f>'C-FTE Apr'!P44*2.65</f>
        <v>30.940046306805286</v>
      </c>
      <c r="Q44" s="7">
        <f>'C-FTE Apr'!Q44*2.65</f>
        <v>30.940046306805282</v>
      </c>
      <c r="R44" s="7">
        <f>'C-FTE Apr'!R44*2.65</f>
        <v>26.086705709659359</v>
      </c>
      <c r="S44" s="7">
        <f>'C-FTE Apr'!S44*2.65</f>
        <v>22.446700261799908</v>
      </c>
      <c r="T44" s="7">
        <f>'C-FTE Apr'!T44*2.65</f>
        <v>24.873370560372877</v>
      </c>
      <c r="U44" s="7">
        <f>'C-FTE Apr'!U44*2.65</f>
        <v>39.43339235181066</v>
      </c>
      <c r="V44" s="7">
        <f>'C-FTE Apr'!V44*2.65</f>
        <v>38.220057202524174</v>
      </c>
      <c r="W44" s="7">
        <f>'C-FTE Apr'!W44*2.65</f>
        <v>32.153381456091765</v>
      </c>
      <c r="X44" s="7">
        <f>'C-FTE Apr'!X44*2.65</f>
        <v>32.153381456091765</v>
      </c>
      <c r="Y44" s="7">
        <f>'C-FTE Apr'!Y44*2.65</f>
        <v>27.906708433589081</v>
      </c>
      <c r="Z44" s="7">
        <f>'C-FTE Apr'!Z44*2.65</f>
        <v>23.660035411086394</v>
      </c>
      <c r="AA44" s="7">
        <f>'C-FTE Apr'!AA44*2.65</f>
        <v>26.693373284302602</v>
      </c>
      <c r="AB44" s="7">
        <f>'C-FTE Apr'!AB44*2.65</f>
        <v>41.860062650383625</v>
      </c>
      <c r="AC44" s="7">
        <f>'C-FTE Apr'!AC44*2.65</f>
        <v>41.253395075740372</v>
      </c>
      <c r="AD44" s="7">
        <f>'C-FTE Apr'!AD44*2.65</f>
        <v>34.58005175466473</v>
      </c>
      <c r="AE44" s="7">
        <f>'C-FTE Apr'!AE44*2.65</f>
        <v>35.186719329307969</v>
      </c>
      <c r="AF44" s="7">
        <f>'C-FTE Apr'!AF44*2.65</f>
        <v>0</v>
      </c>
    </row>
    <row r="45" spans="1:32" x14ac:dyDescent="0.25">
      <c r="A45" s="3" t="s">
        <v>50</v>
      </c>
      <c r="B45" s="7">
        <f>'C-FTE Apr'!B45*2.65</f>
        <v>28.513376008232317</v>
      </c>
      <c r="C45" s="7">
        <f>'C-FTE Apr'!C45*2.65</f>
        <v>30.940046306805282</v>
      </c>
      <c r="D45" s="7">
        <f>'C-FTE Apr'!D45*2.65</f>
        <v>26.086705709659359</v>
      </c>
      <c r="E45" s="7">
        <f>'C-FTE Apr'!E45*2.65</f>
        <v>21.233365112513429</v>
      </c>
      <c r="F45" s="7">
        <f>'C-FTE Apr'!F45*2.65</f>
        <v>23.053367836443154</v>
      </c>
      <c r="G45" s="7">
        <f>'C-FTE Apr'!G45*2.65</f>
        <v>34.580051754664737</v>
      </c>
      <c r="H45" s="7">
        <f>'C-FTE Apr'!H45*2.65</f>
        <v>35.186719329307969</v>
      </c>
      <c r="I45" s="7">
        <f>'C-FTE Apr'!I45*2.65</f>
        <v>27.300040858945835</v>
      </c>
      <c r="J45" s="7">
        <f>'C-FTE Apr'!J45*2.65</f>
        <v>30.333378732162043</v>
      </c>
      <c r="K45" s="7">
        <f>'C-FTE Apr'!K45*2.65</f>
        <v>25.480038135016116</v>
      </c>
      <c r="L45" s="7">
        <f>'C-FTE Apr'!L45*2.65</f>
        <v>21.233365112513425</v>
      </c>
      <c r="M45" s="7">
        <f>'C-FTE Apr'!M45*2.65</f>
        <v>22.446700261799908</v>
      </c>
      <c r="N45" s="7">
        <f>'C-FTE Apr'!N45*2.65</f>
        <v>33.973384180021476</v>
      </c>
      <c r="O45" s="7">
        <f>'C-FTE Apr'!O45*2.65</f>
        <v>35.186719329307969</v>
      </c>
      <c r="P45" s="7">
        <f>'C-FTE Apr'!P45*2.65</f>
        <v>27.300040858945845</v>
      </c>
      <c r="Q45" s="7">
        <f>'C-FTE Apr'!Q45*2.65</f>
        <v>30.333378732162043</v>
      </c>
      <c r="R45" s="7">
        <f>'C-FTE Apr'!R45*2.65</f>
        <v>25.480038135016116</v>
      </c>
      <c r="S45" s="7">
        <f>'C-FTE Apr'!S45*2.65</f>
        <v>21.233365112513429</v>
      </c>
      <c r="T45" s="7">
        <f>'C-FTE Apr'!T45*2.65</f>
        <v>23.053367836443151</v>
      </c>
      <c r="U45" s="7">
        <f>'C-FTE Apr'!U45*2.65</f>
        <v>35.186719329307969</v>
      </c>
      <c r="V45" s="7">
        <f>'C-FTE Apr'!V45*2.65</f>
        <v>36.400054478594448</v>
      </c>
      <c r="W45" s="7">
        <f>'C-FTE Apr'!W45*2.65</f>
        <v>28.513376008232321</v>
      </c>
      <c r="X45" s="7">
        <f>'C-FTE Apr'!X45*2.65</f>
        <v>32.153381456091765</v>
      </c>
      <c r="Y45" s="7">
        <f>'C-FTE Apr'!Y45*2.65</f>
        <v>27.300040858945842</v>
      </c>
      <c r="Z45" s="7">
        <f>'C-FTE Apr'!Z45*2.65</f>
        <v>22.446700261799908</v>
      </c>
      <c r="AA45" s="7">
        <f>'C-FTE Apr'!AA45*2.65</f>
        <v>24.87337056037288</v>
      </c>
      <c r="AB45" s="7">
        <f>'C-FTE Apr'!AB45*2.65</f>
        <v>37.613389627880927</v>
      </c>
      <c r="AC45" s="7">
        <f>'C-FTE Apr'!AC45*2.65</f>
        <v>39.433392351810653</v>
      </c>
      <c r="AD45" s="7">
        <f>'C-FTE Apr'!AD45*2.65</f>
        <v>30.940046306805282</v>
      </c>
      <c r="AE45" s="7">
        <f>'C-FTE Apr'!AE45*2.65</f>
        <v>34.58005175466473</v>
      </c>
      <c r="AF45" s="7">
        <f>'C-FTE Apr'!AF45*2.65</f>
        <v>0</v>
      </c>
    </row>
    <row r="46" spans="1:32" x14ac:dyDescent="0.25">
      <c r="A46" s="3" t="s">
        <v>51</v>
      </c>
      <c r="B46" s="7">
        <f>'C-FTE Apr'!B46*2.65</f>
        <v>25.480038135016116</v>
      </c>
      <c r="C46" s="7">
        <f>'C-FTE Apr'!C46*2.65</f>
        <v>29.726711157518807</v>
      </c>
      <c r="D46" s="7">
        <f>'C-FTE Apr'!D46*2.65</f>
        <v>24.873370560372877</v>
      </c>
      <c r="E46" s="7">
        <f>'C-FTE Apr'!E46*2.65</f>
        <v>19.413362388583707</v>
      </c>
      <c r="F46" s="7">
        <f>'C-FTE Apr'!F46*2.65</f>
        <v>20.626697537870189</v>
      </c>
      <c r="G46" s="7">
        <f>'C-FTE Apr'!G46*2.65</f>
        <v>30.940046306805286</v>
      </c>
      <c r="H46" s="7">
        <f>'C-FTE Apr'!H46*2.65</f>
        <v>32.760049030735004</v>
      </c>
      <c r="I46" s="7">
        <f>'C-FTE Apr'!I46*2.65</f>
        <v>24.266702985729633</v>
      </c>
      <c r="J46" s="7">
        <f>'C-FTE Apr'!J46*2.65</f>
        <v>29.12004358287556</v>
      </c>
      <c r="K46" s="7">
        <f>'C-FTE Apr'!K46*2.65</f>
        <v>24.266702985729633</v>
      </c>
      <c r="L46" s="7">
        <f>'C-FTE Apr'!L46*2.65</f>
        <v>19.413362388583703</v>
      </c>
      <c r="M46" s="7">
        <f>'C-FTE Apr'!M46*2.65</f>
        <v>20.626697537870189</v>
      </c>
      <c r="N46" s="7">
        <f>'C-FTE Apr'!N46*2.65</f>
        <v>30.333378732162039</v>
      </c>
      <c r="O46" s="7">
        <f>'C-FTE Apr'!O46*2.65</f>
        <v>32.760049030735011</v>
      </c>
      <c r="P46" s="7">
        <f>'C-FTE Apr'!P46*2.65</f>
        <v>24.266702985729641</v>
      </c>
      <c r="Q46" s="7">
        <f>'C-FTE Apr'!Q46*2.65</f>
        <v>29.120043582875557</v>
      </c>
      <c r="R46" s="7">
        <f>'C-FTE Apr'!R46*2.65</f>
        <v>24.266702985729633</v>
      </c>
      <c r="S46" s="7">
        <f>'C-FTE Apr'!S46*2.65</f>
        <v>19.413362388583707</v>
      </c>
      <c r="T46" s="7">
        <f>'C-FTE Apr'!T46*2.65</f>
        <v>21.233365112513429</v>
      </c>
      <c r="U46" s="7">
        <f>'C-FTE Apr'!U46*2.65</f>
        <v>31.546713881448529</v>
      </c>
      <c r="V46" s="7">
        <f>'C-FTE Apr'!V46*2.65</f>
        <v>33.97338418002149</v>
      </c>
      <c r="W46" s="7">
        <f>'C-FTE Apr'!W46*2.65</f>
        <v>25.48003813501612</v>
      </c>
      <c r="X46" s="7">
        <f>'C-FTE Apr'!X46*2.65</f>
        <v>30.333378732162043</v>
      </c>
      <c r="Y46" s="7">
        <f>'C-FTE Apr'!Y46*2.65</f>
        <v>25.480038135016116</v>
      </c>
      <c r="Z46" s="7">
        <f>'C-FTE Apr'!Z46*2.65</f>
        <v>20.626697537870189</v>
      </c>
      <c r="AA46" s="7">
        <f>'C-FTE Apr'!AA46*2.65</f>
        <v>22.446700261799915</v>
      </c>
      <c r="AB46" s="7">
        <f>'C-FTE Apr'!AB46*2.65</f>
        <v>33.366716605378244</v>
      </c>
      <c r="AC46" s="7">
        <f>'C-FTE Apr'!AC46*2.65</f>
        <v>36.400054478594448</v>
      </c>
      <c r="AD46" s="7">
        <f>'C-FTE Apr'!AD46*2.65</f>
        <v>27.300040858945842</v>
      </c>
      <c r="AE46" s="7">
        <f>'C-FTE Apr'!AE46*2.65</f>
        <v>33.366716605378251</v>
      </c>
      <c r="AF46" s="7">
        <f>'C-FTE Apr'!AF46*2.65</f>
        <v>0</v>
      </c>
    </row>
    <row r="47" spans="1:32" x14ac:dyDescent="0.25">
      <c r="A47" s="3" t="s">
        <v>52</v>
      </c>
      <c r="B47" s="7">
        <f>'C-FTE Apr'!B47*2.65</f>
        <v>23.053367836443151</v>
      </c>
      <c r="C47" s="7">
        <f>'C-FTE Apr'!C47*2.65</f>
        <v>27.300040858945835</v>
      </c>
      <c r="D47" s="7">
        <f>'C-FTE Apr'!D47*2.65</f>
        <v>22.446700261799915</v>
      </c>
      <c r="E47" s="7">
        <f>'C-FTE Apr'!E47*2.65</f>
        <v>16.986692090010745</v>
      </c>
      <c r="F47" s="7">
        <f>'C-FTE Apr'!F47*2.65</f>
        <v>19.41336238858371</v>
      </c>
      <c r="G47" s="7">
        <f>'C-FTE Apr'!G47*2.65</f>
        <v>29.726711157518807</v>
      </c>
      <c r="H47" s="7">
        <f>'C-FTE Apr'!H47*2.65</f>
        <v>27.906708433589078</v>
      </c>
      <c r="I47" s="7">
        <f>'C-FTE Apr'!I47*2.65</f>
        <v>22.446700261799915</v>
      </c>
      <c r="J47" s="7">
        <f>'C-FTE Apr'!J47*2.65</f>
        <v>26.693373284302595</v>
      </c>
      <c r="K47" s="7">
        <f>'C-FTE Apr'!K47*2.65</f>
        <v>21.840032687156668</v>
      </c>
      <c r="L47" s="7">
        <f>'C-FTE Apr'!L47*2.65</f>
        <v>16.986692090010742</v>
      </c>
      <c r="M47" s="7">
        <f>'C-FTE Apr'!M47*2.65</f>
        <v>19.413362388583707</v>
      </c>
      <c r="N47" s="7">
        <f>'C-FTE Apr'!N47*2.65</f>
        <v>29.120043582875557</v>
      </c>
      <c r="O47" s="7">
        <f>'C-FTE Apr'!O47*2.65</f>
        <v>27.906708433589081</v>
      </c>
      <c r="P47" s="7">
        <f>'C-FTE Apr'!P47*2.65</f>
        <v>22.446700261799915</v>
      </c>
      <c r="Q47" s="7">
        <f>'C-FTE Apr'!Q47*2.65</f>
        <v>26.693373284302591</v>
      </c>
      <c r="R47" s="7">
        <f>'C-FTE Apr'!R47*2.65</f>
        <v>22.446700261799915</v>
      </c>
      <c r="S47" s="7">
        <f>'C-FTE Apr'!S47*2.65</f>
        <v>16.986692090010745</v>
      </c>
      <c r="T47" s="7">
        <f>'C-FTE Apr'!T47*2.65</f>
        <v>19.413362388583707</v>
      </c>
      <c r="U47" s="7">
        <f>'C-FTE Apr'!U47*2.65</f>
        <v>30.333378732162046</v>
      </c>
      <c r="V47" s="7">
        <f>'C-FTE Apr'!V47*2.65</f>
        <v>29.120043582875557</v>
      </c>
      <c r="W47" s="7">
        <f>'C-FTE Apr'!W47*2.65</f>
        <v>23.053367836443154</v>
      </c>
      <c r="X47" s="7">
        <f>'C-FTE Apr'!X47*2.65</f>
        <v>27.906708433589081</v>
      </c>
      <c r="Y47" s="7">
        <f>'C-FTE Apr'!Y47*2.65</f>
        <v>23.660035411086394</v>
      </c>
      <c r="Z47" s="7">
        <f>'C-FTE Apr'!Z47*2.65</f>
        <v>18.200027239297224</v>
      </c>
      <c r="AA47" s="7">
        <f>'C-FTE Apr'!AA47*2.65</f>
        <v>20.626697537870189</v>
      </c>
      <c r="AB47" s="7">
        <f>'C-FTE Apr'!AB47*2.65</f>
        <v>32.153381456091765</v>
      </c>
      <c r="AC47" s="7">
        <f>'C-FTE Apr'!AC47*2.65</f>
        <v>30.940046306805282</v>
      </c>
      <c r="AD47" s="7">
        <f>'C-FTE Apr'!AD47*2.65</f>
        <v>24.873370560372877</v>
      </c>
      <c r="AE47" s="7">
        <f>'C-FTE Apr'!AE47*2.65</f>
        <v>30.333378732162043</v>
      </c>
      <c r="AF47" s="7">
        <f>'C-FTE Apr'!AF47*2.65</f>
        <v>0</v>
      </c>
    </row>
    <row r="48" spans="1:32" x14ac:dyDescent="0.25">
      <c r="A48" s="3" t="s">
        <v>53</v>
      </c>
      <c r="B48" s="7">
        <f>'C-FTE Apr'!B48*2.65</f>
        <v>20.626697537870189</v>
      </c>
      <c r="C48" s="7">
        <f>'C-FTE Apr'!C48*2.65</f>
        <v>24.266702985729633</v>
      </c>
      <c r="D48" s="7">
        <f>'C-FTE Apr'!D48*2.65</f>
        <v>19.413362388583707</v>
      </c>
      <c r="E48" s="7">
        <f>'C-FTE Apr'!E48*2.65</f>
        <v>15.166689366081021</v>
      </c>
      <c r="F48" s="7">
        <f>'C-FTE Apr'!F48*2.65</f>
        <v>18.806694813940471</v>
      </c>
      <c r="G48" s="7">
        <f>'C-FTE Apr'!G48*2.65</f>
        <v>27.300040858945835</v>
      </c>
      <c r="H48" s="7">
        <f>'C-FTE Apr'!H48*2.65</f>
        <v>24.873370560372869</v>
      </c>
      <c r="I48" s="7">
        <f>'C-FTE Apr'!I48*2.65</f>
        <v>20.02002996322695</v>
      </c>
      <c r="J48" s="7">
        <f>'C-FTE Apr'!J48*2.65</f>
        <v>23.053367836443154</v>
      </c>
      <c r="K48" s="7">
        <f>'C-FTE Apr'!K48*2.65</f>
        <v>18.806694813940467</v>
      </c>
      <c r="L48" s="7">
        <f>'C-FTE Apr'!L48*2.65</f>
        <v>14.560021791437778</v>
      </c>
      <c r="M48" s="7">
        <f>'C-FTE Apr'!M48*2.65</f>
        <v>18.200027239297224</v>
      </c>
      <c r="N48" s="7">
        <f>'C-FTE Apr'!N48*2.65</f>
        <v>26.693373284302595</v>
      </c>
      <c r="O48" s="7">
        <f>'C-FTE Apr'!O48*2.65</f>
        <v>24.266702985729633</v>
      </c>
      <c r="P48" s="7">
        <f>'C-FTE Apr'!P48*2.65</f>
        <v>20.02002996322695</v>
      </c>
      <c r="Q48" s="7">
        <f>'C-FTE Apr'!Q48*2.65</f>
        <v>23.66003541108639</v>
      </c>
      <c r="R48" s="7">
        <f>'C-FTE Apr'!R48*2.65</f>
        <v>18.806694813940464</v>
      </c>
      <c r="S48" s="7">
        <f>'C-FTE Apr'!S48*2.65</f>
        <v>15.166689366081021</v>
      </c>
      <c r="T48" s="7">
        <f>'C-FTE Apr'!T48*2.65</f>
        <v>18.806694813940464</v>
      </c>
      <c r="U48" s="7">
        <f>'C-FTE Apr'!U48*2.65</f>
        <v>27.906708433589081</v>
      </c>
      <c r="V48" s="7">
        <f>'C-FTE Apr'!V48*2.65</f>
        <v>25.480038135016116</v>
      </c>
      <c r="W48" s="7">
        <f>'C-FTE Apr'!W48*2.65</f>
        <v>20.626697537870189</v>
      </c>
      <c r="X48" s="7">
        <f>'C-FTE Apr'!X48*2.65</f>
        <v>24.873370560372877</v>
      </c>
      <c r="Y48" s="7">
        <f>'C-FTE Apr'!Y48*2.65</f>
        <v>20.02002996322695</v>
      </c>
      <c r="Z48" s="7">
        <f>'C-FTE Apr'!Z48*2.65</f>
        <v>15.773356940724264</v>
      </c>
      <c r="AA48" s="7">
        <f>'C-FTE Apr'!AA48*2.65</f>
        <v>20.02002996322695</v>
      </c>
      <c r="AB48" s="7">
        <f>'C-FTE Apr'!AB48*2.65</f>
        <v>29.726711157518803</v>
      </c>
      <c r="AC48" s="7">
        <f>'C-FTE Apr'!AC48*2.65</f>
        <v>27.300040858945835</v>
      </c>
      <c r="AD48" s="7">
        <f>'C-FTE Apr'!AD48*2.65</f>
        <v>22.446700261799915</v>
      </c>
      <c r="AE48" s="7">
        <f>'C-FTE Apr'!AE48*2.65</f>
        <v>26.693373284302602</v>
      </c>
      <c r="AF48" s="7">
        <f>'C-FTE Apr'!AF48*2.65</f>
        <v>0</v>
      </c>
    </row>
    <row r="49" spans="1:33" x14ac:dyDescent="0.25">
      <c r="A49" s="3" t="s">
        <v>54</v>
      </c>
      <c r="B49" s="7">
        <f>'C-FTE Apr'!B49*2.65</f>
        <v>17.593359664653981</v>
      </c>
      <c r="C49" s="7">
        <f>'C-FTE Apr'!C49*2.65</f>
        <v>20.626697537870189</v>
      </c>
      <c r="D49" s="7">
        <f>'C-FTE Apr'!D49*2.65</f>
        <v>15.773356940724261</v>
      </c>
      <c r="E49" s="7">
        <f>'C-FTE Apr'!E49*2.65</f>
        <v>12.740019067508058</v>
      </c>
      <c r="F49" s="7">
        <f>'C-FTE Apr'!F49*2.65</f>
        <v>16.380024515367506</v>
      </c>
      <c r="G49" s="7">
        <f>'C-FTE Apr'!G49*2.65</f>
        <v>23.053367836443154</v>
      </c>
      <c r="H49" s="7">
        <f>'C-FTE Apr'!H49*2.65</f>
        <v>21.840032687156668</v>
      </c>
      <c r="I49" s="7">
        <f>'C-FTE Apr'!I49*2.65</f>
        <v>16.986692090010745</v>
      </c>
      <c r="J49" s="7">
        <f>'C-FTE Apr'!J49*2.65</f>
        <v>20.02002996322695</v>
      </c>
      <c r="K49" s="7">
        <f>'C-FTE Apr'!K49*2.65</f>
        <v>15.166689366081021</v>
      </c>
      <c r="L49" s="7">
        <f>'C-FTE Apr'!L49*2.65</f>
        <v>12.740019067508058</v>
      </c>
      <c r="M49" s="7">
        <f>'C-FTE Apr'!M49*2.65</f>
        <v>15.773356940724261</v>
      </c>
      <c r="N49" s="7">
        <f>'C-FTE Apr'!N49*2.65</f>
        <v>22.446700261799908</v>
      </c>
      <c r="O49" s="7">
        <f>'C-FTE Apr'!O49*2.65</f>
        <v>21.840032687156675</v>
      </c>
      <c r="P49" s="7">
        <f>'C-FTE Apr'!P49*2.65</f>
        <v>16.986692090010745</v>
      </c>
      <c r="Q49" s="7">
        <f>'C-FTE Apr'!Q49*2.65</f>
        <v>20.020029963226946</v>
      </c>
      <c r="R49" s="7">
        <f>'C-FTE Apr'!R49*2.65</f>
        <v>15.166689366081021</v>
      </c>
      <c r="S49" s="7">
        <f>'C-FTE Apr'!S49*2.65</f>
        <v>12.740019067508058</v>
      </c>
      <c r="T49" s="7">
        <f>'C-FTE Apr'!T49*2.65</f>
        <v>16.380024515367502</v>
      </c>
      <c r="U49" s="7">
        <f>'C-FTE Apr'!U49*2.65</f>
        <v>23.053367836443154</v>
      </c>
      <c r="V49" s="7">
        <f>'C-FTE Apr'!V49*2.65</f>
        <v>23.053367836443151</v>
      </c>
      <c r="W49" s="7">
        <f>'C-FTE Apr'!W49*2.65</f>
        <v>17.593359664653988</v>
      </c>
      <c r="X49" s="7">
        <f>'C-FTE Apr'!X49*2.65</f>
        <v>20.626697537870189</v>
      </c>
      <c r="Y49" s="7">
        <f>'C-FTE Apr'!Y49*2.65</f>
        <v>16.380024515367506</v>
      </c>
      <c r="Z49" s="7">
        <f>'C-FTE Apr'!Z49*2.65</f>
        <v>13.346686642151298</v>
      </c>
      <c r="AA49" s="7">
        <f>'C-FTE Apr'!AA49*2.65</f>
        <v>17.593359664653985</v>
      </c>
      <c r="AB49" s="7">
        <f>'C-FTE Apr'!AB49*2.65</f>
        <v>24.873370560372877</v>
      </c>
      <c r="AC49" s="7">
        <f>'C-FTE Apr'!AC49*2.65</f>
        <v>24.26670298572963</v>
      </c>
      <c r="AD49" s="7">
        <f>'C-FTE Apr'!AD49*2.65</f>
        <v>19.413362388583707</v>
      </c>
      <c r="AE49" s="7">
        <f>'C-FTE Apr'!AE49*2.65</f>
        <v>22.446700261799915</v>
      </c>
      <c r="AF49" s="7">
        <f>'C-FTE Apr'!AF49*2.65</f>
        <v>0</v>
      </c>
    </row>
    <row r="50" spans="1:33" x14ac:dyDescent="0.25">
      <c r="A50" s="3" t="s">
        <v>55</v>
      </c>
      <c r="B50" s="7">
        <f>'C-FTE Apr'!B50*2.65</f>
        <v>15.166689366081021</v>
      </c>
      <c r="C50" s="7">
        <f>'C-FTE Apr'!C50*2.65</f>
        <v>18.200027239297228</v>
      </c>
      <c r="D50" s="7">
        <f>'C-FTE Apr'!D50*2.65</f>
        <v>12.740019067508058</v>
      </c>
      <c r="E50" s="7">
        <f>'C-FTE Apr'!E50*2.65</f>
        <v>10.920016343578334</v>
      </c>
      <c r="F50" s="7">
        <f>'C-FTE Apr'!F50*2.65</f>
        <v>13.346686642151301</v>
      </c>
      <c r="G50" s="7">
        <f>'C-FTE Apr'!G50*2.65</f>
        <v>19.413362388583707</v>
      </c>
      <c r="H50" s="7">
        <f>'C-FTE Apr'!H50*2.65</f>
        <v>18.200027239297224</v>
      </c>
      <c r="I50" s="7">
        <f>'C-FTE Apr'!I50*2.65</f>
        <v>14.560021791437778</v>
      </c>
      <c r="J50" s="7">
        <f>'C-FTE Apr'!J50*2.65</f>
        <v>17.593359664653985</v>
      </c>
      <c r="K50" s="7">
        <f>'C-FTE Apr'!K50*2.65</f>
        <v>12.740019067508058</v>
      </c>
      <c r="L50" s="7">
        <f>'C-FTE Apr'!L50*2.65</f>
        <v>10.920016343578334</v>
      </c>
      <c r="M50" s="7">
        <f>'C-FTE Apr'!M50*2.65</f>
        <v>13.346686642151298</v>
      </c>
      <c r="N50" s="7">
        <f>'C-FTE Apr'!N50*2.65</f>
        <v>19.413362388583707</v>
      </c>
      <c r="O50" s="7">
        <f>'C-FTE Apr'!O50*2.65</f>
        <v>18.200027239297224</v>
      </c>
      <c r="P50" s="7">
        <f>'C-FTE Apr'!P50*2.65</f>
        <v>14.56002179143778</v>
      </c>
      <c r="Q50" s="7">
        <f>'C-FTE Apr'!Q50*2.65</f>
        <v>17.593359664653985</v>
      </c>
      <c r="R50" s="7">
        <f>'C-FTE Apr'!R50*2.65</f>
        <v>12.740019067508058</v>
      </c>
      <c r="S50" s="7">
        <f>'C-FTE Apr'!S50*2.65</f>
        <v>10.920016343578334</v>
      </c>
      <c r="T50" s="7">
        <f>'C-FTE Apr'!T50*2.65</f>
        <v>13.346686642151298</v>
      </c>
      <c r="U50" s="7">
        <f>'C-FTE Apr'!U50*2.65</f>
        <v>20.02002996322695</v>
      </c>
      <c r="V50" s="7">
        <f>'C-FTE Apr'!V50*2.65</f>
        <v>18.806694813940464</v>
      </c>
      <c r="W50" s="7">
        <f>'C-FTE Apr'!W50*2.65</f>
        <v>15.166689366081023</v>
      </c>
      <c r="X50" s="7">
        <f>'C-FTE Apr'!X50*2.65</f>
        <v>18.200027239297228</v>
      </c>
      <c r="Y50" s="7">
        <f>'C-FTE Apr'!Y50*2.65</f>
        <v>13.346686642151301</v>
      </c>
      <c r="Z50" s="7">
        <f>'C-FTE Apr'!Z50*2.65</f>
        <v>11.526683918221577</v>
      </c>
      <c r="AA50" s="7">
        <f>'C-FTE Apr'!AA50*2.65</f>
        <v>14.56002179143778</v>
      </c>
      <c r="AB50" s="7">
        <f>'C-FTE Apr'!AB50*2.65</f>
        <v>21.233365112513429</v>
      </c>
      <c r="AC50" s="7">
        <f>'C-FTE Apr'!AC50*2.65</f>
        <v>20.626697537870186</v>
      </c>
      <c r="AD50" s="7">
        <f>'C-FTE Apr'!AD50*2.65</f>
        <v>16.380024515367502</v>
      </c>
      <c r="AE50" s="7">
        <f>'C-FTE Apr'!AE50*2.65</f>
        <v>20.02002996322695</v>
      </c>
      <c r="AF50" s="7">
        <f>'C-FTE Apr'!AF50*2.65</f>
        <v>0</v>
      </c>
    </row>
    <row r="51" spans="1:33" x14ac:dyDescent="0.25">
      <c r="A51" s="17" t="s">
        <v>60</v>
      </c>
      <c r="B51" s="18">
        <f>SUM(B3:B50)</f>
        <v>1388.0554107837349</v>
      </c>
      <c r="C51" s="18">
        <f t="shared" ref="C51:AF51" si="31">SUM(C3:C50)</f>
        <v>1352.8686914544271</v>
      </c>
      <c r="D51" s="18">
        <f t="shared" si="31"/>
        <v>1291.5952664154595</v>
      </c>
      <c r="E51" s="18">
        <f t="shared" si="31"/>
        <v>1031.3348768935093</v>
      </c>
      <c r="F51" s="18">
        <f t="shared" si="31"/>
        <v>911.21469711414795</v>
      </c>
      <c r="G51" s="18">
        <f t="shared" si="31"/>
        <v>1680.469181761777</v>
      </c>
      <c r="H51" s="18">
        <f t="shared" si="31"/>
        <v>1520.3089420559613</v>
      </c>
      <c r="I51" s="18">
        <f t="shared" si="31"/>
        <v>1337.7020020883463</v>
      </c>
      <c r="J51" s="18">
        <f t="shared" si="31"/>
        <v>1311.6152963786867</v>
      </c>
      <c r="K51" s="18">
        <f t="shared" si="31"/>
        <v>1258.8352173847247</v>
      </c>
      <c r="L51" s="18">
        <f t="shared" si="31"/>
        <v>1011.3148469302822</v>
      </c>
      <c r="M51" s="18">
        <f t="shared" si="31"/>
        <v>898.47467804663984</v>
      </c>
      <c r="N51" s="18">
        <f t="shared" si="31"/>
        <v>1665.9091599703395</v>
      </c>
      <c r="O51" s="18">
        <f t="shared" si="31"/>
        <v>1515.4556014588156</v>
      </c>
      <c r="P51" s="18">
        <f t="shared" si="31"/>
        <v>1341.3420075362058</v>
      </c>
      <c r="Q51" s="18">
        <f t="shared" si="31"/>
        <v>1321.9286451476216</v>
      </c>
      <c r="R51" s="18">
        <f t="shared" si="31"/>
        <v>1276.4285770493786</v>
      </c>
      <c r="S51" s="18">
        <f t="shared" si="31"/>
        <v>1031.3348768935093</v>
      </c>
      <c r="T51" s="18">
        <f t="shared" si="31"/>
        <v>921.52804588308288</v>
      </c>
      <c r="U51" s="18">
        <f t="shared" si="31"/>
        <v>1717.4759038150148</v>
      </c>
      <c r="V51" s="18">
        <f t="shared" si="31"/>
        <v>1571.269018325994</v>
      </c>
      <c r="W51" s="18">
        <f t="shared" si="31"/>
        <v>1398.3687595526701</v>
      </c>
      <c r="X51" s="18">
        <f t="shared" si="31"/>
        <v>1385.6287404851623</v>
      </c>
      <c r="Y51" s="18">
        <f t="shared" si="31"/>
        <v>1344.3753454094217</v>
      </c>
      <c r="Z51" s="18">
        <f t="shared" si="31"/>
        <v>1091.3949667831901</v>
      </c>
      <c r="AA51" s="18">
        <f t="shared" si="31"/>
        <v>980.37480062347754</v>
      </c>
      <c r="AB51" s="18">
        <f t="shared" si="31"/>
        <v>1835.7760808704472</v>
      </c>
      <c r="AC51" s="18">
        <f t="shared" si="31"/>
        <v>1687.7491926574955</v>
      </c>
      <c r="AD51" s="18">
        <f t="shared" si="31"/>
        <v>1508.1755905630966</v>
      </c>
      <c r="AE51" s="18">
        <f t="shared" si="31"/>
        <v>1500.8955796673783</v>
      </c>
      <c r="AF51" s="18">
        <f t="shared" si="31"/>
        <v>0</v>
      </c>
      <c r="AG51" s="13">
        <f>SUM(B51:AF51)</f>
        <v>40089.199999999997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8EA8F-9737-47FF-8369-63B9DBED4507}">
  <sheetPr>
    <tabColor rgb="FFFFFF00"/>
  </sheetPr>
  <dimension ref="A1:AG51"/>
  <sheetViews>
    <sheetView zoomScale="75" zoomScaleNormal="75" workbookViewId="0">
      <pane xSplit="1" ySplit="2" topLeftCell="B3" activePane="bottomRight" state="frozen"/>
      <selection activeCell="I28" sqref="I28"/>
      <selection pane="topRight" activeCell="I28" sqref="I28"/>
      <selection pane="bottomLeft" activeCell="I28" sqref="I28"/>
      <selection pane="bottomRight" activeCell="I28" sqref="I28"/>
    </sheetView>
  </sheetViews>
  <sheetFormatPr defaultColWidth="9.140625" defaultRowHeight="15" x14ac:dyDescent="0.25"/>
  <cols>
    <col min="1" max="1" width="11" style="3" bestFit="1" customWidth="1"/>
    <col min="2" max="10" width="7.7109375" style="3" bestFit="1" customWidth="1"/>
    <col min="11" max="31" width="8.85546875" style="3" bestFit="1" customWidth="1"/>
    <col min="32" max="32" width="7.7109375" style="3" bestFit="1" customWidth="1"/>
    <col min="33" max="33" width="6.42578125" style="3" bestFit="1" customWidth="1"/>
    <col min="34" max="16384" width="9.140625" style="3"/>
  </cols>
  <sheetData>
    <row r="1" spans="1:32" x14ac:dyDescent="0.25">
      <c r="A1" s="14" t="s">
        <v>0</v>
      </c>
      <c r="B1" s="2">
        <f>'C-FTE Apr'!B1</f>
        <v>46113</v>
      </c>
      <c r="C1" s="2">
        <f>B1+1</f>
        <v>46114</v>
      </c>
      <c r="D1" s="2">
        <f t="shared" ref="D1:AF1" si="0">C1+1</f>
        <v>46115</v>
      </c>
      <c r="E1" s="2">
        <f t="shared" si="0"/>
        <v>46116</v>
      </c>
      <c r="F1" s="2">
        <f t="shared" si="0"/>
        <v>46117</v>
      </c>
      <c r="G1" s="2">
        <f t="shared" si="0"/>
        <v>46118</v>
      </c>
      <c r="H1" s="2">
        <f t="shared" si="0"/>
        <v>46119</v>
      </c>
      <c r="I1" s="2">
        <f t="shared" si="0"/>
        <v>46120</v>
      </c>
      <c r="J1" s="2">
        <f t="shared" si="0"/>
        <v>46121</v>
      </c>
      <c r="K1" s="2">
        <f t="shared" si="0"/>
        <v>46122</v>
      </c>
      <c r="L1" s="2">
        <f t="shared" si="0"/>
        <v>46123</v>
      </c>
      <c r="M1" s="2">
        <f t="shared" si="0"/>
        <v>46124</v>
      </c>
      <c r="N1" s="2">
        <f t="shared" si="0"/>
        <v>46125</v>
      </c>
      <c r="O1" s="2">
        <f t="shared" si="0"/>
        <v>46126</v>
      </c>
      <c r="P1" s="2">
        <f t="shared" si="0"/>
        <v>46127</v>
      </c>
      <c r="Q1" s="2">
        <f t="shared" si="0"/>
        <v>46128</v>
      </c>
      <c r="R1" s="2">
        <f t="shared" si="0"/>
        <v>46129</v>
      </c>
      <c r="S1" s="2">
        <f t="shared" si="0"/>
        <v>46130</v>
      </c>
      <c r="T1" s="2">
        <f t="shared" si="0"/>
        <v>46131</v>
      </c>
      <c r="U1" s="2">
        <f t="shared" si="0"/>
        <v>46132</v>
      </c>
      <c r="V1" s="2">
        <f t="shared" si="0"/>
        <v>46133</v>
      </c>
      <c r="W1" s="2">
        <f t="shared" si="0"/>
        <v>46134</v>
      </c>
      <c r="X1" s="2">
        <f t="shared" si="0"/>
        <v>46135</v>
      </c>
      <c r="Y1" s="2">
        <f t="shared" si="0"/>
        <v>46136</v>
      </c>
      <c r="Z1" s="2">
        <f t="shared" si="0"/>
        <v>46137</v>
      </c>
      <c r="AA1" s="2">
        <f t="shared" si="0"/>
        <v>46138</v>
      </c>
      <c r="AB1" s="2">
        <f t="shared" si="0"/>
        <v>46139</v>
      </c>
      <c r="AC1" s="2">
        <f t="shared" si="0"/>
        <v>46140</v>
      </c>
      <c r="AD1" s="2">
        <f t="shared" si="0"/>
        <v>46141</v>
      </c>
      <c r="AE1" s="2">
        <f t="shared" si="0"/>
        <v>46142</v>
      </c>
      <c r="AF1" s="2">
        <f t="shared" si="0"/>
        <v>46143</v>
      </c>
    </row>
    <row r="2" spans="1:32" x14ac:dyDescent="0.25">
      <c r="A2" s="15"/>
      <c r="B2" s="5" t="str">
        <f>TEXT(B1,"ddd")</f>
        <v>Wed</v>
      </c>
      <c r="C2" s="5" t="str">
        <f t="shared" ref="C2:AF2" si="1">TEXT(C1,"ddd")</f>
        <v>Thu</v>
      </c>
      <c r="D2" s="5" t="str">
        <f t="shared" si="1"/>
        <v>Fri</v>
      </c>
      <c r="E2" s="5" t="str">
        <f t="shared" si="1"/>
        <v>Sat</v>
      </c>
      <c r="F2" s="5" t="str">
        <f t="shared" si="1"/>
        <v>Sun</v>
      </c>
      <c r="G2" s="5" t="str">
        <f t="shared" si="1"/>
        <v>Mon</v>
      </c>
      <c r="H2" s="5" t="str">
        <f t="shared" si="1"/>
        <v>Tue</v>
      </c>
      <c r="I2" s="5" t="str">
        <f t="shared" si="1"/>
        <v>Wed</v>
      </c>
      <c r="J2" s="5" t="str">
        <f t="shared" si="1"/>
        <v>Thu</v>
      </c>
      <c r="K2" s="5" t="str">
        <f t="shared" si="1"/>
        <v>Fri</v>
      </c>
      <c r="L2" s="5" t="str">
        <f t="shared" si="1"/>
        <v>Sat</v>
      </c>
      <c r="M2" s="5" t="str">
        <f t="shared" si="1"/>
        <v>Sun</v>
      </c>
      <c r="N2" s="5" t="str">
        <f t="shared" si="1"/>
        <v>Mon</v>
      </c>
      <c r="O2" s="5" t="str">
        <f t="shared" si="1"/>
        <v>Tue</v>
      </c>
      <c r="P2" s="5" t="str">
        <f t="shared" si="1"/>
        <v>Wed</v>
      </c>
      <c r="Q2" s="5" t="str">
        <f t="shared" si="1"/>
        <v>Thu</v>
      </c>
      <c r="R2" s="5" t="str">
        <f t="shared" si="1"/>
        <v>Fri</v>
      </c>
      <c r="S2" s="5" t="str">
        <f t="shared" si="1"/>
        <v>Sat</v>
      </c>
      <c r="T2" s="5" t="str">
        <f t="shared" si="1"/>
        <v>Sun</v>
      </c>
      <c r="U2" s="5" t="str">
        <f t="shared" si="1"/>
        <v>Mon</v>
      </c>
      <c r="V2" s="5" t="str">
        <f t="shared" si="1"/>
        <v>Tue</v>
      </c>
      <c r="W2" s="5" t="str">
        <f t="shared" si="1"/>
        <v>Wed</v>
      </c>
      <c r="X2" s="5" t="str">
        <f t="shared" si="1"/>
        <v>Thu</v>
      </c>
      <c r="Y2" s="5" t="str">
        <f t="shared" si="1"/>
        <v>Fri</v>
      </c>
      <c r="Z2" s="5" t="str">
        <f t="shared" si="1"/>
        <v>Sat</v>
      </c>
      <c r="AA2" s="5" t="str">
        <f t="shared" si="1"/>
        <v>Sun</v>
      </c>
      <c r="AB2" s="5" t="str">
        <f t="shared" si="1"/>
        <v>Mon</v>
      </c>
      <c r="AC2" s="5" t="str">
        <f t="shared" si="1"/>
        <v>Tue</v>
      </c>
      <c r="AD2" s="5" t="str">
        <f t="shared" si="1"/>
        <v>Wed</v>
      </c>
      <c r="AE2" s="5" t="str">
        <f t="shared" si="1"/>
        <v>Thu</v>
      </c>
      <c r="AF2" s="5" t="str">
        <f t="shared" si="1"/>
        <v>Fri</v>
      </c>
    </row>
    <row r="3" spans="1:32" x14ac:dyDescent="0.25">
      <c r="A3" s="3" t="s">
        <v>8</v>
      </c>
      <c r="B3" s="7">
        <f>'C-FTE Apr'!B3/2</f>
        <v>0</v>
      </c>
      <c r="C3" s="7">
        <f>'C-FTE Apr'!C3/2</f>
        <v>0</v>
      </c>
      <c r="D3" s="7">
        <f>'C-FTE Apr'!D3/2</f>
        <v>0</v>
      </c>
      <c r="E3" s="7">
        <f>'C-FTE Apr'!E3/2</f>
        <v>0</v>
      </c>
      <c r="F3" s="7">
        <f>'C-FTE Apr'!F3/2</f>
        <v>0</v>
      </c>
      <c r="G3" s="7">
        <f>'C-FTE Apr'!G3/2</f>
        <v>0</v>
      </c>
      <c r="H3" s="7">
        <f>'C-FTE Apr'!H3/2</f>
        <v>0</v>
      </c>
      <c r="I3" s="7">
        <f>'C-FTE Apr'!I3/2</f>
        <v>0</v>
      </c>
      <c r="J3" s="7">
        <f>'C-FTE Apr'!J3/2</f>
        <v>0</v>
      </c>
      <c r="K3" s="7">
        <f>'C-FTE Apr'!K3/2</f>
        <v>0</v>
      </c>
      <c r="L3" s="7">
        <f>'C-FTE Apr'!L3/2</f>
        <v>0</v>
      </c>
      <c r="M3" s="7">
        <f>'C-FTE Apr'!M3/2</f>
        <v>0</v>
      </c>
      <c r="N3" s="7">
        <f>'C-FTE Apr'!N3/2</f>
        <v>0</v>
      </c>
      <c r="O3" s="7">
        <f>'C-FTE Apr'!O3/2</f>
        <v>0</v>
      </c>
      <c r="P3" s="7">
        <f>'C-FTE Apr'!P3/2</f>
        <v>0</v>
      </c>
      <c r="Q3" s="7">
        <f>'C-FTE Apr'!Q3/2</f>
        <v>0</v>
      </c>
      <c r="R3" s="7">
        <f>'C-FTE Apr'!R3/2</f>
        <v>0</v>
      </c>
      <c r="S3" s="7">
        <f>'C-FTE Apr'!S3/2</f>
        <v>0</v>
      </c>
      <c r="T3" s="7">
        <f>'C-FTE Apr'!T3/2</f>
        <v>0</v>
      </c>
      <c r="U3" s="7">
        <f>'C-FTE Apr'!U3/2</f>
        <v>0</v>
      </c>
      <c r="V3" s="7">
        <f>'C-FTE Apr'!V3/2</f>
        <v>0</v>
      </c>
      <c r="W3" s="7">
        <f>'C-FTE Apr'!W3/2</f>
        <v>0</v>
      </c>
      <c r="X3" s="7">
        <f>'C-FTE Apr'!X3/2</f>
        <v>0</v>
      </c>
      <c r="Y3" s="7">
        <f>'C-FTE Apr'!Y3/2</f>
        <v>0</v>
      </c>
      <c r="Z3" s="7">
        <f>'C-FTE Apr'!Z3/2</f>
        <v>0</v>
      </c>
      <c r="AA3" s="7">
        <f>'C-FTE Apr'!AA3/2</f>
        <v>0</v>
      </c>
      <c r="AB3" s="7">
        <f>'C-FTE Apr'!AB3/2</f>
        <v>0</v>
      </c>
      <c r="AC3" s="7">
        <f>'C-FTE Apr'!AC3/2</f>
        <v>0</v>
      </c>
      <c r="AD3" s="7">
        <f>'C-FTE Apr'!AD3/2</f>
        <v>0</v>
      </c>
      <c r="AE3" s="7">
        <f>'C-FTE Apr'!AE3/2</f>
        <v>0</v>
      </c>
      <c r="AF3" s="7">
        <f>'C-FTE Apr'!AF3/2</f>
        <v>0</v>
      </c>
    </row>
    <row r="4" spans="1:32" x14ac:dyDescent="0.25">
      <c r="A4" s="3" t="s">
        <v>9</v>
      </c>
      <c r="B4" s="7">
        <f>'C-FTE Apr'!B4/2</f>
        <v>0</v>
      </c>
      <c r="C4" s="7">
        <f>'C-FTE Apr'!C4/2</f>
        <v>0</v>
      </c>
      <c r="D4" s="7">
        <f>'C-FTE Apr'!D4/2</f>
        <v>0</v>
      </c>
      <c r="E4" s="7">
        <f>'C-FTE Apr'!E4/2</f>
        <v>0</v>
      </c>
      <c r="F4" s="7">
        <f>'C-FTE Apr'!F4/2</f>
        <v>0</v>
      </c>
      <c r="G4" s="7">
        <f>'C-FTE Apr'!G4/2</f>
        <v>0</v>
      </c>
      <c r="H4" s="7">
        <f>'C-FTE Apr'!H4/2</f>
        <v>0</v>
      </c>
      <c r="I4" s="7">
        <f>'C-FTE Apr'!I4/2</f>
        <v>0</v>
      </c>
      <c r="J4" s="7">
        <f>'C-FTE Apr'!J4/2</f>
        <v>0</v>
      </c>
      <c r="K4" s="7">
        <f>'C-FTE Apr'!K4/2</f>
        <v>0</v>
      </c>
      <c r="L4" s="7">
        <f>'C-FTE Apr'!L4/2</f>
        <v>0</v>
      </c>
      <c r="M4" s="7">
        <f>'C-FTE Apr'!M4/2</f>
        <v>0</v>
      </c>
      <c r="N4" s="7">
        <f>'C-FTE Apr'!N4/2</f>
        <v>0</v>
      </c>
      <c r="O4" s="7">
        <f>'C-FTE Apr'!O4/2</f>
        <v>0</v>
      </c>
      <c r="P4" s="7">
        <f>'C-FTE Apr'!P4/2</f>
        <v>0</v>
      </c>
      <c r="Q4" s="7">
        <f>'C-FTE Apr'!Q4/2</f>
        <v>0</v>
      </c>
      <c r="R4" s="7">
        <f>'C-FTE Apr'!R4/2</f>
        <v>0</v>
      </c>
      <c r="S4" s="7">
        <f>'C-FTE Apr'!S4/2</f>
        <v>0</v>
      </c>
      <c r="T4" s="7">
        <f>'C-FTE Apr'!T4/2</f>
        <v>0</v>
      </c>
      <c r="U4" s="7">
        <f>'C-FTE Apr'!U4/2</f>
        <v>0</v>
      </c>
      <c r="V4" s="7">
        <f>'C-FTE Apr'!V4/2</f>
        <v>0</v>
      </c>
      <c r="W4" s="7">
        <f>'C-FTE Apr'!W4/2</f>
        <v>0</v>
      </c>
      <c r="X4" s="7">
        <f>'C-FTE Apr'!X4/2</f>
        <v>0</v>
      </c>
      <c r="Y4" s="7">
        <f>'C-FTE Apr'!Y4/2</f>
        <v>0</v>
      </c>
      <c r="Z4" s="7">
        <f>'C-FTE Apr'!Z4/2</f>
        <v>0</v>
      </c>
      <c r="AA4" s="7">
        <f>'C-FTE Apr'!AA4/2</f>
        <v>0</v>
      </c>
      <c r="AB4" s="7">
        <f>'C-FTE Apr'!AB4/2</f>
        <v>0</v>
      </c>
      <c r="AC4" s="7">
        <f>'C-FTE Apr'!AC4/2</f>
        <v>0</v>
      </c>
      <c r="AD4" s="7">
        <f>'C-FTE Apr'!AD4/2</f>
        <v>0</v>
      </c>
      <c r="AE4" s="7">
        <f>'C-FTE Apr'!AE4/2</f>
        <v>0</v>
      </c>
      <c r="AF4" s="7">
        <f>'C-FTE Apr'!AF4/2</f>
        <v>0</v>
      </c>
    </row>
    <row r="5" spans="1:32" x14ac:dyDescent="0.25">
      <c r="A5" s="3" t="s">
        <v>10</v>
      </c>
      <c r="B5" s="7">
        <f>'C-FTE Apr'!B5/2</f>
        <v>0</v>
      </c>
      <c r="C5" s="7">
        <f>'C-FTE Apr'!C5/2</f>
        <v>0</v>
      </c>
      <c r="D5" s="7">
        <f>'C-FTE Apr'!D5/2</f>
        <v>0</v>
      </c>
      <c r="E5" s="7">
        <f>'C-FTE Apr'!E5/2</f>
        <v>0</v>
      </c>
      <c r="F5" s="7">
        <f>'C-FTE Apr'!F5/2</f>
        <v>0</v>
      </c>
      <c r="G5" s="7">
        <f>'C-FTE Apr'!G5/2</f>
        <v>0</v>
      </c>
      <c r="H5" s="7">
        <f>'C-FTE Apr'!H5/2</f>
        <v>0</v>
      </c>
      <c r="I5" s="7">
        <f>'C-FTE Apr'!I5/2</f>
        <v>0</v>
      </c>
      <c r="J5" s="7">
        <f>'C-FTE Apr'!J5/2</f>
        <v>0</v>
      </c>
      <c r="K5" s="7">
        <f>'C-FTE Apr'!K5/2</f>
        <v>0</v>
      </c>
      <c r="L5" s="7">
        <f>'C-FTE Apr'!L5/2</f>
        <v>0</v>
      </c>
      <c r="M5" s="7">
        <f>'C-FTE Apr'!M5/2</f>
        <v>0</v>
      </c>
      <c r="N5" s="7">
        <f>'C-FTE Apr'!N5/2</f>
        <v>0</v>
      </c>
      <c r="O5" s="7">
        <f>'C-FTE Apr'!O5/2</f>
        <v>0</v>
      </c>
      <c r="P5" s="7">
        <f>'C-FTE Apr'!P5/2</f>
        <v>0</v>
      </c>
      <c r="Q5" s="7">
        <f>'C-FTE Apr'!Q5/2</f>
        <v>0</v>
      </c>
      <c r="R5" s="7">
        <f>'C-FTE Apr'!R5/2</f>
        <v>0</v>
      </c>
      <c r="S5" s="7">
        <f>'C-FTE Apr'!S5/2</f>
        <v>0</v>
      </c>
      <c r="T5" s="7">
        <f>'C-FTE Apr'!T5/2</f>
        <v>0</v>
      </c>
      <c r="U5" s="7">
        <f>'C-FTE Apr'!U5/2</f>
        <v>0</v>
      </c>
      <c r="V5" s="7">
        <f>'C-FTE Apr'!V5/2</f>
        <v>0</v>
      </c>
      <c r="W5" s="7">
        <f>'C-FTE Apr'!W5/2</f>
        <v>0</v>
      </c>
      <c r="X5" s="7">
        <f>'C-FTE Apr'!X5/2</f>
        <v>0</v>
      </c>
      <c r="Y5" s="7">
        <f>'C-FTE Apr'!Y5/2</f>
        <v>0</v>
      </c>
      <c r="Z5" s="7">
        <f>'C-FTE Apr'!Z5/2</f>
        <v>0</v>
      </c>
      <c r="AA5" s="7">
        <f>'C-FTE Apr'!AA5/2</f>
        <v>0</v>
      </c>
      <c r="AB5" s="7">
        <f>'C-FTE Apr'!AB5/2</f>
        <v>0</v>
      </c>
      <c r="AC5" s="7">
        <f>'C-FTE Apr'!AC5/2</f>
        <v>0</v>
      </c>
      <c r="AD5" s="7">
        <f>'C-FTE Apr'!AD5/2</f>
        <v>0</v>
      </c>
      <c r="AE5" s="7">
        <f>'C-FTE Apr'!AE5/2</f>
        <v>0</v>
      </c>
      <c r="AF5" s="7">
        <f>'C-FTE Apr'!AF5/2</f>
        <v>0</v>
      </c>
    </row>
    <row r="6" spans="1:32" x14ac:dyDescent="0.25">
      <c r="A6" s="3" t="s">
        <v>11</v>
      </c>
      <c r="B6" s="7">
        <f>'C-FTE Apr'!B6/2</f>
        <v>0</v>
      </c>
      <c r="C6" s="7">
        <f>'C-FTE Apr'!C6/2</f>
        <v>0</v>
      </c>
      <c r="D6" s="7">
        <f>'C-FTE Apr'!D6/2</f>
        <v>0</v>
      </c>
      <c r="E6" s="7">
        <f>'C-FTE Apr'!E6/2</f>
        <v>0</v>
      </c>
      <c r="F6" s="7">
        <f>'C-FTE Apr'!F6/2</f>
        <v>0</v>
      </c>
      <c r="G6" s="7">
        <f>'C-FTE Apr'!G6/2</f>
        <v>0</v>
      </c>
      <c r="H6" s="7">
        <f>'C-FTE Apr'!H6/2</f>
        <v>0</v>
      </c>
      <c r="I6" s="7">
        <f>'C-FTE Apr'!I6/2</f>
        <v>0</v>
      </c>
      <c r="J6" s="7">
        <f>'C-FTE Apr'!J6/2</f>
        <v>0</v>
      </c>
      <c r="K6" s="7">
        <f>'C-FTE Apr'!K6/2</f>
        <v>0</v>
      </c>
      <c r="L6" s="7">
        <f>'C-FTE Apr'!L6/2</f>
        <v>0</v>
      </c>
      <c r="M6" s="7">
        <f>'C-FTE Apr'!M6/2</f>
        <v>0</v>
      </c>
      <c r="N6" s="7">
        <f>'C-FTE Apr'!N6/2</f>
        <v>0</v>
      </c>
      <c r="O6" s="7">
        <f>'C-FTE Apr'!O6/2</f>
        <v>0</v>
      </c>
      <c r="P6" s="7">
        <f>'C-FTE Apr'!P6/2</f>
        <v>0</v>
      </c>
      <c r="Q6" s="7">
        <f>'C-FTE Apr'!Q6/2</f>
        <v>0</v>
      </c>
      <c r="R6" s="7">
        <f>'C-FTE Apr'!R6/2</f>
        <v>0</v>
      </c>
      <c r="S6" s="7">
        <f>'C-FTE Apr'!S6/2</f>
        <v>0</v>
      </c>
      <c r="T6" s="7">
        <f>'C-FTE Apr'!T6/2</f>
        <v>0</v>
      </c>
      <c r="U6" s="7">
        <f>'C-FTE Apr'!U6/2</f>
        <v>0</v>
      </c>
      <c r="V6" s="7">
        <f>'C-FTE Apr'!V6/2</f>
        <v>0</v>
      </c>
      <c r="W6" s="7">
        <f>'C-FTE Apr'!W6/2</f>
        <v>0</v>
      </c>
      <c r="X6" s="7">
        <f>'C-FTE Apr'!X6/2</f>
        <v>0</v>
      </c>
      <c r="Y6" s="7">
        <f>'C-FTE Apr'!Y6/2</f>
        <v>0</v>
      </c>
      <c r="Z6" s="7">
        <f>'C-FTE Apr'!Z6/2</f>
        <v>0</v>
      </c>
      <c r="AA6" s="7">
        <f>'C-FTE Apr'!AA6/2</f>
        <v>0</v>
      </c>
      <c r="AB6" s="7">
        <f>'C-FTE Apr'!AB6/2</f>
        <v>0</v>
      </c>
      <c r="AC6" s="7">
        <f>'C-FTE Apr'!AC6/2</f>
        <v>0</v>
      </c>
      <c r="AD6" s="7">
        <f>'C-FTE Apr'!AD6/2</f>
        <v>0</v>
      </c>
      <c r="AE6" s="7">
        <f>'C-FTE Apr'!AE6/2</f>
        <v>0</v>
      </c>
      <c r="AF6" s="7">
        <f>'C-FTE Apr'!AF6/2</f>
        <v>0</v>
      </c>
    </row>
    <row r="7" spans="1:32" x14ac:dyDescent="0.25">
      <c r="A7" s="3" t="s">
        <v>12</v>
      </c>
      <c r="B7" s="7">
        <f>'C-FTE Apr'!B7/2</f>
        <v>0</v>
      </c>
      <c r="C7" s="7">
        <f>'C-FTE Apr'!C7/2</f>
        <v>0</v>
      </c>
      <c r="D7" s="7">
        <f>'C-FTE Apr'!D7/2</f>
        <v>0</v>
      </c>
      <c r="E7" s="7">
        <f>'C-FTE Apr'!E7/2</f>
        <v>0</v>
      </c>
      <c r="F7" s="7">
        <f>'C-FTE Apr'!F7/2</f>
        <v>0</v>
      </c>
      <c r="G7" s="7">
        <f>'C-FTE Apr'!G7/2</f>
        <v>0</v>
      </c>
      <c r="H7" s="7">
        <f>'C-FTE Apr'!H7/2</f>
        <v>0</v>
      </c>
      <c r="I7" s="7">
        <f>'C-FTE Apr'!I7/2</f>
        <v>0</v>
      </c>
      <c r="J7" s="7">
        <f>'C-FTE Apr'!J7/2</f>
        <v>0</v>
      </c>
      <c r="K7" s="7">
        <f>'C-FTE Apr'!K7/2</f>
        <v>0</v>
      </c>
      <c r="L7" s="7">
        <f>'C-FTE Apr'!L7/2</f>
        <v>0</v>
      </c>
      <c r="M7" s="7">
        <f>'C-FTE Apr'!M7/2</f>
        <v>0</v>
      </c>
      <c r="N7" s="7">
        <f>'C-FTE Apr'!N7/2</f>
        <v>0</v>
      </c>
      <c r="O7" s="7">
        <f>'C-FTE Apr'!O7/2</f>
        <v>0</v>
      </c>
      <c r="P7" s="7">
        <f>'C-FTE Apr'!P7/2</f>
        <v>0</v>
      </c>
      <c r="Q7" s="7">
        <f>'C-FTE Apr'!Q7/2</f>
        <v>0</v>
      </c>
      <c r="R7" s="7">
        <f>'C-FTE Apr'!R7/2</f>
        <v>0</v>
      </c>
      <c r="S7" s="7">
        <f>'C-FTE Apr'!S7/2</f>
        <v>0</v>
      </c>
      <c r="T7" s="7">
        <f>'C-FTE Apr'!T7/2</f>
        <v>0</v>
      </c>
      <c r="U7" s="7">
        <f>'C-FTE Apr'!U7/2</f>
        <v>0</v>
      </c>
      <c r="V7" s="7">
        <f>'C-FTE Apr'!V7/2</f>
        <v>0</v>
      </c>
      <c r="W7" s="7">
        <f>'C-FTE Apr'!W7/2</f>
        <v>0</v>
      </c>
      <c r="X7" s="7">
        <f>'C-FTE Apr'!X7/2</f>
        <v>0</v>
      </c>
      <c r="Y7" s="7">
        <f>'C-FTE Apr'!Y7/2</f>
        <v>0</v>
      </c>
      <c r="Z7" s="7">
        <f>'C-FTE Apr'!Z7/2</f>
        <v>0</v>
      </c>
      <c r="AA7" s="7">
        <f>'C-FTE Apr'!AA7/2</f>
        <v>0</v>
      </c>
      <c r="AB7" s="7">
        <f>'C-FTE Apr'!AB7/2</f>
        <v>0</v>
      </c>
      <c r="AC7" s="7">
        <f>'C-FTE Apr'!AC7/2</f>
        <v>0</v>
      </c>
      <c r="AD7" s="7">
        <f>'C-FTE Apr'!AD7/2</f>
        <v>0</v>
      </c>
      <c r="AE7" s="7">
        <f>'C-FTE Apr'!AE7/2</f>
        <v>0</v>
      </c>
      <c r="AF7" s="7">
        <f>'C-FTE Apr'!AF7/2</f>
        <v>0</v>
      </c>
    </row>
    <row r="8" spans="1:32" x14ac:dyDescent="0.25">
      <c r="A8" s="3" t="s">
        <v>13</v>
      </c>
      <c r="B8" s="7">
        <f>'C-FTE Apr'!B8/2</f>
        <v>0</v>
      </c>
      <c r="C8" s="7">
        <f>'C-FTE Apr'!C8/2</f>
        <v>0</v>
      </c>
      <c r="D8" s="7">
        <f>'C-FTE Apr'!D8/2</f>
        <v>0</v>
      </c>
      <c r="E8" s="7">
        <f>'C-FTE Apr'!E8/2</f>
        <v>0</v>
      </c>
      <c r="F8" s="7">
        <f>'C-FTE Apr'!F8/2</f>
        <v>0</v>
      </c>
      <c r="G8" s="7">
        <f>'C-FTE Apr'!G8/2</f>
        <v>0</v>
      </c>
      <c r="H8" s="7">
        <f>'C-FTE Apr'!H8/2</f>
        <v>0</v>
      </c>
      <c r="I8" s="7">
        <f>'C-FTE Apr'!I8/2</f>
        <v>0</v>
      </c>
      <c r="J8" s="7">
        <f>'C-FTE Apr'!J8/2</f>
        <v>0</v>
      </c>
      <c r="K8" s="7">
        <f>'C-FTE Apr'!K8/2</f>
        <v>0</v>
      </c>
      <c r="L8" s="7">
        <f>'C-FTE Apr'!L8/2</f>
        <v>0</v>
      </c>
      <c r="M8" s="7">
        <f>'C-FTE Apr'!M8/2</f>
        <v>0</v>
      </c>
      <c r="N8" s="7">
        <f>'C-FTE Apr'!N8/2</f>
        <v>0</v>
      </c>
      <c r="O8" s="7">
        <f>'C-FTE Apr'!O8/2</f>
        <v>0</v>
      </c>
      <c r="P8" s="7">
        <f>'C-FTE Apr'!P8/2</f>
        <v>0</v>
      </c>
      <c r="Q8" s="7">
        <f>'C-FTE Apr'!Q8/2</f>
        <v>0</v>
      </c>
      <c r="R8" s="7">
        <f>'C-FTE Apr'!R8/2</f>
        <v>0</v>
      </c>
      <c r="S8" s="7">
        <f>'C-FTE Apr'!S8/2</f>
        <v>0</v>
      </c>
      <c r="T8" s="7">
        <f>'C-FTE Apr'!T8/2</f>
        <v>0</v>
      </c>
      <c r="U8" s="7">
        <f>'C-FTE Apr'!U8/2</f>
        <v>0</v>
      </c>
      <c r="V8" s="7">
        <f>'C-FTE Apr'!V8/2</f>
        <v>0</v>
      </c>
      <c r="W8" s="7">
        <f>'C-FTE Apr'!W8/2</f>
        <v>0</v>
      </c>
      <c r="X8" s="7">
        <f>'C-FTE Apr'!X8/2</f>
        <v>0</v>
      </c>
      <c r="Y8" s="7">
        <f>'C-FTE Apr'!Y8/2</f>
        <v>0</v>
      </c>
      <c r="Z8" s="7">
        <f>'C-FTE Apr'!Z8/2</f>
        <v>0</v>
      </c>
      <c r="AA8" s="7">
        <f>'C-FTE Apr'!AA8/2</f>
        <v>0</v>
      </c>
      <c r="AB8" s="7">
        <f>'C-FTE Apr'!AB8/2</f>
        <v>0</v>
      </c>
      <c r="AC8" s="7">
        <f>'C-FTE Apr'!AC8/2</f>
        <v>0</v>
      </c>
      <c r="AD8" s="7">
        <f>'C-FTE Apr'!AD8/2</f>
        <v>0</v>
      </c>
      <c r="AE8" s="7">
        <f>'C-FTE Apr'!AE8/2</f>
        <v>0</v>
      </c>
      <c r="AF8" s="7">
        <f>'C-FTE Apr'!AF8/2</f>
        <v>0</v>
      </c>
    </row>
    <row r="9" spans="1:32" x14ac:dyDescent="0.25">
      <c r="A9" s="3" t="s">
        <v>14</v>
      </c>
      <c r="B9" s="7">
        <f>'C-FTE Apr'!B9/2</f>
        <v>0</v>
      </c>
      <c r="C9" s="7">
        <f>'C-FTE Apr'!C9/2</f>
        <v>0</v>
      </c>
      <c r="D9" s="7">
        <f>'C-FTE Apr'!D9/2</f>
        <v>0</v>
      </c>
      <c r="E9" s="7">
        <f>'C-FTE Apr'!E9/2</f>
        <v>0</v>
      </c>
      <c r="F9" s="7">
        <f>'C-FTE Apr'!F9/2</f>
        <v>0</v>
      </c>
      <c r="G9" s="7">
        <f>'C-FTE Apr'!G9/2</f>
        <v>0</v>
      </c>
      <c r="H9" s="7">
        <f>'C-FTE Apr'!H9/2</f>
        <v>0</v>
      </c>
      <c r="I9" s="7">
        <f>'C-FTE Apr'!I9/2</f>
        <v>0</v>
      </c>
      <c r="J9" s="7">
        <f>'C-FTE Apr'!J9/2</f>
        <v>0</v>
      </c>
      <c r="K9" s="7">
        <f>'C-FTE Apr'!K9/2</f>
        <v>0</v>
      </c>
      <c r="L9" s="7">
        <f>'C-FTE Apr'!L9/2</f>
        <v>0</v>
      </c>
      <c r="M9" s="7">
        <f>'C-FTE Apr'!M9/2</f>
        <v>0</v>
      </c>
      <c r="N9" s="7">
        <f>'C-FTE Apr'!N9/2</f>
        <v>0</v>
      </c>
      <c r="O9" s="7">
        <f>'C-FTE Apr'!O9/2</f>
        <v>0</v>
      </c>
      <c r="P9" s="7">
        <f>'C-FTE Apr'!P9/2</f>
        <v>0</v>
      </c>
      <c r="Q9" s="7">
        <f>'C-FTE Apr'!Q9/2</f>
        <v>0</v>
      </c>
      <c r="R9" s="7">
        <f>'C-FTE Apr'!R9/2</f>
        <v>0</v>
      </c>
      <c r="S9" s="7">
        <f>'C-FTE Apr'!S9/2</f>
        <v>0</v>
      </c>
      <c r="T9" s="7">
        <f>'C-FTE Apr'!T9/2</f>
        <v>0</v>
      </c>
      <c r="U9" s="7">
        <f>'C-FTE Apr'!U9/2</f>
        <v>0</v>
      </c>
      <c r="V9" s="7">
        <f>'C-FTE Apr'!V9/2</f>
        <v>0</v>
      </c>
      <c r="W9" s="7">
        <f>'C-FTE Apr'!W9/2</f>
        <v>0</v>
      </c>
      <c r="X9" s="7">
        <f>'C-FTE Apr'!X9/2</f>
        <v>0</v>
      </c>
      <c r="Y9" s="7">
        <f>'C-FTE Apr'!Y9/2</f>
        <v>0</v>
      </c>
      <c r="Z9" s="7">
        <f>'C-FTE Apr'!Z9/2</f>
        <v>0</v>
      </c>
      <c r="AA9" s="7">
        <f>'C-FTE Apr'!AA9/2</f>
        <v>0</v>
      </c>
      <c r="AB9" s="7">
        <f>'C-FTE Apr'!AB9/2</f>
        <v>0</v>
      </c>
      <c r="AC9" s="7">
        <f>'C-FTE Apr'!AC9/2</f>
        <v>0</v>
      </c>
      <c r="AD9" s="7">
        <f>'C-FTE Apr'!AD9/2</f>
        <v>0</v>
      </c>
      <c r="AE9" s="7">
        <f>'C-FTE Apr'!AE9/2</f>
        <v>0</v>
      </c>
      <c r="AF9" s="7">
        <f>'C-FTE Apr'!AF9/2</f>
        <v>0</v>
      </c>
    </row>
    <row r="10" spans="1:32" x14ac:dyDescent="0.25">
      <c r="A10" s="3" t="s">
        <v>15</v>
      </c>
      <c r="B10" s="7">
        <f>'C-FTE Apr'!B10/2</f>
        <v>0</v>
      </c>
      <c r="C10" s="7">
        <f>'C-FTE Apr'!C10/2</f>
        <v>0</v>
      </c>
      <c r="D10" s="7">
        <f>'C-FTE Apr'!D10/2</f>
        <v>0</v>
      </c>
      <c r="E10" s="7">
        <f>'C-FTE Apr'!E10/2</f>
        <v>0</v>
      </c>
      <c r="F10" s="7">
        <f>'C-FTE Apr'!F10/2</f>
        <v>0</v>
      </c>
      <c r="G10" s="7">
        <f>'C-FTE Apr'!G10/2</f>
        <v>0</v>
      </c>
      <c r="H10" s="7">
        <f>'C-FTE Apr'!H10/2</f>
        <v>0</v>
      </c>
      <c r="I10" s="7">
        <f>'C-FTE Apr'!I10/2</f>
        <v>0</v>
      </c>
      <c r="J10" s="7">
        <f>'C-FTE Apr'!J10/2</f>
        <v>0</v>
      </c>
      <c r="K10" s="7">
        <f>'C-FTE Apr'!K10/2</f>
        <v>0</v>
      </c>
      <c r="L10" s="7">
        <f>'C-FTE Apr'!L10/2</f>
        <v>0</v>
      </c>
      <c r="M10" s="7">
        <f>'C-FTE Apr'!M10/2</f>
        <v>0</v>
      </c>
      <c r="N10" s="7">
        <f>'C-FTE Apr'!N10/2</f>
        <v>0</v>
      </c>
      <c r="O10" s="7">
        <f>'C-FTE Apr'!O10/2</f>
        <v>0</v>
      </c>
      <c r="P10" s="7">
        <f>'C-FTE Apr'!P10/2</f>
        <v>0</v>
      </c>
      <c r="Q10" s="7">
        <f>'C-FTE Apr'!Q10/2</f>
        <v>0</v>
      </c>
      <c r="R10" s="7">
        <f>'C-FTE Apr'!R10/2</f>
        <v>0</v>
      </c>
      <c r="S10" s="7">
        <f>'C-FTE Apr'!S10/2</f>
        <v>0</v>
      </c>
      <c r="T10" s="7">
        <f>'C-FTE Apr'!T10/2</f>
        <v>0</v>
      </c>
      <c r="U10" s="7">
        <f>'C-FTE Apr'!U10/2</f>
        <v>0</v>
      </c>
      <c r="V10" s="7">
        <f>'C-FTE Apr'!V10/2</f>
        <v>0</v>
      </c>
      <c r="W10" s="7">
        <f>'C-FTE Apr'!W10/2</f>
        <v>0</v>
      </c>
      <c r="X10" s="7">
        <f>'C-FTE Apr'!X10/2</f>
        <v>0</v>
      </c>
      <c r="Y10" s="7">
        <f>'C-FTE Apr'!Y10/2</f>
        <v>0</v>
      </c>
      <c r="Z10" s="7">
        <f>'C-FTE Apr'!Z10/2</f>
        <v>0</v>
      </c>
      <c r="AA10" s="7">
        <f>'C-FTE Apr'!AA10/2</f>
        <v>0</v>
      </c>
      <c r="AB10" s="7">
        <f>'C-FTE Apr'!AB10/2</f>
        <v>0</v>
      </c>
      <c r="AC10" s="7">
        <f>'C-FTE Apr'!AC10/2</f>
        <v>0</v>
      </c>
      <c r="AD10" s="7">
        <f>'C-FTE Apr'!AD10/2</f>
        <v>0</v>
      </c>
      <c r="AE10" s="7">
        <f>'C-FTE Apr'!AE10/2</f>
        <v>0</v>
      </c>
      <c r="AF10" s="7">
        <f>'C-FTE Apr'!AF10/2</f>
        <v>0</v>
      </c>
    </row>
    <row r="11" spans="1:32" x14ac:dyDescent="0.25">
      <c r="A11" s="3" t="s">
        <v>16</v>
      </c>
      <c r="B11" s="7">
        <f>'C-FTE Apr'!B11/2</f>
        <v>0</v>
      </c>
      <c r="C11" s="7">
        <f>'C-FTE Apr'!C11/2</f>
        <v>0</v>
      </c>
      <c r="D11" s="7">
        <f>'C-FTE Apr'!D11/2</f>
        <v>0</v>
      </c>
      <c r="E11" s="7">
        <f>'C-FTE Apr'!E11/2</f>
        <v>0</v>
      </c>
      <c r="F11" s="7">
        <f>'C-FTE Apr'!F11/2</f>
        <v>0</v>
      </c>
      <c r="G11" s="7">
        <f>'C-FTE Apr'!G11/2</f>
        <v>0</v>
      </c>
      <c r="H11" s="7">
        <f>'C-FTE Apr'!H11/2</f>
        <v>0</v>
      </c>
      <c r="I11" s="7">
        <f>'C-FTE Apr'!I11/2</f>
        <v>0</v>
      </c>
      <c r="J11" s="7">
        <f>'C-FTE Apr'!J11/2</f>
        <v>0</v>
      </c>
      <c r="K11" s="7">
        <f>'C-FTE Apr'!K11/2</f>
        <v>0</v>
      </c>
      <c r="L11" s="7">
        <f>'C-FTE Apr'!L11/2</f>
        <v>0</v>
      </c>
      <c r="M11" s="7">
        <f>'C-FTE Apr'!M11/2</f>
        <v>0</v>
      </c>
      <c r="N11" s="7">
        <f>'C-FTE Apr'!N11/2</f>
        <v>0</v>
      </c>
      <c r="O11" s="7">
        <f>'C-FTE Apr'!O11/2</f>
        <v>0</v>
      </c>
      <c r="P11" s="7">
        <f>'C-FTE Apr'!P11/2</f>
        <v>0</v>
      </c>
      <c r="Q11" s="7">
        <f>'C-FTE Apr'!Q11/2</f>
        <v>0</v>
      </c>
      <c r="R11" s="7">
        <f>'C-FTE Apr'!R11/2</f>
        <v>0</v>
      </c>
      <c r="S11" s="7">
        <f>'C-FTE Apr'!S11/2</f>
        <v>0</v>
      </c>
      <c r="T11" s="7">
        <f>'C-FTE Apr'!T11/2</f>
        <v>0</v>
      </c>
      <c r="U11" s="7">
        <f>'C-FTE Apr'!U11/2</f>
        <v>0</v>
      </c>
      <c r="V11" s="7">
        <f>'C-FTE Apr'!V11/2</f>
        <v>0</v>
      </c>
      <c r="W11" s="7">
        <f>'C-FTE Apr'!W11/2</f>
        <v>0</v>
      </c>
      <c r="X11" s="7">
        <f>'C-FTE Apr'!X11/2</f>
        <v>0</v>
      </c>
      <c r="Y11" s="7">
        <f>'C-FTE Apr'!Y11/2</f>
        <v>0</v>
      </c>
      <c r="Z11" s="7">
        <f>'C-FTE Apr'!Z11/2</f>
        <v>0</v>
      </c>
      <c r="AA11" s="7">
        <f>'C-FTE Apr'!AA11/2</f>
        <v>0</v>
      </c>
      <c r="AB11" s="7">
        <f>'C-FTE Apr'!AB11/2</f>
        <v>0</v>
      </c>
      <c r="AC11" s="7">
        <f>'C-FTE Apr'!AC11/2</f>
        <v>0</v>
      </c>
      <c r="AD11" s="7">
        <f>'C-FTE Apr'!AD11/2</f>
        <v>0</v>
      </c>
      <c r="AE11" s="7">
        <f>'C-FTE Apr'!AE11/2</f>
        <v>0</v>
      </c>
      <c r="AF11" s="7">
        <f>'C-FTE Apr'!AF11/2</f>
        <v>0</v>
      </c>
    </row>
    <row r="12" spans="1:32" x14ac:dyDescent="0.25">
      <c r="A12" s="3" t="s">
        <v>17</v>
      </c>
      <c r="B12" s="7">
        <f>'C-FTE Apr'!B12/2</f>
        <v>0</v>
      </c>
      <c r="C12" s="7">
        <f>'C-FTE Apr'!C12/2</f>
        <v>0</v>
      </c>
      <c r="D12" s="7">
        <f>'C-FTE Apr'!D12/2</f>
        <v>0</v>
      </c>
      <c r="E12" s="7">
        <f>'C-FTE Apr'!E12/2</f>
        <v>0</v>
      </c>
      <c r="F12" s="7">
        <f>'C-FTE Apr'!F12/2</f>
        <v>0</v>
      </c>
      <c r="G12" s="7">
        <f>'C-FTE Apr'!G12/2</f>
        <v>0</v>
      </c>
      <c r="H12" s="7">
        <f>'C-FTE Apr'!H12/2</f>
        <v>0</v>
      </c>
      <c r="I12" s="7">
        <f>'C-FTE Apr'!I12/2</f>
        <v>0</v>
      </c>
      <c r="J12" s="7">
        <f>'C-FTE Apr'!J12/2</f>
        <v>0</v>
      </c>
      <c r="K12" s="7">
        <f>'C-FTE Apr'!K12/2</f>
        <v>0</v>
      </c>
      <c r="L12" s="7">
        <f>'C-FTE Apr'!L12/2</f>
        <v>0</v>
      </c>
      <c r="M12" s="7">
        <f>'C-FTE Apr'!M12/2</f>
        <v>0</v>
      </c>
      <c r="N12" s="7">
        <f>'C-FTE Apr'!N12/2</f>
        <v>0</v>
      </c>
      <c r="O12" s="7">
        <f>'C-FTE Apr'!O12/2</f>
        <v>0</v>
      </c>
      <c r="P12" s="7">
        <f>'C-FTE Apr'!P12/2</f>
        <v>0</v>
      </c>
      <c r="Q12" s="7">
        <f>'C-FTE Apr'!Q12/2</f>
        <v>0</v>
      </c>
      <c r="R12" s="7">
        <f>'C-FTE Apr'!R12/2</f>
        <v>0</v>
      </c>
      <c r="S12" s="7">
        <f>'C-FTE Apr'!S12/2</f>
        <v>0</v>
      </c>
      <c r="T12" s="7">
        <f>'C-FTE Apr'!T12/2</f>
        <v>0</v>
      </c>
      <c r="U12" s="7">
        <f>'C-FTE Apr'!U12/2</f>
        <v>0</v>
      </c>
      <c r="V12" s="7">
        <f>'C-FTE Apr'!V12/2</f>
        <v>0</v>
      </c>
      <c r="W12" s="7">
        <f>'C-FTE Apr'!W12/2</f>
        <v>0</v>
      </c>
      <c r="X12" s="7">
        <f>'C-FTE Apr'!X12/2</f>
        <v>0</v>
      </c>
      <c r="Y12" s="7">
        <f>'C-FTE Apr'!Y12/2</f>
        <v>0</v>
      </c>
      <c r="Z12" s="7">
        <f>'C-FTE Apr'!Z12/2</f>
        <v>0</v>
      </c>
      <c r="AA12" s="7">
        <f>'C-FTE Apr'!AA12/2</f>
        <v>0</v>
      </c>
      <c r="AB12" s="7">
        <f>'C-FTE Apr'!AB12/2</f>
        <v>0</v>
      </c>
      <c r="AC12" s="7">
        <f>'C-FTE Apr'!AC12/2</f>
        <v>0</v>
      </c>
      <c r="AD12" s="7">
        <f>'C-FTE Apr'!AD12/2</f>
        <v>0</v>
      </c>
      <c r="AE12" s="7">
        <f>'C-FTE Apr'!AE12/2</f>
        <v>0</v>
      </c>
      <c r="AF12" s="7">
        <f>'C-FTE Apr'!AF12/2</f>
        <v>0</v>
      </c>
    </row>
    <row r="13" spans="1:32" x14ac:dyDescent="0.25">
      <c r="A13" s="3" t="s">
        <v>18</v>
      </c>
      <c r="B13" s="7">
        <f>'C-FTE Apr'!B13/2</f>
        <v>0</v>
      </c>
      <c r="C13" s="7">
        <f>'C-FTE Apr'!C13/2</f>
        <v>0</v>
      </c>
      <c r="D13" s="7">
        <f>'C-FTE Apr'!D13/2</f>
        <v>0</v>
      </c>
      <c r="E13" s="7">
        <f>'C-FTE Apr'!E13/2</f>
        <v>0</v>
      </c>
      <c r="F13" s="7">
        <f>'C-FTE Apr'!F13/2</f>
        <v>0</v>
      </c>
      <c r="G13" s="7">
        <f>'C-FTE Apr'!G13/2</f>
        <v>0</v>
      </c>
      <c r="H13" s="7">
        <f>'C-FTE Apr'!H13/2</f>
        <v>0</v>
      </c>
      <c r="I13" s="7">
        <f>'C-FTE Apr'!I13/2</f>
        <v>0</v>
      </c>
      <c r="J13" s="7">
        <f>'C-FTE Apr'!J13/2</f>
        <v>0</v>
      </c>
      <c r="K13" s="7">
        <f>'C-FTE Apr'!K13/2</f>
        <v>0</v>
      </c>
      <c r="L13" s="7">
        <f>'C-FTE Apr'!L13/2</f>
        <v>0</v>
      </c>
      <c r="M13" s="7">
        <f>'C-FTE Apr'!M13/2</f>
        <v>0</v>
      </c>
      <c r="N13" s="7">
        <f>'C-FTE Apr'!N13/2</f>
        <v>0</v>
      </c>
      <c r="O13" s="7">
        <f>'C-FTE Apr'!O13/2</f>
        <v>0</v>
      </c>
      <c r="P13" s="7">
        <f>'C-FTE Apr'!P13/2</f>
        <v>0</v>
      </c>
      <c r="Q13" s="7">
        <f>'C-FTE Apr'!Q13/2</f>
        <v>0</v>
      </c>
      <c r="R13" s="7">
        <f>'C-FTE Apr'!R13/2</f>
        <v>0</v>
      </c>
      <c r="S13" s="7">
        <f>'C-FTE Apr'!S13/2</f>
        <v>0</v>
      </c>
      <c r="T13" s="7">
        <f>'C-FTE Apr'!T13/2</f>
        <v>0</v>
      </c>
      <c r="U13" s="7">
        <f>'C-FTE Apr'!U13/2</f>
        <v>0</v>
      </c>
      <c r="V13" s="7">
        <f>'C-FTE Apr'!V13/2</f>
        <v>0</v>
      </c>
      <c r="W13" s="7">
        <f>'C-FTE Apr'!W13/2</f>
        <v>0</v>
      </c>
      <c r="X13" s="7">
        <f>'C-FTE Apr'!X13/2</f>
        <v>0</v>
      </c>
      <c r="Y13" s="7">
        <f>'C-FTE Apr'!Y13/2</f>
        <v>0</v>
      </c>
      <c r="Z13" s="7">
        <f>'C-FTE Apr'!Z13/2</f>
        <v>0</v>
      </c>
      <c r="AA13" s="7">
        <f>'C-FTE Apr'!AA13/2</f>
        <v>0</v>
      </c>
      <c r="AB13" s="7">
        <f>'C-FTE Apr'!AB13/2</f>
        <v>0</v>
      </c>
      <c r="AC13" s="7">
        <f>'C-FTE Apr'!AC13/2</f>
        <v>0</v>
      </c>
      <c r="AD13" s="7">
        <f>'C-FTE Apr'!AD13/2</f>
        <v>0</v>
      </c>
      <c r="AE13" s="7">
        <f>'C-FTE Apr'!AE13/2</f>
        <v>0</v>
      </c>
      <c r="AF13" s="7">
        <f>'C-FTE Apr'!AF13/2</f>
        <v>0</v>
      </c>
    </row>
    <row r="14" spans="1:32" x14ac:dyDescent="0.25">
      <c r="A14" s="3" t="s">
        <v>19</v>
      </c>
      <c r="B14" s="7">
        <f>'C-FTE Apr'!B14/2</f>
        <v>0</v>
      </c>
      <c r="C14" s="7">
        <f>'C-FTE Apr'!C14/2</f>
        <v>0</v>
      </c>
      <c r="D14" s="7">
        <f>'C-FTE Apr'!D14/2</f>
        <v>0</v>
      </c>
      <c r="E14" s="7">
        <f>'C-FTE Apr'!E14/2</f>
        <v>0</v>
      </c>
      <c r="F14" s="7">
        <f>'C-FTE Apr'!F14/2</f>
        <v>0</v>
      </c>
      <c r="G14" s="7">
        <f>'C-FTE Apr'!G14/2</f>
        <v>0</v>
      </c>
      <c r="H14" s="7">
        <f>'C-FTE Apr'!H14/2</f>
        <v>0</v>
      </c>
      <c r="I14" s="7">
        <f>'C-FTE Apr'!I14/2</f>
        <v>0</v>
      </c>
      <c r="J14" s="7">
        <f>'C-FTE Apr'!J14/2</f>
        <v>0</v>
      </c>
      <c r="K14" s="7">
        <f>'C-FTE Apr'!K14/2</f>
        <v>0</v>
      </c>
      <c r="L14" s="7">
        <f>'C-FTE Apr'!L14/2</f>
        <v>0</v>
      </c>
      <c r="M14" s="7">
        <f>'C-FTE Apr'!M14/2</f>
        <v>0</v>
      </c>
      <c r="N14" s="7">
        <f>'C-FTE Apr'!N14/2</f>
        <v>0</v>
      </c>
      <c r="O14" s="7">
        <f>'C-FTE Apr'!O14/2</f>
        <v>0</v>
      </c>
      <c r="P14" s="7">
        <f>'C-FTE Apr'!P14/2</f>
        <v>0</v>
      </c>
      <c r="Q14" s="7">
        <f>'C-FTE Apr'!Q14/2</f>
        <v>0</v>
      </c>
      <c r="R14" s="7">
        <f>'C-FTE Apr'!R14/2</f>
        <v>0</v>
      </c>
      <c r="S14" s="7">
        <f>'C-FTE Apr'!S14/2</f>
        <v>0</v>
      </c>
      <c r="T14" s="7">
        <f>'C-FTE Apr'!T14/2</f>
        <v>0</v>
      </c>
      <c r="U14" s="7">
        <f>'C-FTE Apr'!U14/2</f>
        <v>0</v>
      </c>
      <c r="V14" s="7">
        <f>'C-FTE Apr'!V14/2</f>
        <v>0</v>
      </c>
      <c r="W14" s="7">
        <f>'C-FTE Apr'!W14/2</f>
        <v>0</v>
      </c>
      <c r="X14" s="7">
        <f>'C-FTE Apr'!X14/2</f>
        <v>0</v>
      </c>
      <c r="Y14" s="7">
        <f>'C-FTE Apr'!Y14/2</f>
        <v>0</v>
      </c>
      <c r="Z14" s="7">
        <f>'C-FTE Apr'!Z14/2</f>
        <v>0</v>
      </c>
      <c r="AA14" s="7">
        <f>'C-FTE Apr'!AA14/2</f>
        <v>0</v>
      </c>
      <c r="AB14" s="7">
        <f>'C-FTE Apr'!AB14/2</f>
        <v>0</v>
      </c>
      <c r="AC14" s="7">
        <f>'C-FTE Apr'!AC14/2</f>
        <v>0</v>
      </c>
      <c r="AD14" s="7">
        <f>'C-FTE Apr'!AD14/2</f>
        <v>0</v>
      </c>
      <c r="AE14" s="7">
        <f>'C-FTE Apr'!AE14/2</f>
        <v>0</v>
      </c>
      <c r="AF14" s="7">
        <f>'C-FTE Apr'!AF14/2</f>
        <v>0</v>
      </c>
    </row>
    <row r="15" spans="1:32" x14ac:dyDescent="0.25">
      <c r="A15" s="3" t="s">
        <v>20</v>
      </c>
      <c r="B15" s="7">
        <f>'C-FTE Apr'!B15/2</f>
        <v>0</v>
      </c>
      <c r="C15" s="7">
        <f>'C-FTE Apr'!C15/2</f>
        <v>0</v>
      </c>
      <c r="D15" s="7">
        <f>'C-FTE Apr'!D15/2</f>
        <v>0</v>
      </c>
      <c r="E15" s="7">
        <f>'C-FTE Apr'!E15/2</f>
        <v>0</v>
      </c>
      <c r="F15" s="7">
        <f>'C-FTE Apr'!F15/2</f>
        <v>0</v>
      </c>
      <c r="G15" s="7">
        <f>'C-FTE Apr'!G15/2</f>
        <v>0</v>
      </c>
      <c r="H15" s="7">
        <f>'C-FTE Apr'!H15/2</f>
        <v>0</v>
      </c>
      <c r="I15" s="7">
        <f>'C-FTE Apr'!I15/2</f>
        <v>0</v>
      </c>
      <c r="J15" s="7">
        <f>'C-FTE Apr'!J15/2</f>
        <v>0</v>
      </c>
      <c r="K15" s="7">
        <f>'C-FTE Apr'!K15/2</f>
        <v>0</v>
      </c>
      <c r="L15" s="7">
        <f>'C-FTE Apr'!L15/2</f>
        <v>0</v>
      </c>
      <c r="M15" s="7">
        <f>'C-FTE Apr'!M15/2</f>
        <v>0</v>
      </c>
      <c r="N15" s="7">
        <f>'C-FTE Apr'!N15/2</f>
        <v>0</v>
      </c>
      <c r="O15" s="7">
        <f>'C-FTE Apr'!O15/2</f>
        <v>0</v>
      </c>
      <c r="P15" s="7">
        <f>'C-FTE Apr'!P15/2</f>
        <v>0</v>
      </c>
      <c r="Q15" s="7">
        <f>'C-FTE Apr'!Q15/2</f>
        <v>0</v>
      </c>
      <c r="R15" s="7">
        <f>'C-FTE Apr'!R15/2</f>
        <v>0</v>
      </c>
      <c r="S15" s="7">
        <f>'C-FTE Apr'!S15/2</f>
        <v>0</v>
      </c>
      <c r="T15" s="7">
        <f>'C-FTE Apr'!T15/2</f>
        <v>0</v>
      </c>
      <c r="U15" s="7">
        <f>'C-FTE Apr'!U15/2</f>
        <v>0</v>
      </c>
      <c r="V15" s="7">
        <f>'C-FTE Apr'!V15/2</f>
        <v>0</v>
      </c>
      <c r="W15" s="7">
        <f>'C-FTE Apr'!W15/2</f>
        <v>0</v>
      </c>
      <c r="X15" s="7">
        <f>'C-FTE Apr'!X15/2</f>
        <v>0</v>
      </c>
      <c r="Y15" s="7">
        <f>'C-FTE Apr'!Y15/2</f>
        <v>0</v>
      </c>
      <c r="Z15" s="7">
        <f>'C-FTE Apr'!Z15/2</f>
        <v>0</v>
      </c>
      <c r="AA15" s="7">
        <f>'C-FTE Apr'!AA15/2</f>
        <v>0</v>
      </c>
      <c r="AB15" s="7">
        <f>'C-FTE Apr'!AB15/2</f>
        <v>0</v>
      </c>
      <c r="AC15" s="7">
        <f>'C-FTE Apr'!AC15/2</f>
        <v>0</v>
      </c>
      <c r="AD15" s="7">
        <f>'C-FTE Apr'!AD15/2</f>
        <v>0</v>
      </c>
      <c r="AE15" s="7">
        <f>'C-FTE Apr'!AE15/2</f>
        <v>0</v>
      </c>
      <c r="AF15" s="7">
        <f>'C-FTE Apr'!AF15/2</f>
        <v>0</v>
      </c>
    </row>
    <row r="16" spans="1:32" x14ac:dyDescent="0.25">
      <c r="A16" s="3" t="s">
        <v>21</v>
      </c>
      <c r="B16" s="7">
        <f>'C-FTE Apr'!B16/2</f>
        <v>0</v>
      </c>
      <c r="C16" s="7">
        <f>'C-FTE Apr'!C16/2</f>
        <v>0</v>
      </c>
      <c r="D16" s="7">
        <f>'C-FTE Apr'!D16/2</f>
        <v>0</v>
      </c>
      <c r="E16" s="7">
        <f>'C-FTE Apr'!E16/2</f>
        <v>0</v>
      </c>
      <c r="F16" s="7">
        <f>'C-FTE Apr'!F16/2</f>
        <v>0</v>
      </c>
      <c r="G16" s="7">
        <f>'C-FTE Apr'!G16/2</f>
        <v>0</v>
      </c>
      <c r="H16" s="7">
        <f>'C-FTE Apr'!H16/2</f>
        <v>0</v>
      </c>
      <c r="I16" s="7">
        <f>'C-FTE Apr'!I16/2</f>
        <v>0</v>
      </c>
      <c r="J16" s="7">
        <f>'C-FTE Apr'!J16/2</f>
        <v>0</v>
      </c>
      <c r="K16" s="7">
        <f>'C-FTE Apr'!K16/2</f>
        <v>0</v>
      </c>
      <c r="L16" s="7">
        <f>'C-FTE Apr'!L16/2</f>
        <v>0</v>
      </c>
      <c r="M16" s="7">
        <f>'C-FTE Apr'!M16/2</f>
        <v>0</v>
      </c>
      <c r="N16" s="7">
        <f>'C-FTE Apr'!N16/2</f>
        <v>0</v>
      </c>
      <c r="O16" s="7">
        <f>'C-FTE Apr'!O16/2</f>
        <v>0</v>
      </c>
      <c r="P16" s="7">
        <f>'C-FTE Apr'!P16/2</f>
        <v>0</v>
      </c>
      <c r="Q16" s="7">
        <f>'C-FTE Apr'!Q16/2</f>
        <v>0</v>
      </c>
      <c r="R16" s="7">
        <f>'C-FTE Apr'!R16/2</f>
        <v>0</v>
      </c>
      <c r="S16" s="7">
        <f>'C-FTE Apr'!S16/2</f>
        <v>0</v>
      </c>
      <c r="T16" s="7">
        <f>'C-FTE Apr'!T16/2</f>
        <v>0</v>
      </c>
      <c r="U16" s="7">
        <f>'C-FTE Apr'!U16/2</f>
        <v>0</v>
      </c>
      <c r="V16" s="7">
        <f>'C-FTE Apr'!V16/2</f>
        <v>0</v>
      </c>
      <c r="W16" s="7">
        <f>'C-FTE Apr'!W16/2</f>
        <v>0</v>
      </c>
      <c r="X16" s="7">
        <f>'C-FTE Apr'!X16/2</f>
        <v>0</v>
      </c>
      <c r="Y16" s="7">
        <f>'C-FTE Apr'!Y16/2</f>
        <v>0</v>
      </c>
      <c r="Z16" s="7">
        <f>'C-FTE Apr'!Z16/2</f>
        <v>0</v>
      </c>
      <c r="AA16" s="7">
        <f>'C-FTE Apr'!AA16/2</f>
        <v>0</v>
      </c>
      <c r="AB16" s="7">
        <f>'C-FTE Apr'!AB16/2</f>
        <v>0</v>
      </c>
      <c r="AC16" s="7">
        <f>'C-FTE Apr'!AC16/2</f>
        <v>0</v>
      </c>
      <c r="AD16" s="7">
        <f>'C-FTE Apr'!AD16/2</f>
        <v>0</v>
      </c>
      <c r="AE16" s="7">
        <f>'C-FTE Apr'!AE16/2</f>
        <v>0</v>
      </c>
      <c r="AF16" s="7">
        <f>'C-FTE Apr'!AF16/2</f>
        <v>0</v>
      </c>
    </row>
    <row r="17" spans="1:32" x14ac:dyDescent="0.25">
      <c r="A17" s="3" t="s">
        <v>22</v>
      </c>
      <c r="B17" s="7">
        <f>'C-FTE Apr'!B17/2</f>
        <v>0</v>
      </c>
      <c r="C17" s="7">
        <f>'C-FTE Apr'!C17/2</f>
        <v>0</v>
      </c>
      <c r="D17" s="7">
        <f>'C-FTE Apr'!D17/2</f>
        <v>0</v>
      </c>
      <c r="E17" s="7">
        <f>'C-FTE Apr'!E17/2</f>
        <v>0</v>
      </c>
      <c r="F17" s="7">
        <f>'C-FTE Apr'!F17/2</f>
        <v>0</v>
      </c>
      <c r="G17" s="7">
        <f>'C-FTE Apr'!G17/2</f>
        <v>0</v>
      </c>
      <c r="H17" s="7">
        <f>'C-FTE Apr'!H17/2</f>
        <v>0</v>
      </c>
      <c r="I17" s="7">
        <f>'C-FTE Apr'!I17/2</f>
        <v>0</v>
      </c>
      <c r="J17" s="7">
        <f>'C-FTE Apr'!J17/2</f>
        <v>0</v>
      </c>
      <c r="K17" s="7">
        <f>'C-FTE Apr'!K17/2</f>
        <v>0</v>
      </c>
      <c r="L17" s="7">
        <f>'C-FTE Apr'!L17/2</f>
        <v>0</v>
      </c>
      <c r="M17" s="7">
        <f>'C-FTE Apr'!M17/2</f>
        <v>0</v>
      </c>
      <c r="N17" s="7">
        <f>'C-FTE Apr'!N17/2</f>
        <v>0</v>
      </c>
      <c r="O17" s="7">
        <f>'C-FTE Apr'!O17/2</f>
        <v>0</v>
      </c>
      <c r="P17" s="7">
        <f>'C-FTE Apr'!P17/2</f>
        <v>0</v>
      </c>
      <c r="Q17" s="7">
        <f>'C-FTE Apr'!Q17/2</f>
        <v>0</v>
      </c>
      <c r="R17" s="7">
        <f>'C-FTE Apr'!R17/2</f>
        <v>0</v>
      </c>
      <c r="S17" s="7">
        <f>'C-FTE Apr'!S17/2</f>
        <v>0</v>
      </c>
      <c r="T17" s="7">
        <f>'C-FTE Apr'!T17/2</f>
        <v>0</v>
      </c>
      <c r="U17" s="7">
        <f>'C-FTE Apr'!U17/2</f>
        <v>0</v>
      </c>
      <c r="V17" s="7">
        <f>'C-FTE Apr'!V17/2</f>
        <v>0</v>
      </c>
      <c r="W17" s="7">
        <f>'C-FTE Apr'!W17/2</f>
        <v>0</v>
      </c>
      <c r="X17" s="7">
        <f>'C-FTE Apr'!X17/2</f>
        <v>0</v>
      </c>
      <c r="Y17" s="7">
        <f>'C-FTE Apr'!Y17/2</f>
        <v>0</v>
      </c>
      <c r="Z17" s="7">
        <f>'C-FTE Apr'!Z17/2</f>
        <v>0</v>
      </c>
      <c r="AA17" s="7">
        <f>'C-FTE Apr'!AA17/2</f>
        <v>0</v>
      </c>
      <c r="AB17" s="7">
        <f>'C-FTE Apr'!AB17/2</f>
        <v>0</v>
      </c>
      <c r="AC17" s="7">
        <f>'C-FTE Apr'!AC17/2</f>
        <v>0</v>
      </c>
      <c r="AD17" s="7">
        <f>'C-FTE Apr'!AD17/2</f>
        <v>0</v>
      </c>
      <c r="AE17" s="7">
        <f>'C-FTE Apr'!AE17/2</f>
        <v>0</v>
      </c>
      <c r="AF17" s="7">
        <f>'C-FTE Apr'!AF17/2</f>
        <v>0</v>
      </c>
    </row>
    <row r="18" spans="1:32" x14ac:dyDescent="0.25">
      <c r="A18" s="3" t="s">
        <v>23</v>
      </c>
      <c r="B18" s="7">
        <f>'C-FTE Apr'!B18/2</f>
        <v>0</v>
      </c>
      <c r="C18" s="7">
        <f>'C-FTE Apr'!C18/2</f>
        <v>0</v>
      </c>
      <c r="D18" s="7">
        <f>'C-FTE Apr'!D18/2</f>
        <v>0</v>
      </c>
      <c r="E18" s="7">
        <f>'C-FTE Apr'!E18/2</f>
        <v>0</v>
      </c>
      <c r="F18" s="7">
        <f>'C-FTE Apr'!F18/2</f>
        <v>0</v>
      </c>
      <c r="G18" s="7">
        <f>'C-FTE Apr'!G18/2</f>
        <v>0</v>
      </c>
      <c r="H18" s="7">
        <f>'C-FTE Apr'!H18/2</f>
        <v>0</v>
      </c>
      <c r="I18" s="7">
        <f>'C-FTE Apr'!I18/2</f>
        <v>0</v>
      </c>
      <c r="J18" s="7">
        <f>'C-FTE Apr'!J18/2</f>
        <v>0</v>
      </c>
      <c r="K18" s="7">
        <f>'C-FTE Apr'!K18/2</f>
        <v>0</v>
      </c>
      <c r="L18" s="7">
        <f>'C-FTE Apr'!L18/2</f>
        <v>0</v>
      </c>
      <c r="M18" s="7">
        <f>'C-FTE Apr'!M18/2</f>
        <v>0</v>
      </c>
      <c r="N18" s="7">
        <f>'C-FTE Apr'!N18/2</f>
        <v>0</v>
      </c>
      <c r="O18" s="7">
        <f>'C-FTE Apr'!O18/2</f>
        <v>0</v>
      </c>
      <c r="P18" s="7">
        <f>'C-FTE Apr'!P18/2</f>
        <v>0</v>
      </c>
      <c r="Q18" s="7">
        <f>'C-FTE Apr'!Q18/2</f>
        <v>0</v>
      </c>
      <c r="R18" s="7">
        <f>'C-FTE Apr'!R18/2</f>
        <v>0</v>
      </c>
      <c r="S18" s="7">
        <f>'C-FTE Apr'!S18/2</f>
        <v>0</v>
      </c>
      <c r="T18" s="7">
        <f>'C-FTE Apr'!T18/2</f>
        <v>0</v>
      </c>
      <c r="U18" s="7">
        <f>'C-FTE Apr'!U18/2</f>
        <v>0</v>
      </c>
      <c r="V18" s="7">
        <f>'C-FTE Apr'!V18/2</f>
        <v>0</v>
      </c>
      <c r="W18" s="7">
        <f>'C-FTE Apr'!W18/2</f>
        <v>0</v>
      </c>
      <c r="X18" s="7">
        <f>'C-FTE Apr'!X18/2</f>
        <v>0</v>
      </c>
      <c r="Y18" s="7">
        <f>'C-FTE Apr'!Y18/2</f>
        <v>0</v>
      </c>
      <c r="Z18" s="7">
        <f>'C-FTE Apr'!Z18/2</f>
        <v>0</v>
      </c>
      <c r="AA18" s="7">
        <f>'C-FTE Apr'!AA18/2</f>
        <v>0</v>
      </c>
      <c r="AB18" s="7">
        <f>'C-FTE Apr'!AB18/2</f>
        <v>0</v>
      </c>
      <c r="AC18" s="7">
        <f>'C-FTE Apr'!AC18/2</f>
        <v>0</v>
      </c>
      <c r="AD18" s="7">
        <f>'C-FTE Apr'!AD18/2</f>
        <v>0</v>
      </c>
      <c r="AE18" s="7">
        <f>'C-FTE Apr'!AE18/2</f>
        <v>0</v>
      </c>
      <c r="AF18" s="7">
        <f>'C-FTE Apr'!AF18/2</f>
        <v>0</v>
      </c>
    </row>
    <row r="19" spans="1:32" x14ac:dyDescent="0.25">
      <c r="A19" s="3" t="s">
        <v>24</v>
      </c>
      <c r="B19" s="7">
        <f>'C-FTE Apr'!B19/2</f>
        <v>2.9761050831555211</v>
      </c>
      <c r="C19" s="7">
        <f>'C-FTE Apr'!C19/2</f>
        <v>3.0905706632768877</v>
      </c>
      <c r="D19" s="7">
        <f>'C-FTE Apr'!D19/2</f>
        <v>3.2050362433982538</v>
      </c>
      <c r="E19" s="7">
        <f>'C-FTE Apr'!E19/2</f>
        <v>2.6327083427914224</v>
      </c>
      <c r="F19" s="7">
        <f>'C-FTE Apr'!F19/2</f>
        <v>1.7169837018204932</v>
      </c>
      <c r="G19" s="7">
        <f>'C-FTE Apr'!G19/2</f>
        <v>3.433967403640986</v>
      </c>
      <c r="H19" s="7">
        <f>'C-FTE Apr'!H19/2</f>
        <v>3.0905706632768872</v>
      </c>
      <c r="I19" s="7">
        <f>'C-FTE Apr'!I19/2</f>
        <v>2.861639503034155</v>
      </c>
      <c r="J19" s="7">
        <f>'C-FTE Apr'!J19/2</f>
        <v>2.9761050831555211</v>
      </c>
      <c r="K19" s="7">
        <f>'C-FTE Apr'!K19/2</f>
        <v>3.0905706632768872</v>
      </c>
      <c r="L19" s="7">
        <f>'C-FTE Apr'!L19/2</f>
        <v>2.6327083427914224</v>
      </c>
      <c r="M19" s="7">
        <f>'C-FTE Apr'!M19/2</f>
        <v>1.716983701820493</v>
      </c>
      <c r="N19" s="7">
        <f>'C-FTE Apr'!N19/2</f>
        <v>3.3195018235196194</v>
      </c>
      <c r="O19" s="7">
        <f>'C-FTE Apr'!O19/2</f>
        <v>2.9761050831555216</v>
      </c>
      <c r="P19" s="7">
        <f>'C-FTE Apr'!P19/2</f>
        <v>2.8616395030341555</v>
      </c>
      <c r="Q19" s="7">
        <f>'C-FTE Apr'!Q19/2</f>
        <v>2.9761050831555211</v>
      </c>
      <c r="R19" s="7">
        <f>'C-FTE Apr'!R19/2</f>
        <v>3.0905706632768877</v>
      </c>
      <c r="S19" s="7">
        <f>'C-FTE Apr'!S19/2</f>
        <v>2.6327083427914224</v>
      </c>
      <c r="T19" s="7">
        <f>'C-FTE Apr'!T19/2</f>
        <v>1.7169837018204932</v>
      </c>
      <c r="U19" s="7">
        <f>'C-FTE Apr'!U19/2</f>
        <v>3.4339674036409864</v>
      </c>
      <c r="V19" s="7">
        <f>'C-FTE Apr'!V19/2</f>
        <v>3.0905706632768872</v>
      </c>
      <c r="W19" s="7">
        <f>'C-FTE Apr'!W19/2</f>
        <v>2.9761050831555216</v>
      </c>
      <c r="X19" s="7">
        <f>'C-FTE Apr'!X19/2</f>
        <v>3.2050362433982538</v>
      </c>
      <c r="Y19" s="7">
        <f>'C-FTE Apr'!Y19/2</f>
        <v>3.3195018235196203</v>
      </c>
      <c r="Z19" s="7">
        <f>'C-FTE Apr'!Z19/2</f>
        <v>2.861639503034155</v>
      </c>
      <c r="AA19" s="7">
        <f>'C-FTE Apr'!AA19/2</f>
        <v>1.8314492819418593</v>
      </c>
      <c r="AB19" s="7">
        <f>'C-FTE Apr'!AB19/2</f>
        <v>3.7773641440050842</v>
      </c>
      <c r="AC19" s="7">
        <f>'C-FTE Apr'!AC19/2</f>
        <v>3.433967403640986</v>
      </c>
      <c r="AD19" s="7">
        <f>'C-FTE Apr'!AD19/2</f>
        <v>3.2050362433982538</v>
      </c>
      <c r="AE19" s="7">
        <f>'C-FTE Apr'!AE19/2</f>
        <v>3.433967403640986</v>
      </c>
      <c r="AF19" s="7">
        <f>'C-FTE Apr'!AF19/2</f>
        <v>0</v>
      </c>
    </row>
    <row r="20" spans="1:32" x14ac:dyDescent="0.25">
      <c r="A20" s="3" t="s">
        <v>25</v>
      </c>
      <c r="B20" s="7">
        <f>'C-FTE Apr'!B20/2</f>
        <v>3.7773641440050847</v>
      </c>
      <c r="C20" s="7">
        <f>'C-FTE Apr'!C20/2</f>
        <v>3.8918297241264508</v>
      </c>
      <c r="D20" s="7">
        <f>'C-FTE Apr'!D20/2</f>
        <v>3.6628985638837186</v>
      </c>
      <c r="E20" s="7">
        <f>'C-FTE Apr'!E20/2</f>
        <v>2.9761050831555216</v>
      </c>
      <c r="F20" s="7">
        <f>'C-FTE Apr'!F20/2</f>
        <v>2.174846022305958</v>
      </c>
      <c r="G20" s="7">
        <f>'C-FTE Apr'!G20/2</f>
        <v>4.3496920446119161</v>
      </c>
      <c r="H20" s="7">
        <f>'C-FTE Apr'!H20/2</f>
        <v>3.7773641440050847</v>
      </c>
      <c r="I20" s="7">
        <f>'C-FTE Apr'!I20/2</f>
        <v>3.5484329837623525</v>
      </c>
      <c r="J20" s="7">
        <f>'C-FTE Apr'!J20/2</f>
        <v>3.7773641440050847</v>
      </c>
      <c r="K20" s="7">
        <f>'C-FTE Apr'!K20/2</f>
        <v>3.5484329837623525</v>
      </c>
      <c r="L20" s="7">
        <f>'C-FTE Apr'!L20/2</f>
        <v>2.8616395030341546</v>
      </c>
      <c r="M20" s="7">
        <f>'C-FTE Apr'!M20/2</f>
        <v>2.174846022305958</v>
      </c>
      <c r="N20" s="7">
        <f>'C-FTE Apr'!N20/2</f>
        <v>4.3496920446119152</v>
      </c>
      <c r="O20" s="7">
        <f>'C-FTE Apr'!O20/2</f>
        <v>3.7773641440050847</v>
      </c>
      <c r="P20" s="7">
        <f>'C-FTE Apr'!P20/2</f>
        <v>3.5484329837623529</v>
      </c>
      <c r="Q20" s="7">
        <f>'C-FTE Apr'!Q20/2</f>
        <v>3.7773641440050842</v>
      </c>
      <c r="R20" s="7">
        <f>'C-FTE Apr'!R20/2</f>
        <v>3.6628985638837186</v>
      </c>
      <c r="S20" s="7">
        <f>'C-FTE Apr'!S20/2</f>
        <v>2.9761050831555216</v>
      </c>
      <c r="T20" s="7">
        <f>'C-FTE Apr'!T20/2</f>
        <v>2.1748460223059576</v>
      </c>
      <c r="U20" s="7">
        <f>'C-FTE Apr'!U20/2</f>
        <v>4.4641576247332821</v>
      </c>
      <c r="V20" s="7">
        <f>'C-FTE Apr'!V20/2</f>
        <v>3.8918297241264508</v>
      </c>
      <c r="W20" s="7">
        <f>'C-FTE Apr'!W20/2</f>
        <v>3.7773641440050851</v>
      </c>
      <c r="X20" s="7">
        <f>'C-FTE Apr'!X20/2</f>
        <v>3.8918297241264512</v>
      </c>
      <c r="Y20" s="7">
        <f>'C-FTE Apr'!Y20/2</f>
        <v>3.7773641440050847</v>
      </c>
      <c r="Z20" s="7">
        <f>'C-FTE Apr'!Z20/2</f>
        <v>3.0905706632768877</v>
      </c>
      <c r="AA20" s="7">
        <f>'C-FTE Apr'!AA20/2</f>
        <v>2.2893116024273241</v>
      </c>
      <c r="AB20" s="7">
        <f>'C-FTE Apr'!AB20/2</f>
        <v>4.6930887849760143</v>
      </c>
      <c r="AC20" s="7">
        <f>'C-FTE Apr'!AC20/2</f>
        <v>4.2352264644905491</v>
      </c>
      <c r="AD20" s="7">
        <f>'C-FTE Apr'!AD20/2</f>
        <v>4.0062953042478169</v>
      </c>
      <c r="AE20" s="7">
        <f>'C-FTE Apr'!AE20/2</f>
        <v>4.23522646449055</v>
      </c>
      <c r="AF20" s="7">
        <f>'C-FTE Apr'!AF20/2</f>
        <v>0</v>
      </c>
    </row>
    <row r="21" spans="1:32" x14ac:dyDescent="0.25">
      <c r="A21" s="3" t="s">
        <v>26</v>
      </c>
      <c r="B21" s="7">
        <f>'C-FTE Apr'!B21/2</f>
        <v>4.9220199452187465</v>
      </c>
      <c r="C21" s="7">
        <f>'C-FTE Apr'!C21/2</f>
        <v>5.1509511054614787</v>
      </c>
      <c r="D21" s="7">
        <f>'C-FTE Apr'!D21/2</f>
        <v>4.8075543650973804</v>
      </c>
      <c r="E21" s="7">
        <f>'C-FTE Apr'!E21/2</f>
        <v>3.6628985638837182</v>
      </c>
      <c r="F21" s="7">
        <f>'C-FTE Apr'!F21/2</f>
        <v>2.7471739229127894</v>
      </c>
      <c r="G21" s="7">
        <f>'C-FTE Apr'!G21/2</f>
        <v>5.9522101663110432</v>
      </c>
      <c r="H21" s="7">
        <f>'C-FTE Apr'!H21/2</f>
        <v>5.1509511054614787</v>
      </c>
      <c r="I21" s="7">
        <f>'C-FTE Apr'!I21/2</f>
        <v>4.6930887849760143</v>
      </c>
      <c r="J21" s="7">
        <f>'C-FTE Apr'!J21/2</f>
        <v>4.9220199452187465</v>
      </c>
      <c r="K21" s="7">
        <f>'C-FTE Apr'!K21/2</f>
        <v>4.6930887849760143</v>
      </c>
      <c r="L21" s="7">
        <f>'C-FTE Apr'!L21/2</f>
        <v>3.6628985638837177</v>
      </c>
      <c r="M21" s="7">
        <f>'C-FTE Apr'!M21/2</f>
        <v>2.7471739229127889</v>
      </c>
      <c r="N21" s="7">
        <f>'C-FTE Apr'!N21/2</f>
        <v>5.9522101663110423</v>
      </c>
      <c r="O21" s="7">
        <f>'C-FTE Apr'!O21/2</f>
        <v>5.1509511054614787</v>
      </c>
      <c r="P21" s="7">
        <f>'C-FTE Apr'!P21/2</f>
        <v>4.6930887849760143</v>
      </c>
      <c r="Q21" s="7">
        <f>'C-FTE Apr'!Q21/2</f>
        <v>5.0364855253401117</v>
      </c>
      <c r="R21" s="7">
        <f>'C-FTE Apr'!R21/2</f>
        <v>4.6930887849760143</v>
      </c>
      <c r="S21" s="7">
        <f>'C-FTE Apr'!S21/2</f>
        <v>3.6628985638837182</v>
      </c>
      <c r="T21" s="7">
        <f>'C-FTE Apr'!T21/2</f>
        <v>2.8616395030341555</v>
      </c>
      <c r="U21" s="7">
        <f>'C-FTE Apr'!U21/2</f>
        <v>6.0666757464324093</v>
      </c>
      <c r="V21" s="7">
        <f>'C-FTE Apr'!V21/2</f>
        <v>5.3798822657042118</v>
      </c>
      <c r="W21" s="7">
        <f>'C-FTE Apr'!W21/2</f>
        <v>4.9220199452187474</v>
      </c>
      <c r="X21" s="7">
        <f>'C-FTE Apr'!X21/2</f>
        <v>5.2654166855828457</v>
      </c>
      <c r="Y21" s="7">
        <f>'C-FTE Apr'!Y21/2</f>
        <v>4.9220199452187474</v>
      </c>
      <c r="Z21" s="7">
        <f>'C-FTE Apr'!Z21/2</f>
        <v>3.8918297241264508</v>
      </c>
      <c r="AA21" s="7">
        <f>'C-FTE Apr'!AA21/2</f>
        <v>2.9761050831555216</v>
      </c>
      <c r="AB21" s="7">
        <f>'C-FTE Apr'!AB21/2</f>
        <v>6.5245380669178736</v>
      </c>
      <c r="AC21" s="7">
        <f>'C-FTE Apr'!AC21/2</f>
        <v>5.7232790060683092</v>
      </c>
      <c r="AD21" s="7">
        <f>'C-FTE Apr'!AD21/2</f>
        <v>5.2654166855828457</v>
      </c>
      <c r="AE21" s="7">
        <f>'C-FTE Apr'!AE21/2</f>
        <v>5.7232790060683101</v>
      </c>
      <c r="AF21" s="7">
        <f>'C-FTE Apr'!AF21/2</f>
        <v>0</v>
      </c>
    </row>
    <row r="22" spans="1:32" x14ac:dyDescent="0.25">
      <c r="A22" s="3" t="s">
        <v>27</v>
      </c>
      <c r="B22" s="7">
        <f>'C-FTE Apr'!B22/2</f>
        <v>5.9522101663110423</v>
      </c>
      <c r="C22" s="7">
        <f>'C-FTE Apr'!C22/2</f>
        <v>6.2956069066751406</v>
      </c>
      <c r="D22" s="7">
        <f>'C-FTE Apr'!D22/2</f>
        <v>5.9522101663110423</v>
      </c>
      <c r="E22" s="7">
        <f>'C-FTE Apr'!E22/2</f>
        <v>4.3496920446119161</v>
      </c>
      <c r="F22" s="7">
        <f>'C-FTE Apr'!F22/2</f>
        <v>3.3195018235196199</v>
      </c>
      <c r="G22" s="7">
        <f>'C-FTE Apr'!G22/2</f>
        <v>7.4402627078888042</v>
      </c>
      <c r="H22" s="7">
        <f>'C-FTE Apr'!H22/2</f>
        <v>6.7534692271606058</v>
      </c>
      <c r="I22" s="7">
        <f>'C-FTE Apr'!I22/2</f>
        <v>5.8377445861896762</v>
      </c>
      <c r="J22" s="7">
        <f>'C-FTE Apr'!J22/2</f>
        <v>6.0666757464324084</v>
      </c>
      <c r="K22" s="7">
        <f>'C-FTE Apr'!K22/2</f>
        <v>5.8377445861896771</v>
      </c>
      <c r="L22" s="7">
        <f>'C-FTE Apr'!L22/2</f>
        <v>4.2352264644905491</v>
      </c>
      <c r="M22" s="7">
        <f>'C-FTE Apr'!M22/2</f>
        <v>3.2050362433982538</v>
      </c>
      <c r="N22" s="7">
        <f>'C-FTE Apr'!N22/2</f>
        <v>7.3257971277674363</v>
      </c>
      <c r="O22" s="7">
        <f>'C-FTE Apr'!O22/2</f>
        <v>6.7534692271606067</v>
      </c>
      <c r="P22" s="7">
        <f>'C-FTE Apr'!P22/2</f>
        <v>5.8377445861896771</v>
      </c>
      <c r="Q22" s="7">
        <f>'C-FTE Apr'!Q22/2</f>
        <v>6.1811413265537745</v>
      </c>
      <c r="R22" s="7">
        <f>'C-FTE Apr'!R22/2</f>
        <v>5.8377445861896762</v>
      </c>
      <c r="S22" s="7">
        <f>'C-FTE Apr'!S22/2</f>
        <v>4.3496920446119161</v>
      </c>
      <c r="T22" s="7">
        <f>'C-FTE Apr'!T22/2</f>
        <v>3.3195018235196199</v>
      </c>
      <c r="U22" s="7">
        <f>'C-FTE Apr'!U22/2</f>
        <v>7.5547282880101703</v>
      </c>
      <c r="V22" s="7">
        <f>'C-FTE Apr'!V22/2</f>
        <v>7.0968659675247041</v>
      </c>
      <c r="W22" s="7">
        <f>'C-FTE Apr'!W22/2</f>
        <v>6.0666757464324093</v>
      </c>
      <c r="X22" s="7">
        <f>'C-FTE Apr'!X22/2</f>
        <v>6.5245380669178736</v>
      </c>
      <c r="Y22" s="7">
        <f>'C-FTE Apr'!Y22/2</f>
        <v>6.1811413265537754</v>
      </c>
      <c r="Z22" s="7">
        <f>'C-FTE Apr'!Z22/2</f>
        <v>4.5786232048546482</v>
      </c>
      <c r="AA22" s="7">
        <f>'C-FTE Apr'!AA22/2</f>
        <v>3.5484329837623525</v>
      </c>
      <c r="AB22" s="7">
        <f>'C-FTE Apr'!AB22/2</f>
        <v>8.1270561886170007</v>
      </c>
      <c r="AC22" s="7">
        <f>'C-FTE Apr'!AC22/2</f>
        <v>7.5547282880101685</v>
      </c>
      <c r="AD22" s="7">
        <f>'C-FTE Apr'!AD22/2</f>
        <v>6.5245380669178736</v>
      </c>
      <c r="AE22" s="7">
        <f>'C-FTE Apr'!AE22/2</f>
        <v>6.982400387403338</v>
      </c>
      <c r="AF22" s="7">
        <f>'C-FTE Apr'!AF22/2</f>
        <v>0</v>
      </c>
    </row>
    <row r="23" spans="1:32" x14ac:dyDescent="0.25">
      <c r="A23" s="3" t="s">
        <v>28</v>
      </c>
      <c r="B23" s="7">
        <f>'C-FTE Apr'!B23/2</f>
        <v>6.982400387403338</v>
      </c>
      <c r="C23" s="7">
        <f>'C-FTE Apr'!C23/2</f>
        <v>7.2113315476460711</v>
      </c>
      <c r="D23" s="7">
        <f>'C-FTE Apr'!D23/2</f>
        <v>7.096865967524705</v>
      </c>
      <c r="E23" s="7">
        <f>'C-FTE Apr'!E23/2</f>
        <v>5.1509511054614787</v>
      </c>
      <c r="F23" s="7">
        <f>'C-FTE Apr'!F23/2</f>
        <v>3.8918297241264512</v>
      </c>
      <c r="G23" s="7">
        <f>'C-FTE Apr'!G23/2</f>
        <v>8.5849185091024651</v>
      </c>
      <c r="H23" s="7">
        <f>'C-FTE Apr'!H23/2</f>
        <v>8.2415217687383659</v>
      </c>
      <c r="I23" s="7">
        <f>'C-FTE Apr'!I23/2</f>
        <v>6.7534692271606058</v>
      </c>
      <c r="J23" s="7">
        <f>'C-FTE Apr'!J23/2</f>
        <v>6.9824003874033389</v>
      </c>
      <c r="K23" s="7">
        <f>'C-FTE Apr'!K23/2</f>
        <v>6.9824003874033389</v>
      </c>
      <c r="L23" s="7">
        <f>'C-FTE Apr'!L23/2</f>
        <v>5.0364855253401126</v>
      </c>
      <c r="M23" s="7">
        <f>'C-FTE Apr'!M23/2</f>
        <v>3.8918297241264508</v>
      </c>
      <c r="N23" s="7">
        <f>'C-FTE Apr'!N23/2</f>
        <v>8.5849185091024633</v>
      </c>
      <c r="O23" s="7">
        <f>'C-FTE Apr'!O23/2</f>
        <v>8.2415217687383677</v>
      </c>
      <c r="P23" s="7">
        <f>'C-FTE Apr'!P23/2</f>
        <v>6.7534692271606067</v>
      </c>
      <c r="Q23" s="7">
        <f>'C-FTE Apr'!Q23/2</f>
        <v>6.982400387403338</v>
      </c>
      <c r="R23" s="7">
        <f>'C-FTE Apr'!R23/2</f>
        <v>7.0968659675247041</v>
      </c>
      <c r="S23" s="7">
        <f>'C-FTE Apr'!S23/2</f>
        <v>5.1509511054614787</v>
      </c>
      <c r="T23" s="7">
        <f>'C-FTE Apr'!T23/2</f>
        <v>3.8918297241264508</v>
      </c>
      <c r="U23" s="7">
        <f>'C-FTE Apr'!U23/2</f>
        <v>8.8138496693451991</v>
      </c>
      <c r="V23" s="7">
        <f>'C-FTE Apr'!V23/2</f>
        <v>8.4704529289810981</v>
      </c>
      <c r="W23" s="7">
        <f>'C-FTE Apr'!W23/2</f>
        <v>7.096865967524705</v>
      </c>
      <c r="X23" s="7">
        <f>'C-FTE Apr'!X23/2</f>
        <v>7.3257971277674372</v>
      </c>
      <c r="Y23" s="7">
        <f>'C-FTE Apr'!Y23/2</f>
        <v>7.4402627078888033</v>
      </c>
      <c r="Z23" s="7">
        <f>'C-FTE Apr'!Z23/2</f>
        <v>5.4943478458255779</v>
      </c>
      <c r="AA23" s="7">
        <f>'C-FTE Apr'!AA23/2</f>
        <v>4.23522646449055</v>
      </c>
      <c r="AB23" s="7">
        <f>'C-FTE Apr'!AB23/2</f>
        <v>9.3861775699520287</v>
      </c>
      <c r="AC23" s="7">
        <f>'C-FTE Apr'!AC23/2</f>
        <v>9.1572464097092947</v>
      </c>
      <c r="AD23" s="7">
        <f>'C-FTE Apr'!AD23/2</f>
        <v>7.6691938681315355</v>
      </c>
      <c r="AE23" s="7">
        <f>'C-FTE Apr'!AE23/2</f>
        <v>8.0125906084956338</v>
      </c>
      <c r="AF23" s="7">
        <f>'C-FTE Apr'!AF23/2</f>
        <v>0</v>
      </c>
    </row>
    <row r="24" spans="1:32" x14ac:dyDescent="0.25">
      <c r="A24" s="3" t="s">
        <v>29</v>
      </c>
      <c r="B24" s="7">
        <f>'C-FTE Apr'!B24/2</f>
        <v>8.1270561886170007</v>
      </c>
      <c r="C24" s="7">
        <f>'C-FTE Apr'!C24/2</f>
        <v>8.3559873488597329</v>
      </c>
      <c r="D24" s="7">
        <f>'C-FTE Apr'!D24/2</f>
        <v>8.4704529289810999</v>
      </c>
      <c r="E24" s="7">
        <f>'C-FTE Apr'!E24/2</f>
        <v>6.4100724867965075</v>
      </c>
      <c r="F24" s="7">
        <f>'C-FTE Apr'!F24/2</f>
        <v>4.9220199452187474</v>
      </c>
      <c r="G24" s="7">
        <f>'C-FTE Apr'!G24/2</f>
        <v>10.187436630801592</v>
      </c>
      <c r="H24" s="7">
        <f>'C-FTE Apr'!H24/2</f>
        <v>9.5006431500733939</v>
      </c>
      <c r="I24" s="7">
        <f>'C-FTE Apr'!I24/2</f>
        <v>7.7836594482529016</v>
      </c>
      <c r="J24" s="7">
        <f>'C-FTE Apr'!J24/2</f>
        <v>8.127056188616999</v>
      </c>
      <c r="K24" s="7">
        <f>'C-FTE Apr'!K24/2</f>
        <v>8.3559873488597329</v>
      </c>
      <c r="L24" s="7">
        <f>'C-FTE Apr'!L24/2</f>
        <v>6.2956069066751406</v>
      </c>
      <c r="M24" s="7">
        <f>'C-FTE Apr'!M24/2</f>
        <v>4.9220199452187465</v>
      </c>
      <c r="N24" s="7">
        <f>'C-FTE Apr'!N24/2</f>
        <v>10.072971050680225</v>
      </c>
      <c r="O24" s="7">
        <f>'C-FTE Apr'!O24/2</f>
        <v>9.5006431500733957</v>
      </c>
      <c r="P24" s="7">
        <f>'C-FTE Apr'!P24/2</f>
        <v>7.8981250283742694</v>
      </c>
      <c r="Q24" s="7">
        <f>'C-FTE Apr'!Q24/2</f>
        <v>8.1270561886170007</v>
      </c>
      <c r="R24" s="7">
        <f>'C-FTE Apr'!R24/2</f>
        <v>8.4704529289810999</v>
      </c>
      <c r="S24" s="7">
        <f>'C-FTE Apr'!S24/2</f>
        <v>6.4100724867965075</v>
      </c>
      <c r="T24" s="7">
        <f>'C-FTE Apr'!T24/2</f>
        <v>5.0364855253401126</v>
      </c>
      <c r="U24" s="7">
        <f>'C-FTE Apr'!U24/2</f>
        <v>10.416367791044324</v>
      </c>
      <c r="V24" s="7">
        <f>'C-FTE Apr'!V24/2</f>
        <v>9.8440398904374931</v>
      </c>
      <c r="W24" s="7">
        <f>'C-FTE Apr'!W24/2</f>
        <v>8.2415217687383677</v>
      </c>
      <c r="X24" s="7">
        <f>'C-FTE Apr'!X24/2</f>
        <v>8.5849185091024651</v>
      </c>
      <c r="Y24" s="7">
        <f>'C-FTE Apr'!Y24/2</f>
        <v>8.9283152494665643</v>
      </c>
      <c r="Z24" s="7">
        <f>'C-FTE Apr'!Z24/2</f>
        <v>6.7534692271606067</v>
      </c>
      <c r="AA24" s="7">
        <f>'C-FTE Apr'!AA24/2</f>
        <v>5.3798822657042118</v>
      </c>
      <c r="AB24" s="7">
        <f>'C-FTE Apr'!AB24/2</f>
        <v>11.103161271772521</v>
      </c>
      <c r="AC24" s="7">
        <f>'C-FTE Apr'!AC24/2</f>
        <v>10.645298951287055</v>
      </c>
      <c r="AD24" s="7">
        <f>'C-FTE Apr'!AD24/2</f>
        <v>8.8138496693451973</v>
      </c>
      <c r="AE24" s="7">
        <f>'C-FTE Apr'!AE24/2</f>
        <v>9.2717119898306617</v>
      </c>
      <c r="AF24" s="7">
        <f>'C-FTE Apr'!AF24/2</f>
        <v>0</v>
      </c>
    </row>
    <row r="25" spans="1:32" x14ac:dyDescent="0.25">
      <c r="A25" s="3" t="s">
        <v>30</v>
      </c>
      <c r="B25" s="7">
        <f>'C-FTE Apr'!B25/2</f>
        <v>9.0427808295879295</v>
      </c>
      <c r="C25" s="7">
        <f>'C-FTE Apr'!C25/2</f>
        <v>9.3861775699520287</v>
      </c>
      <c r="D25" s="7">
        <f>'C-FTE Apr'!D25/2</f>
        <v>9.3861775699520287</v>
      </c>
      <c r="E25" s="7">
        <f>'C-FTE Apr'!E25/2</f>
        <v>7.5547282880101694</v>
      </c>
      <c r="F25" s="7">
        <f>'C-FTE Apr'!F25/2</f>
        <v>5.723279006068311</v>
      </c>
      <c r="G25" s="7">
        <f>'C-FTE Apr'!G25/2</f>
        <v>11.789954752500719</v>
      </c>
      <c r="H25" s="7">
        <f>'C-FTE Apr'!H25/2</f>
        <v>10.645298951287055</v>
      </c>
      <c r="I25" s="7">
        <f>'C-FTE Apr'!I25/2</f>
        <v>8.6993840892238303</v>
      </c>
      <c r="J25" s="7">
        <f>'C-FTE Apr'!J25/2</f>
        <v>9.0427808295879295</v>
      </c>
      <c r="K25" s="7">
        <f>'C-FTE Apr'!K25/2</f>
        <v>9.1572464097092965</v>
      </c>
      <c r="L25" s="7">
        <f>'C-FTE Apr'!L25/2</f>
        <v>7.4402627078888024</v>
      </c>
      <c r="M25" s="7">
        <f>'C-FTE Apr'!M25/2</f>
        <v>5.608813425946944</v>
      </c>
      <c r="N25" s="7">
        <f>'C-FTE Apr'!N25/2</f>
        <v>11.675489172379351</v>
      </c>
      <c r="O25" s="7">
        <f>'C-FTE Apr'!O25/2</f>
        <v>10.645298951287057</v>
      </c>
      <c r="P25" s="7">
        <f>'C-FTE Apr'!P25/2</f>
        <v>8.6993840892238339</v>
      </c>
      <c r="Q25" s="7">
        <f>'C-FTE Apr'!Q25/2</f>
        <v>9.1572464097092965</v>
      </c>
      <c r="R25" s="7">
        <f>'C-FTE Apr'!R25/2</f>
        <v>9.2717119898306635</v>
      </c>
      <c r="S25" s="7">
        <f>'C-FTE Apr'!S25/2</f>
        <v>7.5547282880101694</v>
      </c>
      <c r="T25" s="7">
        <f>'C-FTE Apr'!T25/2</f>
        <v>5.723279006068311</v>
      </c>
      <c r="U25" s="7">
        <f>'C-FTE Apr'!U25/2</f>
        <v>12.018885912743452</v>
      </c>
      <c r="V25" s="7">
        <f>'C-FTE Apr'!V25/2</f>
        <v>10.988695691651154</v>
      </c>
      <c r="W25" s="7">
        <f>'C-FTE Apr'!W25/2</f>
        <v>9.0427808295879313</v>
      </c>
      <c r="X25" s="7">
        <f>'C-FTE Apr'!X25/2</f>
        <v>9.6151087301947609</v>
      </c>
      <c r="Y25" s="7">
        <f>'C-FTE Apr'!Y25/2</f>
        <v>9.8440398904374948</v>
      </c>
      <c r="Z25" s="7">
        <f>'C-FTE Apr'!Z25/2</f>
        <v>8.0125906084956338</v>
      </c>
      <c r="AA25" s="7">
        <f>'C-FTE Apr'!AA25/2</f>
        <v>6.0666757464324093</v>
      </c>
      <c r="AB25" s="7">
        <f>'C-FTE Apr'!AB25/2</f>
        <v>12.820144973593015</v>
      </c>
      <c r="AC25" s="7">
        <f>'C-FTE Apr'!AC25/2</f>
        <v>11.789954752500718</v>
      </c>
      <c r="AD25" s="7">
        <f>'C-FTE Apr'!AD25/2</f>
        <v>9.8440398904374931</v>
      </c>
      <c r="AE25" s="7">
        <f>'C-FTE Apr'!AE25/2</f>
        <v>10.416367791044324</v>
      </c>
      <c r="AF25" s="7">
        <f>'C-FTE Apr'!AF25/2</f>
        <v>0</v>
      </c>
    </row>
    <row r="26" spans="1:32" x14ac:dyDescent="0.25">
      <c r="A26" s="3" t="s">
        <v>31</v>
      </c>
      <c r="B26" s="7">
        <f>'C-FTE Apr'!B26/2</f>
        <v>9.5006431500733939</v>
      </c>
      <c r="C26" s="7">
        <f>'C-FTE Apr'!C26/2</f>
        <v>9.8440398904374948</v>
      </c>
      <c r="D26" s="7">
        <f>'C-FTE Apr'!D26/2</f>
        <v>9.95850547055886</v>
      </c>
      <c r="E26" s="7">
        <f>'C-FTE Apr'!E26/2</f>
        <v>8.2415217687383659</v>
      </c>
      <c r="F26" s="7">
        <f>'C-FTE Apr'!F26/2</f>
        <v>5.9522101663110432</v>
      </c>
      <c r="G26" s="7">
        <f>'C-FTE Apr'!G26/2</f>
        <v>12.591213813350285</v>
      </c>
      <c r="H26" s="7">
        <f>'C-FTE Apr'!H26/2</f>
        <v>11.561023592257984</v>
      </c>
      <c r="I26" s="7">
        <f>'C-FTE Apr'!I26/2</f>
        <v>9.1572464097092965</v>
      </c>
      <c r="J26" s="7">
        <f>'C-FTE Apr'!J26/2</f>
        <v>9.6151087301947609</v>
      </c>
      <c r="K26" s="7">
        <f>'C-FTE Apr'!K26/2</f>
        <v>9.7295743103161278</v>
      </c>
      <c r="L26" s="7">
        <f>'C-FTE Apr'!L26/2</f>
        <v>8.012590608495632</v>
      </c>
      <c r="M26" s="7">
        <f>'C-FTE Apr'!M26/2</f>
        <v>5.9522101663110423</v>
      </c>
      <c r="N26" s="7">
        <f>'C-FTE Apr'!N26/2</f>
        <v>12.476748233228914</v>
      </c>
      <c r="O26" s="7">
        <f>'C-FTE Apr'!O26/2</f>
        <v>11.561023592257985</v>
      </c>
      <c r="P26" s="7">
        <f>'C-FTE Apr'!P26/2</f>
        <v>9.1572464097092983</v>
      </c>
      <c r="Q26" s="7">
        <f>'C-FTE Apr'!Q26/2</f>
        <v>9.6151087301947609</v>
      </c>
      <c r="R26" s="7">
        <f>'C-FTE Apr'!R26/2</f>
        <v>9.8440398904374948</v>
      </c>
      <c r="S26" s="7">
        <f>'C-FTE Apr'!S26/2</f>
        <v>8.2415217687383659</v>
      </c>
      <c r="T26" s="7">
        <f>'C-FTE Apr'!T26/2</f>
        <v>6.0666757464324093</v>
      </c>
      <c r="U26" s="7">
        <f>'C-FTE Apr'!U26/2</f>
        <v>12.93461055371438</v>
      </c>
      <c r="V26" s="7">
        <f>'C-FTE Apr'!V26/2</f>
        <v>11.904420332622085</v>
      </c>
      <c r="W26" s="7">
        <f>'C-FTE Apr'!W26/2</f>
        <v>9.5006431500733957</v>
      </c>
      <c r="X26" s="7">
        <f>'C-FTE Apr'!X26/2</f>
        <v>10.072971050680227</v>
      </c>
      <c r="Y26" s="7">
        <f>'C-FTE Apr'!Y26/2</f>
        <v>10.301902210922959</v>
      </c>
      <c r="Z26" s="7">
        <f>'C-FTE Apr'!Z26/2</f>
        <v>8.6993840892238321</v>
      </c>
      <c r="AA26" s="7">
        <f>'C-FTE Apr'!AA26/2</f>
        <v>6.4100724867965084</v>
      </c>
      <c r="AB26" s="7">
        <f>'C-FTE Apr'!AB26/2</f>
        <v>13.735869614563944</v>
      </c>
      <c r="AC26" s="7">
        <f>'C-FTE Apr'!AC26/2</f>
        <v>12.820144973593015</v>
      </c>
      <c r="AD26" s="7">
        <f>'C-FTE Apr'!AD26/2</f>
        <v>10.301902210922959</v>
      </c>
      <c r="AE26" s="7">
        <f>'C-FTE Apr'!AE26/2</f>
        <v>10.988695691651156</v>
      </c>
      <c r="AF26" s="7">
        <f>'C-FTE Apr'!AF26/2</f>
        <v>0</v>
      </c>
    </row>
    <row r="27" spans="1:32" x14ac:dyDescent="0.25">
      <c r="A27" s="3" t="s">
        <v>32</v>
      </c>
      <c r="B27" s="7">
        <f>'C-FTE Apr'!B27/2</f>
        <v>10.072971050680227</v>
      </c>
      <c r="C27" s="7">
        <f>'C-FTE Apr'!C27/2</f>
        <v>9.95850547055886</v>
      </c>
      <c r="D27" s="7">
        <f>'C-FTE Apr'!D27/2</f>
        <v>10.301902210922959</v>
      </c>
      <c r="E27" s="7">
        <f>'C-FTE Apr'!E27/2</f>
        <v>8.1270561886170007</v>
      </c>
      <c r="F27" s="7">
        <f>'C-FTE Apr'!F27/2</f>
        <v>6.1811413265537754</v>
      </c>
      <c r="G27" s="7">
        <f>'C-FTE Apr'!G27/2</f>
        <v>12.476748233228916</v>
      </c>
      <c r="H27" s="7">
        <f>'C-FTE Apr'!H27/2</f>
        <v>12.133351492864817</v>
      </c>
      <c r="I27" s="7">
        <f>'C-FTE Apr'!I27/2</f>
        <v>9.6151087301947626</v>
      </c>
      <c r="J27" s="7">
        <f>'C-FTE Apr'!J27/2</f>
        <v>9.6151087301947609</v>
      </c>
      <c r="K27" s="7">
        <f>'C-FTE Apr'!K27/2</f>
        <v>10.072971050680225</v>
      </c>
      <c r="L27" s="7">
        <f>'C-FTE Apr'!L27/2</f>
        <v>7.8981250283742668</v>
      </c>
      <c r="M27" s="7">
        <f>'C-FTE Apr'!M27/2</f>
        <v>6.1811413265537745</v>
      </c>
      <c r="N27" s="7">
        <f>'C-FTE Apr'!N27/2</f>
        <v>12.476748233228914</v>
      </c>
      <c r="O27" s="7">
        <f>'C-FTE Apr'!O27/2</f>
        <v>12.018885912743452</v>
      </c>
      <c r="P27" s="7">
        <f>'C-FTE Apr'!P27/2</f>
        <v>9.7295743103161278</v>
      </c>
      <c r="Q27" s="7">
        <f>'C-FTE Apr'!Q27/2</f>
        <v>9.7295743103161261</v>
      </c>
      <c r="R27" s="7">
        <f>'C-FTE Apr'!R27/2</f>
        <v>10.187436630801592</v>
      </c>
      <c r="S27" s="7">
        <f>'C-FTE Apr'!S27/2</f>
        <v>8.1270561886170007</v>
      </c>
      <c r="T27" s="7">
        <f>'C-FTE Apr'!T27/2</f>
        <v>6.2956069066751414</v>
      </c>
      <c r="U27" s="7">
        <f>'C-FTE Apr'!U27/2</f>
        <v>12.820144973593017</v>
      </c>
      <c r="V27" s="7">
        <f>'C-FTE Apr'!V27/2</f>
        <v>12.476748233228916</v>
      </c>
      <c r="W27" s="7">
        <f>'C-FTE Apr'!W27/2</f>
        <v>10.072971050680227</v>
      </c>
      <c r="X27" s="7">
        <f>'C-FTE Apr'!X27/2</f>
        <v>10.187436630801592</v>
      </c>
      <c r="Y27" s="7">
        <f>'C-FTE Apr'!Y27/2</f>
        <v>10.759764531408424</v>
      </c>
      <c r="Z27" s="7">
        <f>'C-FTE Apr'!Z27/2</f>
        <v>8.5849185091024651</v>
      </c>
      <c r="AA27" s="7">
        <f>'C-FTE Apr'!AA27/2</f>
        <v>6.6390036470392397</v>
      </c>
      <c r="AB27" s="7">
        <f>'C-FTE Apr'!AB27/2</f>
        <v>13.735869614563944</v>
      </c>
      <c r="AC27" s="7">
        <f>'C-FTE Apr'!AC27/2</f>
        <v>13.392472874199843</v>
      </c>
      <c r="AD27" s="7">
        <f>'C-FTE Apr'!AD27/2</f>
        <v>10.874230111529789</v>
      </c>
      <c r="AE27" s="7">
        <f>'C-FTE Apr'!AE27/2</f>
        <v>10.988695691651156</v>
      </c>
      <c r="AF27" s="7">
        <f>'C-FTE Apr'!AF27/2</f>
        <v>0</v>
      </c>
    </row>
    <row r="28" spans="1:32" x14ac:dyDescent="0.25">
      <c r="A28" s="3" t="s">
        <v>33</v>
      </c>
      <c r="B28" s="7">
        <f>'C-FTE Apr'!B28/2</f>
        <v>11.217626851893888</v>
      </c>
      <c r="C28" s="7">
        <f>'C-FTE Apr'!C28/2</f>
        <v>9.7295743103161278</v>
      </c>
      <c r="D28" s="7">
        <f>'C-FTE Apr'!D28/2</f>
        <v>10.187436630801592</v>
      </c>
      <c r="E28" s="7">
        <f>'C-FTE Apr'!E28/2</f>
        <v>8.2415217687383659</v>
      </c>
      <c r="F28" s="7">
        <f>'C-FTE Apr'!F28/2</f>
        <v>6.2956069066751414</v>
      </c>
      <c r="G28" s="7">
        <f>'C-FTE Apr'!G28/2</f>
        <v>12.476748233228916</v>
      </c>
      <c r="H28" s="7">
        <f>'C-FTE Apr'!H28/2</f>
        <v>12.362282653107549</v>
      </c>
      <c r="I28" s="7">
        <f>'C-FTE Apr'!I28/2</f>
        <v>10.759764531408424</v>
      </c>
      <c r="J28" s="7">
        <f>'C-FTE Apr'!J28/2</f>
        <v>9.3861775699520287</v>
      </c>
      <c r="K28" s="7">
        <f>'C-FTE Apr'!K28/2</f>
        <v>9.95850547055886</v>
      </c>
      <c r="L28" s="7">
        <f>'C-FTE Apr'!L28/2</f>
        <v>8.012590608495632</v>
      </c>
      <c r="M28" s="7">
        <f>'C-FTE Apr'!M28/2</f>
        <v>6.2956069066751414</v>
      </c>
      <c r="N28" s="7">
        <f>'C-FTE Apr'!N28/2</f>
        <v>12.362282653107549</v>
      </c>
      <c r="O28" s="7">
        <f>'C-FTE Apr'!O28/2</f>
        <v>12.362282653107551</v>
      </c>
      <c r="P28" s="7">
        <f>'C-FTE Apr'!P28/2</f>
        <v>10.874230111529791</v>
      </c>
      <c r="Q28" s="7">
        <f>'C-FTE Apr'!Q28/2</f>
        <v>9.5006431500733939</v>
      </c>
      <c r="R28" s="7">
        <f>'C-FTE Apr'!R28/2</f>
        <v>10.072971050680225</v>
      </c>
      <c r="S28" s="7">
        <f>'C-FTE Apr'!S28/2</f>
        <v>8.2415217687383659</v>
      </c>
      <c r="T28" s="7">
        <f>'C-FTE Apr'!T28/2</f>
        <v>6.4100724867965075</v>
      </c>
      <c r="U28" s="7">
        <f>'C-FTE Apr'!U28/2</f>
        <v>12.70567939347165</v>
      </c>
      <c r="V28" s="7">
        <f>'C-FTE Apr'!V28/2</f>
        <v>12.820144973593015</v>
      </c>
      <c r="W28" s="7">
        <f>'C-FTE Apr'!W28/2</f>
        <v>11.332092432015257</v>
      </c>
      <c r="X28" s="7">
        <f>'C-FTE Apr'!X28/2</f>
        <v>9.95850547055886</v>
      </c>
      <c r="Y28" s="7">
        <f>'C-FTE Apr'!Y28/2</f>
        <v>10.645298951287057</v>
      </c>
      <c r="Z28" s="7">
        <f>'C-FTE Apr'!Z28/2</f>
        <v>8.6993840892238321</v>
      </c>
      <c r="AA28" s="7">
        <f>'C-FTE Apr'!AA28/2</f>
        <v>6.8679348072819719</v>
      </c>
      <c r="AB28" s="7">
        <f>'C-FTE Apr'!AB28/2</f>
        <v>13.621404034442577</v>
      </c>
      <c r="AC28" s="7">
        <f>'C-FTE Apr'!AC28/2</f>
        <v>13.735869614563944</v>
      </c>
      <c r="AD28" s="7">
        <f>'C-FTE Apr'!AD28/2</f>
        <v>12.133351492864817</v>
      </c>
      <c r="AE28" s="7">
        <f>'C-FTE Apr'!AE28/2</f>
        <v>10.759764531408424</v>
      </c>
      <c r="AF28" s="7">
        <f>'C-FTE Apr'!AF28/2</f>
        <v>0</v>
      </c>
    </row>
    <row r="29" spans="1:32" x14ac:dyDescent="0.25">
      <c r="A29" s="3" t="s">
        <v>34</v>
      </c>
      <c r="B29" s="7">
        <f>'C-FTE Apr'!B29/2</f>
        <v>12.362282653107549</v>
      </c>
      <c r="C29" s="7">
        <f>'C-FTE Apr'!C29/2</f>
        <v>10.645298951287057</v>
      </c>
      <c r="D29" s="7">
        <f>'C-FTE Apr'!D29/2</f>
        <v>10.530833371165691</v>
      </c>
      <c r="E29" s="7">
        <f>'C-FTE Apr'!E29/2</f>
        <v>9.0427808295879295</v>
      </c>
      <c r="F29" s="7">
        <f>'C-FTE Apr'!F29/2</f>
        <v>7.2113315476460711</v>
      </c>
      <c r="G29" s="7">
        <f>'C-FTE Apr'!G29/2</f>
        <v>13.850335194685313</v>
      </c>
      <c r="H29" s="7">
        <f>'C-FTE Apr'!H29/2</f>
        <v>12.820144973593013</v>
      </c>
      <c r="I29" s="7">
        <f>'C-FTE Apr'!I29/2</f>
        <v>12.018885912743452</v>
      </c>
      <c r="J29" s="7">
        <f>'C-FTE Apr'!J29/2</f>
        <v>10.301902210922957</v>
      </c>
      <c r="K29" s="7">
        <f>'C-FTE Apr'!K29/2</f>
        <v>10.187436630801592</v>
      </c>
      <c r="L29" s="7">
        <f>'C-FTE Apr'!L29/2</f>
        <v>8.8138496693451973</v>
      </c>
      <c r="M29" s="7">
        <f>'C-FTE Apr'!M29/2</f>
        <v>7.096865967524705</v>
      </c>
      <c r="N29" s="7">
        <f>'C-FTE Apr'!N29/2</f>
        <v>13.735869614563942</v>
      </c>
      <c r="O29" s="7">
        <f>'C-FTE Apr'!O29/2</f>
        <v>12.705679393471648</v>
      </c>
      <c r="P29" s="7">
        <f>'C-FTE Apr'!P29/2</f>
        <v>12.018885912743453</v>
      </c>
      <c r="Q29" s="7">
        <f>'C-FTE Apr'!Q29/2</f>
        <v>10.416367791044324</v>
      </c>
      <c r="R29" s="7">
        <f>'C-FTE Apr'!R29/2</f>
        <v>10.416367791044324</v>
      </c>
      <c r="S29" s="7">
        <f>'C-FTE Apr'!S29/2</f>
        <v>9.0427808295879295</v>
      </c>
      <c r="T29" s="7">
        <f>'C-FTE Apr'!T29/2</f>
        <v>7.2113315476460711</v>
      </c>
      <c r="U29" s="7">
        <f>'C-FTE Apr'!U29/2</f>
        <v>14.193731935049412</v>
      </c>
      <c r="V29" s="7">
        <f>'C-FTE Apr'!V29/2</f>
        <v>13.163541713957112</v>
      </c>
      <c r="W29" s="7">
        <f>'C-FTE Apr'!W29/2</f>
        <v>12.476748233228918</v>
      </c>
      <c r="X29" s="7">
        <f>'C-FTE Apr'!X29/2</f>
        <v>10.874230111529789</v>
      </c>
      <c r="Y29" s="7">
        <f>'C-FTE Apr'!Y29/2</f>
        <v>10.874230111529789</v>
      </c>
      <c r="Z29" s="7">
        <f>'C-FTE Apr'!Z29/2</f>
        <v>9.5006431500733957</v>
      </c>
      <c r="AA29" s="7">
        <f>'C-FTE Apr'!AA29/2</f>
        <v>7.6691938681315364</v>
      </c>
      <c r="AB29" s="7">
        <f>'C-FTE Apr'!AB29/2</f>
        <v>15.109456576020337</v>
      </c>
      <c r="AC29" s="7">
        <f>'C-FTE Apr'!AC29/2</f>
        <v>14.193731935049408</v>
      </c>
      <c r="AD29" s="7">
        <f>'C-FTE Apr'!AD29/2</f>
        <v>13.506938454321212</v>
      </c>
      <c r="AE29" s="7">
        <f>'C-FTE Apr'!AE29/2</f>
        <v>11.789954752500719</v>
      </c>
      <c r="AF29" s="7">
        <f>'C-FTE Apr'!AF29/2</f>
        <v>0</v>
      </c>
    </row>
    <row r="30" spans="1:32" x14ac:dyDescent="0.25">
      <c r="A30" s="3" t="s">
        <v>35</v>
      </c>
      <c r="B30" s="7">
        <f>'C-FTE Apr'!B30/2</f>
        <v>12.93461055371438</v>
      </c>
      <c r="C30" s="7">
        <f>'C-FTE Apr'!C30/2</f>
        <v>12.018885912743452</v>
      </c>
      <c r="D30" s="7">
        <f>'C-FTE Apr'!D30/2</f>
        <v>11.561023592257987</v>
      </c>
      <c r="E30" s="7">
        <f>'C-FTE Apr'!E30/2</f>
        <v>9.7295743103161278</v>
      </c>
      <c r="F30" s="7">
        <f>'C-FTE Apr'!F30/2</f>
        <v>8.1270561886170007</v>
      </c>
      <c r="G30" s="7">
        <f>'C-FTE Apr'!G30/2</f>
        <v>15.452853316384438</v>
      </c>
      <c r="H30" s="7">
        <f>'C-FTE Apr'!H30/2</f>
        <v>13.049076133835745</v>
      </c>
      <c r="I30" s="7">
        <f>'C-FTE Apr'!I30/2</f>
        <v>12.476748233228916</v>
      </c>
      <c r="J30" s="7">
        <f>'C-FTE Apr'!J30/2</f>
        <v>11.675489172379352</v>
      </c>
      <c r="K30" s="7">
        <f>'C-FTE Apr'!K30/2</f>
        <v>11.217626851893888</v>
      </c>
      <c r="L30" s="7">
        <f>'C-FTE Apr'!L30/2</f>
        <v>9.5006431500733939</v>
      </c>
      <c r="M30" s="7">
        <f>'C-FTE Apr'!M30/2</f>
        <v>8.0125906084956338</v>
      </c>
      <c r="N30" s="7">
        <f>'C-FTE Apr'!N30/2</f>
        <v>15.338387736263069</v>
      </c>
      <c r="O30" s="7">
        <f>'C-FTE Apr'!O30/2</f>
        <v>13.049076133835747</v>
      </c>
      <c r="P30" s="7">
        <f>'C-FTE Apr'!P30/2</f>
        <v>12.591213813350285</v>
      </c>
      <c r="Q30" s="7">
        <f>'C-FTE Apr'!Q30/2</f>
        <v>11.789954752500718</v>
      </c>
      <c r="R30" s="7">
        <f>'C-FTE Apr'!R30/2</f>
        <v>11.44655801213662</v>
      </c>
      <c r="S30" s="7">
        <f>'C-FTE Apr'!S30/2</f>
        <v>9.7295743103161278</v>
      </c>
      <c r="T30" s="7">
        <f>'C-FTE Apr'!T30/2</f>
        <v>8.1270561886170007</v>
      </c>
      <c r="U30" s="7">
        <f>'C-FTE Apr'!U30/2</f>
        <v>15.796250056748537</v>
      </c>
      <c r="V30" s="7">
        <f>'C-FTE Apr'!V30/2</f>
        <v>13.506938454321212</v>
      </c>
      <c r="W30" s="7">
        <f>'C-FTE Apr'!W30/2</f>
        <v>13.049076133835749</v>
      </c>
      <c r="X30" s="7">
        <f>'C-FTE Apr'!X30/2</f>
        <v>12.362282653107551</v>
      </c>
      <c r="Y30" s="7">
        <f>'C-FTE Apr'!Y30/2</f>
        <v>12.018885912743452</v>
      </c>
      <c r="Z30" s="7">
        <f>'C-FTE Apr'!Z30/2</f>
        <v>10.301902210922959</v>
      </c>
      <c r="AA30" s="7">
        <f>'C-FTE Apr'!AA30/2</f>
        <v>8.6993840892238321</v>
      </c>
      <c r="AB30" s="7">
        <f>'C-FTE Apr'!AB30/2</f>
        <v>16.940905857962196</v>
      </c>
      <c r="AC30" s="7">
        <f>'C-FTE Apr'!AC30/2</f>
        <v>14.537128675413506</v>
      </c>
      <c r="AD30" s="7">
        <f>'C-FTE Apr'!AD30/2</f>
        <v>14.079266354928043</v>
      </c>
      <c r="AE30" s="7">
        <f>'C-FTE Apr'!AE30/2</f>
        <v>13.392472874199845</v>
      </c>
      <c r="AF30" s="7">
        <f>'C-FTE Apr'!AF30/2</f>
        <v>0</v>
      </c>
    </row>
    <row r="31" spans="1:32" x14ac:dyDescent="0.25">
      <c r="A31" s="3" t="s">
        <v>36</v>
      </c>
      <c r="B31" s="7">
        <f>'C-FTE Apr'!B31/2</f>
        <v>12.705679393471648</v>
      </c>
      <c r="C31" s="7">
        <f>'C-FTE Apr'!C31/2</f>
        <v>12.133351492864819</v>
      </c>
      <c r="D31" s="7">
        <f>'C-FTE Apr'!D31/2</f>
        <v>11.789954752500719</v>
      </c>
      <c r="E31" s="7">
        <f>'C-FTE Apr'!E31/2</f>
        <v>9.8440398904374931</v>
      </c>
      <c r="F31" s="7">
        <f>'C-FTE Apr'!F31/2</f>
        <v>8.0125906084956355</v>
      </c>
      <c r="G31" s="7">
        <f>'C-FTE Apr'!G31/2</f>
        <v>15.796250056748537</v>
      </c>
      <c r="H31" s="7">
        <f>'C-FTE Apr'!H31/2</f>
        <v>12.934610553714379</v>
      </c>
      <c r="I31" s="7">
        <f>'C-FTE Apr'!I31/2</f>
        <v>12.247817072986184</v>
      </c>
      <c r="J31" s="7">
        <f>'C-FTE Apr'!J31/2</f>
        <v>11.789954752500719</v>
      </c>
      <c r="K31" s="7">
        <f>'C-FTE Apr'!K31/2</f>
        <v>11.44655801213662</v>
      </c>
      <c r="L31" s="7">
        <f>'C-FTE Apr'!L31/2</f>
        <v>9.7295743103161261</v>
      </c>
      <c r="M31" s="7">
        <f>'C-FTE Apr'!M31/2</f>
        <v>7.8981250283742686</v>
      </c>
      <c r="N31" s="7">
        <f>'C-FTE Apr'!N31/2</f>
        <v>15.681784476627167</v>
      </c>
      <c r="O31" s="7">
        <f>'C-FTE Apr'!O31/2</f>
        <v>12.934610553714382</v>
      </c>
      <c r="P31" s="7">
        <f>'C-FTE Apr'!P31/2</f>
        <v>12.247817072986185</v>
      </c>
      <c r="Q31" s="7">
        <f>'C-FTE Apr'!Q31/2</f>
        <v>11.904420332622085</v>
      </c>
      <c r="R31" s="7">
        <f>'C-FTE Apr'!R31/2</f>
        <v>11.675489172379352</v>
      </c>
      <c r="S31" s="7">
        <f>'C-FTE Apr'!S31/2</f>
        <v>9.8440398904374931</v>
      </c>
      <c r="T31" s="7">
        <f>'C-FTE Apr'!T31/2</f>
        <v>8.1270561886170007</v>
      </c>
      <c r="U31" s="7">
        <f>'C-FTE Apr'!U31/2</f>
        <v>16.139646797112636</v>
      </c>
      <c r="V31" s="7">
        <f>'C-FTE Apr'!V31/2</f>
        <v>13.392472874199845</v>
      </c>
      <c r="W31" s="7">
        <f>'C-FTE Apr'!W31/2</f>
        <v>12.820144973593015</v>
      </c>
      <c r="X31" s="7">
        <f>'C-FTE Apr'!X31/2</f>
        <v>12.476748233228918</v>
      </c>
      <c r="Y31" s="7">
        <f>'C-FTE Apr'!Y31/2</f>
        <v>12.247817072986184</v>
      </c>
      <c r="Z31" s="7">
        <f>'C-FTE Apr'!Z31/2</f>
        <v>10.416367791044324</v>
      </c>
      <c r="AA31" s="7">
        <f>'C-FTE Apr'!AA31/2</f>
        <v>8.5849185091024651</v>
      </c>
      <c r="AB31" s="7">
        <f>'C-FTE Apr'!AB31/2</f>
        <v>17.284302598326295</v>
      </c>
      <c r="AC31" s="7">
        <f>'C-FTE Apr'!AC31/2</f>
        <v>14.308197515170773</v>
      </c>
      <c r="AD31" s="7">
        <f>'C-FTE Apr'!AD31/2</f>
        <v>13.850335194685311</v>
      </c>
      <c r="AE31" s="7">
        <f>'C-FTE Apr'!AE31/2</f>
        <v>13.506938454321213</v>
      </c>
      <c r="AF31" s="7">
        <f>'C-FTE Apr'!AF31/2</f>
        <v>0</v>
      </c>
    </row>
    <row r="32" spans="1:32" x14ac:dyDescent="0.25">
      <c r="A32" s="3" t="s">
        <v>37</v>
      </c>
      <c r="B32" s="7">
        <f>'C-FTE Apr'!B32/2</f>
        <v>11.904420332622085</v>
      </c>
      <c r="C32" s="7">
        <f>'C-FTE Apr'!C32/2</f>
        <v>11.332092432015255</v>
      </c>
      <c r="D32" s="7">
        <f>'C-FTE Apr'!D32/2</f>
        <v>11.332092432015255</v>
      </c>
      <c r="E32" s="7">
        <f>'C-FTE Apr'!E32/2</f>
        <v>9.2717119898306617</v>
      </c>
      <c r="F32" s="7">
        <f>'C-FTE Apr'!F32/2</f>
        <v>7.4402627078888042</v>
      </c>
      <c r="G32" s="7">
        <f>'C-FTE Apr'!G32/2</f>
        <v>15.338387736263073</v>
      </c>
      <c r="H32" s="7">
        <f>'C-FTE Apr'!H32/2</f>
        <v>12.362282653107549</v>
      </c>
      <c r="I32" s="7">
        <f>'C-FTE Apr'!I32/2</f>
        <v>11.561023592257987</v>
      </c>
      <c r="J32" s="7">
        <f>'C-FTE Apr'!J32/2</f>
        <v>10.988695691651156</v>
      </c>
      <c r="K32" s="7">
        <f>'C-FTE Apr'!K32/2</f>
        <v>10.988695691651156</v>
      </c>
      <c r="L32" s="7">
        <f>'C-FTE Apr'!L32/2</f>
        <v>9.0427808295879295</v>
      </c>
      <c r="M32" s="7">
        <f>'C-FTE Apr'!M32/2</f>
        <v>7.3257971277674372</v>
      </c>
      <c r="N32" s="7">
        <f>'C-FTE Apr'!N32/2</f>
        <v>15.223922156141704</v>
      </c>
      <c r="O32" s="7">
        <f>'C-FTE Apr'!O32/2</f>
        <v>12.247817072986184</v>
      </c>
      <c r="P32" s="7">
        <f>'C-FTE Apr'!P32/2</f>
        <v>11.561023592257987</v>
      </c>
      <c r="Q32" s="7">
        <f>'C-FTE Apr'!Q32/2</f>
        <v>11.103161271772519</v>
      </c>
      <c r="R32" s="7">
        <f>'C-FTE Apr'!R32/2</f>
        <v>11.21762685189389</v>
      </c>
      <c r="S32" s="7">
        <f>'C-FTE Apr'!S32/2</f>
        <v>9.2717119898306617</v>
      </c>
      <c r="T32" s="7">
        <f>'C-FTE Apr'!T32/2</f>
        <v>7.5547282880101694</v>
      </c>
      <c r="U32" s="7">
        <f>'C-FTE Apr'!U32/2</f>
        <v>15.68178447662717</v>
      </c>
      <c r="V32" s="7">
        <f>'C-FTE Apr'!V32/2</f>
        <v>12.705679393471648</v>
      </c>
      <c r="W32" s="7">
        <f>'C-FTE Apr'!W32/2</f>
        <v>12.018885912743453</v>
      </c>
      <c r="X32" s="7">
        <f>'C-FTE Apr'!X32/2</f>
        <v>11.675489172379352</v>
      </c>
      <c r="Y32" s="7">
        <f>'C-FTE Apr'!Y32/2</f>
        <v>11.789954752500719</v>
      </c>
      <c r="Z32" s="7">
        <f>'C-FTE Apr'!Z32/2</f>
        <v>9.8440398904374931</v>
      </c>
      <c r="AA32" s="7">
        <f>'C-FTE Apr'!AA32/2</f>
        <v>8.0125906084956338</v>
      </c>
      <c r="AB32" s="7">
        <f>'C-FTE Apr'!AB32/2</f>
        <v>16.711974697719466</v>
      </c>
      <c r="AC32" s="7">
        <f>'C-FTE Apr'!AC32/2</f>
        <v>13.621404034442577</v>
      </c>
      <c r="AD32" s="7">
        <f>'C-FTE Apr'!AD32/2</f>
        <v>12.934610553714382</v>
      </c>
      <c r="AE32" s="7">
        <f>'C-FTE Apr'!AE32/2</f>
        <v>12.591213813350283</v>
      </c>
      <c r="AF32" s="7">
        <f>'C-FTE Apr'!AF32/2</f>
        <v>0</v>
      </c>
    </row>
    <row r="33" spans="1:32" x14ac:dyDescent="0.25">
      <c r="A33" s="3" t="s">
        <v>38</v>
      </c>
      <c r="B33" s="7">
        <f>'C-FTE Apr'!B33/2</f>
        <v>11.675489172379354</v>
      </c>
      <c r="C33" s="7">
        <f>'C-FTE Apr'!C33/2</f>
        <v>10.645298951287057</v>
      </c>
      <c r="D33" s="7">
        <f>'C-FTE Apr'!D33/2</f>
        <v>10.874230111529789</v>
      </c>
      <c r="E33" s="7">
        <f>'C-FTE Apr'!E33/2</f>
        <v>8.5849185091024651</v>
      </c>
      <c r="F33" s="7">
        <f>'C-FTE Apr'!F33/2</f>
        <v>7.3257971277674381</v>
      </c>
      <c r="G33" s="7">
        <f>'C-FTE Apr'!G33/2</f>
        <v>14.537128675413509</v>
      </c>
      <c r="H33" s="7">
        <f>'C-FTE Apr'!H33/2</f>
        <v>11.904420332622085</v>
      </c>
      <c r="I33" s="7">
        <f>'C-FTE Apr'!I33/2</f>
        <v>11.217626851893888</v>
      </c>
      <c r="J33" s="7">
        <f>'C-FTE Apr'!J33/2</f>
        <v>10.301902210922957</v>
      </c>
      <c r="K33" s="7">
        <f>'C-FTE Apr'!K33/2</f>
        <v>10.530833371165691</v>
      </c>
      <c r="L33" s="7">
        <f>'C-FTE Apr'!L33/2</f>
        <v>8.3559873488597312</v>
      </c>
      <c r="M33" s="7">
        <f>'C-FTE Apr'!M33/2</f>
        <v>7.2113315476460711</v>
      </c>
      <c r="N33" s="7">
        <f>'C-FTE Apr'!N33/2</f>
        <v>14.422663095292139</v>
      </c>
      <c r="O33" s="7">
        <f>'C-FTE Apr'!O33/2</f>
        <v>11.904420332622086</v>
      </c>
      <c r="P33" s="7">
        <f>'C-FTE Apr'!P33/2</f>
        <v>11.21762685189389</v>
      </c>
      <c r="Q33" s="7">
        <f>'C-FTE Apr'!Q33/2</f>
        <v>10.416367791044324</v>
      </c>
      <c r="R33" s="7">
        <f>'C-FTE Apr'!R33/2</f>
        <v>10.759764531408424</v>
      </c>
      <c r="S33" s="7">
        <f>'C-FTE Apr'!S33/2</f>
        <v>8.5849185091024651</v>
      </c>
      <c r="T33" s="7">
        <f>'C-FTE Apr'!T33/2</f>
        <v>7.4402627078888033</v>
      </c>
      <c r="U33" s="7">
        <f>'C-FTE Apr'!U33/2</f>
        <v>14.880525415777608</v>
      </c>
      <c r="V33" s="7">
        <f>'C-FTE Apr'!V33/2</f>
        <v>12.362282653107549</v>
      </c>
      <c r="W33" s="7">
        <f>'C-FTE Apr'!W33/2</f>
        <v>11.789954752500721</v>
      </c>
      <c r="X33" s="7">
        <f>'C-FTE Apr'!X33/2</f>
        <v>10.874230111529789</v>
      </c>
      <c r="Y33" s="7">
        <f>'C-FTE Apr'!Y33/2</f>
        <v>11.332092432015255</v>
      </c>
      <c r="Z33" s="7">
        <f>'C-FTE Apr'!Z33/2</f>
        <v>9.0427808295879295</v>
      </c>
      <c r="AA33" s="7">
        <f>'C-FTE Apr'!AA33/2</f>
        <v>7.8981250283742694</v>
      </c>
      <c r="AB33" s="7">
        <f>'C-FTE Apr'!AB33/2</f>
        <v>15.910715636869902</v>
      </c>
      <c r="AC33" s="7">
        <f>'C-FTE Apr'!AC33/2</f>
        <v>13.163541713957112</v>
      </c>
      <c r="AD33" s="7">
        <f>'C-FTE Apr'!AD33/2</f>
        <v>12.705679393471648</v>
      </c>
      <c r="AE33" s="7">
        <f>'C-FTE Apr'!AE33/2</f>
        <v>11.789954752500719</v>
      </c>
      <c r="AF33" s="7">
        <f>'C-FTE Apr'!AF33/2</f>
        <v>0</v>
      </c>
    </row>
    <row r="34" spans="1:32" x14ac:dyDescent="0.25">
      <c r="A34" s="3" t="s">
        <v>39</v>
      </c>
      <c r="B34" s="7">
        <f>'C-FTE Apr'!B34/2</f>
        <v>12.018885912743452</v>
      </c>
      <c r="C34" s="7">
        <f>'C-FTE Apr'!C34/2</f>
        <v>10.874230111529789</v>
      </c>
      <c r="D34" s="7">
        <f>'C-FTE Apr'!D34/2</f>
        <v>10.759764531408424</v>
      </c>
      <c r="E34" s="7">
        <f>'C-FTE Apr'!E34/2</f>
        <v>8.4704529289810981</v>
      </c>
      <c r="F34" s="7">
        <f>'C-FTE Apr'!F34/2</f>
        <v>7.5547282880101694</v>
      </c>
      <c r="G34" s="7">
        <f>'C-FTE Apr'!G34/2</f>
        <v>14.422663095292142</v>
      </c>
      <c r="H34" s="7">
        <f>'C-FTE Apr'!H34/2</f>
        <v>12.133351492864817</v>
      </c>
      <c r="I34" s="7">
        <f>'C-FTE Apr'!I34/2</f>
        <v>11.561023592257987</v>
      </c>
      <c r="J34" s="7">
        <f>'C-FTE Apr'!J34/2</f>
        <v>10.53083337116569</v>
      </c>
      <c r="K34" s="7">
        <f>'C-FTE Apr'!K34/2</f>
        <v>10.416367791044324</v>
      </c>
      <c r="L34" s="7">
        <f>'C-FTE Apr'!L34/2</f>
        <v>8.2415217687383659</v>
      </c>
      <c r="M34" s="7">
        <f>'C-FTE Apr'!M34/2</f>
        <v>7.4402627078888024</v>
      </c>
      <c r="N34" s="7">
        <f>'C-FTE Apr'!N34/2</f>
        <v>14.308197515170773</v>
      </c>
      <c r="O34" s="7">
        <f>'C-FTE Apr'!O34/2</f>
        <v>12.018885912743452</v>
      </c>
      <c r="P34" s="7">
        <f>'C-FTE Apr'!P34/2</f>
        <v>11.561023592257987</v>
      </c>
      <c r="Q34" s="7">
        <f>'C-FTE Apr'!Q34/2</f>
        <v>10.645298951287057</v>
      </c>
      <c r="R34" s="7">
        <f>'C-FTE Apr'!R34/2</f>
        <v>10.645298951287058</v>
      </c>
      <c r="S34" s="7">
        <f>'C-FTE Apr'!S34/2</f>
        <v>8.4704529289810981</v>
      </c>
      <c r="T34" s="7">
        <f>'C-FTE Apr'!T34/2</f>
        <v>7.6691938681315364</v>
      </c>
      <c r="U34" s="7">
        <f>'C-FTE Apr'!U34/2</f>
        <v>14.766059835656241</v>
      </c>
      <c r="V34" s="7">
        <f>'C-FTE Apr'!V34/2</f>
        <v>12.476748233228916</v>
      </c>
      <c r="W34" s="7">
        <f>'C-FTE Apr'!W34/2</f>
        <v>12.133351492864819</v>
      </c>
      <c r="X34" s="7">
        <f>'C-FTE Apr'!X34/2</f>
        <v>11.103161271772523</v>
      </c>
      <c r="Y34" s="7">
        <f>'C-FTE Apr'!Y34/2</f>
        <v>11.217626851893888</v>
      </c>
      <c r="Z34" s="7">
        <f>'C-FTE Apr'!Z34/2</f>
        <v>8.9283152494665643</v>
      </c>
      <c r="AA34" s="7">
        <f>'C-FTE Apr'!AA34/2</f>
        <v>8.1270561886170007</v>
      </c>
      <c r="AB34" s="7">
        <f>'C-FTE Apr'!AB34/2</f>
        <v>15.796250056748537</v>
      </c>
      <c r="AC34" s="7">
        <f>'C-FTE Apr'!AC34/2</f>
        <v>13.392472874199843</v>
      </c>
      <c r="AD34" s="7">
        <f>'C-FTE Apr'!AD34/2</f>
        <v>13.049076133835747</v>
      </c>
      <c r="AE34" s="7">
        <f>'C-FTE Apr'!AE34/2</f>
        <v>12.018885912743452</v>
      </c>
      <c r="AF34" s="7">
        <f>'C-FTE Apr'!AF34/2</f>
        <v>0</v>
      </c>
    </row>
    <row r="35" spans="1:32" x14ac:dyDescent="0.25">
      <c r="A35" s="3" t="s">
        <v>40</v>
      </c>
      <c r="B35" s="7">
        <f>'C-FTE Apr'!B35/2</f>
        <v>12.018885912743452</v>
      </c>
      <c r="C35" s="7">
        <f>'C-FTE Apr'!C35/2</f>
        <v>11.332092432015255</v>
      </c>
      <c r="D35" s="7">
        <f>'C-FTE Apr'!D35/2</f>
        <v>11.103161271772523</v>
      </c>
      <c r="E35" s="7">
        <f>'C-FTE Apr'!E35/2</f>
        <v>8.6993840892238321</v>
      </c>
      <c r="F35" s="7">
        <f>'C-FTE Apr'!F35/2</f>
        <v>8.1270561886170007</v>
      </c>
      <c r="G35" s="7">
        <f>'C-FTE Apr'!G35/2</f>
        <v>14.880525415777608</v>
      </c>
      <c r="H35" s="7">
        <f>'C-FTE Apr'!H35/2</f>
        <v>12.476748233228914</v>
      </c>
      <c r="I35" s="7">
        <f>'C-FTE Apr'!I35/2</f>
        <v>11.561023592257987</v>
      </c>
      <c r="J35" s="7">
        <f>'C-FTE Apr'!J35/2</f>
        <v>10.988695691651156</v>
      </c>
      <c r="K35" s="7">
        <f>'C-FTE Apr'!K35/2</f>
        <v>10.759764531408424</v>
      </c>
      <c r="L35" s="7">
        <f>'C-FTE Apr'!L35/2</f>
        <v>8.5849185091024633</v>
      </c>
      <c r="M35" s="7">
        <f>'C-FTE Apr'!M35/2</f>
        <v>7.8981250283742686</v>
      </c>
      <c r="N35" s="7">
        <f>'C-FTE Apr'!N35/2</f>
        <v>14.766059835656238</v>
      </c>
      <c r="O35" s="7">
        <f>'C-FTE Apr'!O35/2</f>
        <v>12.476748233228916</v>
      </c>
      <c r="P35" s="7">
        <f>'C-FTE Apr'!P35/2</f>
        <v>11.675489172379354</v>
      </c>
      <c r="Q35" s="7">
        <f>'C-FTE Apr'!Q35/2</f>
        <v>10.988695691651154</v>
      </c>
      <c r="R35" s="7">
        <f>'C-FTE Apr'!R35/2</f>
        <v>10.988695691651156</v>
      </c>
      <c r="S35" s="7">
        <f>'C-FTE Apr'!S35/2</f>
        <v>8.6993840892238321</v>
      </c>
      <c r="T35" s="7">
        <f>'C-FTE Apr'!T35/2</f>
        <v>8.1270561886170007</v>
      </c>
      <c r="U35" s="7">
        <f>'C-FTE Apr'!U35/2</f>
        <v>15.223922156141708</v>
      </c>
      <c r="V35" s="7">
        <f>'C-FTE Apr'!V35/2</f>
        <v>12.93461055371438</v>
      </c>
      <c r="W35" s="7">
        <f>'C-FTE Apr'!W35/2</f>
        <v>12.133351492864819</v>
      </c>
      <c r="X35" s="7">
        <f>'C-FTE Apr'!X35/2</f>
        <v>11.561023592257987</v>
      </c>
      <c r="Y35" s="7">
        <f>'C-FTE Apr'!Y35/2</f>
        <v>11.561023592257987</v>
      </c>
      <c r="Z35" s="7">
        <f>'C-FTE Apr'!Z35/2</f>
        <v>9.2717119898306617</v>
      </c>
      <c r="AA35" s="7">
        <f>'C-FTE Apr'!AA35/2</f>
        <v>8.6993840892238321</v>
      </c>
      <c r="AB35" s="7">
        <f>'C-FTE Apr'!AB35/2</f>
        <v>16.254112377234001</v>
      </c>
      <c r="AC35" s="7">
        <f>'C-FTE Apr'!AC35/2</f>
        <v>13.850335194685309</v>
      </c>
      <c r="AD35" s="7">
        <f>'C-FTE Apr'!AD35/2</f>
        <v>13.049076133835747</v>
      </c>
      <c r="AE35" s="7">
        <f>'C-FTE Apr'!AE35/2</f>
        <v>12.476748233228916</v>
      </c>
      <c r="AF35" s="7">
        <f>'C-FTE Apr'!AF35/2</f>
        <v>0</v>
      </c>
    </row>
    <row r="36" spans="1:32" x14ac:dyDescent="0.25">
      <c r="A36" s="3" t="s">
        <v>41</v>
      </c>
      <c r="B36" s="7">
        <f>'C-FTE Apr'!B36/2</f>
        <v>11.789954752500719</v>
      </c>
      <c r="C36" s="7">
        <f>'C-FTE Apr'!C36/2</f>
        <v>10.874230111529789</v>
      </c>
      <c r="D36" s="7">
        <f>'C-FTE Apr'!D36/2</f>
        <v>11.103161271772523</v>
      </c>
      <c r="E36" s="7">
        <f>'C-FTE Apr'!E36/2</f>
        <v>8.5849185091024651</v>
      </c>
      <c r="F36" s="7">
        <f>'C-FTE Apr'!F36/2</f>
        <v>8.0125906084956355</v>
      </c>
      <c r="G36" s="7">
        <f>'C-FTE Apr'!G36/2</f>
        <v>14.19373193504941</v>
      </c>
      <c r="H36" s="7">
        <f>'C-FTE Apr'!H36/2</f>
        <v>12.476748233228914</v>
      </c>
      <c r="I36" s="7">
        <f>'C-FTE Apr'!I36/2</f>
        <v>11.332092432015253</v>
      </c>
      <c r="J36" s="7">
        <f>'C-FTE Apr'!J36/2</f>
        <v>10.53083337116569</v>
      </c>
      <c r="K36" s="7">
        <f>'C-FTE Apr'!K36/2</f>
        <v>10.874230111529789</v>
      </c>
      <c r="L36" s="7">
        <f>'C-FTE Apr'!L36/2</f>
        <v>8.4704529289810981</v>
      </c>
      <c r="M36" s="7">
        <f>'C-FTE Apr'!M36/2</f>
        <v>7.8981250283742686</v>
      </c>
      <c r="N36" s="7">
        <f>'C-FTE Apr'!N36/2</f>
        <v>14.079266354928041</v>
      </c>
      <c r="O36" s="7">
        <f>'C-FTE Apr'!O36/2</f>
        <v>12.476748233228916</v>
      </c>
      <c r="P36" s="7">
        <f>'C-FTE Apr'!P36/2</f>
        <v>11.332092432015255</v>
      </c>
      <c r="Q36" s="7">
        <f>'C-FTE Apr'!Q36/2</f>
        <v>10.645298951287057</v>
      </c>
      <c r="R36" s="7">
        <f>'C-FTE Apr'!R36/2</f>
        <v>10.988695691651156</v>
      </c>
      <c r="S36" s="7">
        <f>'C-FTE Apr'!S36/2</f>
        <v>8.5849185091024651</v>
      </c>
      <c r="T36" s="7">
        <f>'C-FTE Apr'!T36/2</f>
        <v>8.1270561886170007</v>
      </c>
      <c r="U36" s="7">
        <f>'C-FTE Apr'!U36/2</f>
        <v>14.537128675413509</v>
      </c>
      <c r="V36" s="7">
        <f>'C-FTE Apr'!V36/2</f>
        <v>12.93461055371438</v>
      </c>
      <c r="W36" s="7">
        <f>'C-FTE Apr'!W36/2</f>
        <v>11.904420332622086</v>
      </c>
      <c r="X36" s="7">
        <f>'C-FTE Apr'!X36/2</f>
        <v>11.217626851893888</v>
      </c>
      <c r="Y36" s="7">
        <f>'C-FTE Apr'!Y36/2</f>
        <v>11.561023592257987</v>
      </c>
      <c r="Z36" s="7">
        <f>'C-FTE Apr'!Z36/2</f>
        <v>9.1572464097092965</v>
      </c>
      <c r="AA36" s="7">
        <f>'C-FTE Apr'!AA36/2</f>
        <v>8.5849185091024651</v>
      </c>
      <c r="AB36" s="7">
        <f>'C-FTE Apr'!AB36/2</f>
        <v>15.567318896505803</v>
      </c>
      <c r="AC36" s="7">
        <f>'C-FTE Apr'!AC36/2</f>
        <v>13.850335194685309</v>
      </c>
      <c r="AD36" s="7">
        <f>'C-FTE Apr'!AD36/2</f>
        <v>12.820144973593015</v>
      </c>
      <c r="AE36" s="7">
        <f>'C-FTE Apr'!AE36/2</f>
        <v>12.133351492864817</v>
      </c>
      <c r="AF36" s="7">
        <f>'C-FTE Apr'!AF36/2</f>
        <v>0</v>
      </c>
    </row>
    <row r="37" spans="1:32" x14ac:dyDescent="0.25">
      <c r="A37" s="3" t="s">
        <v>42</v>
      </c>
      <c r="B37" s="7">
        <f>'C-FTE Apr'!B37/2</f>
        <v>11.217626851893888</v>
      </c>
      <c r="C37" s="7">
        <f>'C-FTE Apr'!C37/2</f>
        <v>10.530833371165691</v>
      </c>
      <c r="D37" s="7">
        <f>'C-FTE Apr'!D37/2</f>
        <v>10.530833371165691</v>
      </c>
      <c r="E37" s="7">
        <f>'C-FTE Apr'!E37/2</f>
        <v>8.0125906084956338</v>
      </c>
      <c r="F37" s="7">
        <f>'C-FTE Apr'!F37/2</f>
        <v>7.3257971277674381</v>
      </c>
      <c r="G37" s="7">
        <f>'C-FTE Apr'!G37/2</f>
        <v>13.049076133835749</v>
      </c>
      <c r="H37" s="7">
        <f>'C-FTE Apr'!H37/2</f>
        <v>11.904420332622085</v>
      </c>
      <c r="I37" s="7">
        <f>'C-FTE Apr'!I37/2</f>
        <v>10.874230111529791</v>
      </c>
      <c r="J37" s="7">
        <f>'C-FTE Apr'!J37/2</f>
        <v>10.187436630801592</v>
      </c>
      <c r="K37" s="7">
        <f>'C-FTE Apr'!K37/2</f>
        <v>10.301902210922957</v>
      </c>
      <c r="L37" s="7">
        <f>'C-FTE Apr'!L37/2</f>
        <v>7.8981250283742668</v>
      </c>
      <c r="M37" s="7">
        <f>'C-FTE Apr'!M37/2</f>
        <v>7.2113315476460711</v>
      </c>
      <c r="N37" s="7">
        <f>'C-FTE Apr'!N37/2</f>
        <v>12.93461055371438</v>
      </c>
      <c r="O37" s="7">
        <f>'C-FTE Apr'!O37/2</f>
        <v>11.904420332622086</v>
      </c>
      <c r="P37" s="7">
        <f>'C-FTE Apr'!P37/2</f>
        <v>10.874230111529791</v>
      </c>
      <c r="Q37" s="7">
        <f>'C-FTE Apr'!Q37/2</f>
        <v>10.301902210922957</v>
      </c>
      <c r="R37" s="7">
        <f>'C-FTE Apr'!R37/2</f>
        <v>10.416367791044324</v>
      </c>
      <c r="S37" s="7">
        <f>'C-FTE Apr'!S37/2</f>
        <v>8.0125906084956338</v>
      </c>
      <c r="T37" s="7">
        <f>'C-FTE Apr'!T37/2</f>
        <v>7.4402627078888033</v>
      </c>
      <c r="U37" s="7">
        <f>'C-FTE Apr'!U37/2</f>
        <v>13.278007294078479</v>
      </c>
      <c r="V37" s="7">
        <f>'C-FTE Apr'!V37/2</f>
        <v>12.362282653107549</v>
      </c>
      <c r="W37" s="7">
        <f>'C-FTE Apr'!W37/2</f>
        <v>11.332092432015257</v>
      </c>
      <c r="X37" s="7">
        <f>'C-FTE Apr'!X37/2</f>
        <v>10.759764531408424</v>
      </c>
      <c r="Y37" s="7">
        <f>'C-FTE Apr'!Y37/2</f>
        <v>10.988695691651156</v>
      </c>
      <c r="Z37" s="7">
        <f>'C-FTE Apr'!Z37/2</f>
        <v>8.4704529289810981</v>
      </c>
      <c r="AA37" s="7">
        <f>'C-FTE Apr'!AA37/2</f>
        <v>7.8981250283742694</v>
      </c>
      <c r="AB37" s="7">
        <f>'C-FTE Apr'!AB37/2</f>
        <v>14.193731935049408</v>
      </c>
      <c r="AC37" s="7">
        <f>'C-FTE Apr'!AC37/2</f>
        <v>13.278007294078479</v>
      </c>
      <c r="AD37" s="7">
        <f>'C-FTE Apr'!AD37/2</f>
        <v>12.247817072986184</v>
      </c>
      <c r="AE37" s="7">
        <f>'C-FTE Apr'!AE37/2</f>
        <v>11.675489172379352</v>
      </c>
      <c r="AF37" s="7">
        <f>'C-FTE Apr'!AF37/2</f>
        <v>0</v>
      </c>
    </row>
    <row r="38" spans="1:32" x14ac:dyDescent="0.25">
      <c r="A38" s="3" t="s">
        <v>43</v>
      </c>
      <c r="B38" s="7">
        <f>'C-FTE Apr'!B38/2</f>
        <v>10.301902210922957</v>
      </c>
      <c r="C38" s="7">
        <f>'C-FTE Apr'!C38/2</f>
        <v>9.95850547055886</v>
      </c>
      <c r="D38" s="7">
        <f>'C-FTE Apr'!D38/2</f>
        <v>9.2717119898306617</v>
      </c>
      <c r="E38" s="7">
        <f>'C-FTE Apr'!E38/2</f>
        <v>7.4402627078888033</v>
      </c>
      <c r="F38" s="7">
        <f>'C-FTE Apr'!F38/2</f>
        <v>6.4100724867965084</v>
      </c>
      <c r="G38" s="7">
        <f>'C-FTE Apr'!G38/2</f>
        <v>12.018885912743452</v>
      </c>
      <c r="H38" s="7">
        <f>'C-FTE Apr'!H38/2</f>
        <v>11.332092432015251</v>
      </c>
      <c r="I38" s="7">
        <f>'C-FTE Apr'!I38/2</f>
        <v>9.9585054705588583</v>
      </c>
      <c r="J38" s="7">
        <f>'C-FTE Apr'!J38/2</f>
        <v>9.7295743103161278</v>
      </c>
      <c r="K38" s="7">
        <f>'C-FTE Apr'!K38/2</f>
        <v>9.0427808295879295</v>
      </c>
      <c r="L38" s="7">
        <f>'C-FTE Apr'!L38/2</f>
        <v>7.3257971277674354</v>
      </c>
      <c r="M38" s="7">
        <f>'C-FTE Apr'!M38/2</f>
        <v>6.4100724867965075</v>
      </c>
      <c r="N38" s="7">
        <f>'C-FTE Apr'!N38/2</f>
        <v>11.904420332622085</v>
      </c>
      <c r="O38" s="7">
        <f>'C-FTE Apr'!O38/2</f>
        <v>11.332092432015255</v>
      </c>
      <c r="P38" s="7">
        <f>'C-FTE Apr'!P38/2</f>
        <v>9.9585054705588618</v>
      </c>
      <c r="Q38" s="7">
        <f>'C-FTE Apr'!Q38/2</f>
        <v>9.7295743103161261</v>
      </c>
      <c r="R38" s="7">
        <f>'C-FTE Apr'!R38/2</f>
        <v>9.1572464097092965</v>
      </c>
      <c r="S38" s="7">
        <f>'C-FTE Apr'!S38/2</f>
        <v>7.4402627078888033</v>
      </c>
      <c r="T38" s="7">
        <f>'C-FTE Apr'!T38/2</f>
        <v>6.5245380669178727</v>
      </c>
      <c r="U38" s="7">
        <f>'C-FTE Apr'!U38/2</f>
        <v>12.362282653107551</v>
      </c>
      <c r="V38" s="7">
        <f>'C-FTE Apr'!V38/2</f>
        <v>11.675489172379352</v>
      </c>
      <c r="W38" s="7">
        <f>'C-FTE Apr'!W38/2</f>
        <v>10.416367791044324</v>
      </c>
      <c r="X38" s="7">
        <f>'C-FTE Apr'!X38/2</f>
        <v>10.187436630801592</v>
      </c>
      <c r="Y38" s="7">
        <f>'C-FTE Apr'!Y38/2</f>
        <v>9.6151087301947609</v>
      </c>
      <c r="Z38" s="7">
        <f>'C-FTE Apr'!Z38/2</f>
        <v>7.8981250283742686</v>
      </c>
      <c r="AA38" s="7">
        <f>'C-FTE Apr'!AA38/2</f>
        <v>6.9824003874033389</v>
      </c>
      <c r="AB38" s="7">
        <f>'C-FTE Apr'!AB38/2</f>
        <v>13.163541713957112</v>
      </c>
      <c r="AC38" s="7">
        <f>'C-FTE Apr'!AC38/2</f>
        <v>12.591213813350281</v>
      </c>
      <c r="AD38" s="7">
        <f>'C-FTE Apr'!AD38/2</f>
        <v>11.217626851893888</v>
      </c>
      <c r="AE38" s="7">
        <f>'C-FTE Apr'!AE38/2</f>
        <v>11.103161271772523</v>
      </c>
      <c r="AF38" s="7">
        <f>'C-FTE Apr'!AF38/2</f>
        <v>0</v>
      </c>
    </row>
    <row r="39" spans="1:32" x14ac:dyDescent="0.25">
      <c r="A39" s="3" t="s">
        <v>44</v>
      </c>
      <c r="B39" s="7">
        <f>'C-FTE Apr'!B39/2</f>
        <v>9.5006431500733939</v>
      </c>
      <c r="C39" s="7">
        <f>'C-FTE Apr'!C39/2</f>
        <v>8.6993840892238303</v>
      </c>
      <c r="D39" s="7">
        <f>'C-FTE Apr'!D39/2</f>
        <v>7.8981250283742686</v>
      </c>
      <c r="E39" s="7">
        <f>'C-FTE Apr'!E39/2</f>
        <v>6.7534692271606058</v>
      </c>
      <c r="F39" s="7">
        <f>'C-FTE Apr'!F39/2</f>
        <v>6.0666757464324101</v>
      </c>
      <c r="G39" s="7">
        <f>'C-FTE Apr'!G39/2</f>
        <v>11.103161271772521</v>
      </c>
      <c r="H39" s="7">
        <f>'C-FTE Apr'!H39/2</f>
        <v>10.53083337116569</v>
      </c>
      <c r="I39" s="7">
        <f>'C-FTE Apr'!I39/2</f>
        <v>9.1572464097092965</v>
      </c>
      <c r="J39" s="7">
        <f>'C-FTE Apr'!J39/2</f>
        <v>8.4704529289810999</v>
      </c>
      <c r="K39" s="7">
        <f>'C-FTE Apr'!K39/2</f>
        <v>7.7836594482529016</v>
      </c>
      <c r="L39" s="7">
        <f>'C-FTE Apr'!L39/2</f>
        <v>6.6390036470392397</v>
      </c>
      <c r="M39" s="7">
        <f>'C-FTE Apr'!M39/2</f>
        <v>5.9522101663110423</v>
      </c>
      <c r="N39" s="7">
        <f>'C-FTE Apr'!N39/2</f>
        <v>10.988695691651154</v>
      </c>
      <c r="O39" s="7">
        <f>'C-FTE Apr'!O39/2</f>
        <v>10.416367791044324</v>
      </c>
      <c r="P39" s="7">
        <f>'C-FTE Apr'!P39/2</f>
        <v>9.2717119898306635</v>
      </c>
      <c r="Q39" s="7">
        <f>'C-FTE Apr'!Q39/2</f>
        <v>8.5849185091024651</v>
      </c>
      <c r="R39" s="7">
        <f>'C-FTE Apr'!R39/2</f>
        <v>7.7836594482529016</v>
      </c>
      <c r="S39" s="7">
        <f>'C-FTE Apr'!S39/2</f>
        <v>6.7534692271606058</v>
      </c>
      <c r="T39" s="7">
        <f>'C-FTE Apr'!T39/2</f>
        <v>6.1811413265537745</v>
      </c>
      <c r="U39" s="7">
        <f>'C-FTE Apr'!U39/2</f>
        <v>11.332092432015255</v>
      </c>
      <c r="V39" s="7">
        <f>'C-FTE Apr'!V39/2</f>
        <v>10.874230111529789</v>
      </c>
      <c r="W39" s="7">
        <f>'C-FTE Apr'!W39/2</f>
        <v>9.6151087301947626</v>
      </c>
      <c r="X39" s="7">
        <f>'C-FTE Apr'!X39/2</f>
        <v>8.9283152494665643</v>
      </c>
      <c r="Y39" s="7">
        <f>'C-FTE Apr'!Y39/2</f>
        <v>8.2415217687383659</v>
      </c>
      <c r="Z39" s="7">
        <f>'C-FTE Apr'!Z39/2</f>
        <v>7.2113315476460711</v>
      </c>
      <c r="AA39" s="7">
        <f>'C-FTE Apr'!AA39/2</f>
        <v>6.5245380669178736</v>
      </c>
      <c r="AB39" s="7">
        <f>'C-FTE Apr'!AB39/2</f>
        <v>12.133351492864817</v>
      </c>
      <c r="AC39" s="7">
        <f>'C-FTE Apr'!AC39/2</f>
        <v>11.675489172379352</v>
      </c>
      <c r="AD39" s="7">
        <f>'C-FTE Apr'!AD39/2</f>
        <v>10.416367791044324</v>
      </c>
      <c r="AE39" s="7">
        <f>'C-FTE Apr'!AE39/2</f>
        <v>9.7295743103161261</v>
      </c>
      <c r="AF39" s="7">
        <f>'C-FTE Apr'!AF39/2</f>
        <v>0</v>
      </c>
    </row>
    <row r="40" spans="1:32" x14ac:dyDescent="0.25">
      <c r="A40" s="3" t="s">
        <v>45</v>
      </c>
      <c r="B40" s="7">
        <f>'C-FTE Apr'!B40/2</f>
        <v>8.5849185091024651</v>
      </c>
      <c r="C40" s="7">
        <f>'C-FTE Apr'!C40/2</f>
        <v>7.8981250283742677</v>
      </c>
      <c r="D40" s="7">
        <f>'C-FTE Apr'!D40/2</f>
        <v>7.3257971277674372</v>
      </c>
      <c r="E40" s="7">
        <f>'C-FTE Apr'!E40/2</f>
        <v>5.9522101663110432</v>
      </c>
      <c r="F40" s="7">
        <f>'C-FTE Apr'!F40/2</f>
        <v>5.9522101663110432</v>
      </c>
      <c r="G40" s="7">
        <f>'C-FTE Apr'!G40/2</f>
        <v>10.187436630801592</v>
      </c>
      <c r="H40" s="7">
        <f>'C-FTE Apr'!H40/2</f>
        <v>9.2717119898306617</v>
      </c>
      <c r="I40" s="7">
        <f>'C-FTE Apr'!I40/2</f>
        <v>8.2415217687383677</v>
      </c>
      <c r="J40" s="7">
        <f>'C-FTE Apr'!J40/2</f>
        <v>7.6691938681315355</v>
      </c>
      <c r="K40" s="7">
        <f>'C-FTE Apr'!K40/2</f>
        <v>7.2113315476460711</v>
      </c>
      <c r="L40" s="7">
        <f>'C-FTE Apr'!L40/2</f>
        <v>5.8377445861896762</v>
      </c>
      <c r="M40" s="7">
        <f>'C-FTE Apr'!M40/2</f>
        <v>5.8377445861896762</v>
      </c>
      <c r="N40" s="7">
        <f>'C-FTE Apr'!N40/2</f>
        <v>10.072971050680225</v>
      </c>
      <c r="O40" s="7">
        <f>'C-FTE Apr'!O40/2</f>
        <v>9.2717119898306617</v>
      </c>
      <c r="P40" s="7">
        <f>'C-FTE Apr'!P40/2</f>
        <v>8.2415217687383677</v>
      </c>
      <c r="Q40" s="7">
        <f>'C-FTE Apr'!Q40/2</f>
        <v>7.6691938681315346</v>
      </c>
      <c r="R40" s="7">
        <f>'C-FTE Apr'!R40/2</f>
        <v>7.3257971277674372</v>
      </c>
      <c r="S40" s="7">
        <f>'C-FTE Apr'!S40/2</f>
        <v>5.9522101663110432</v>
      </c>
      <c r="T40" s="7">
        <f>'C-FTE Apr'!T40/2</f>
        <v>6.0666757464324093</v>
      </c>
      <c r="U40" s="7">
        <f>'C-FTE Apr'!U40/2</f>
        <v>10.301902210922957</v>
      </c>
      <c r="V40" s="7">
        <f>'C-FTE Apr'!V40/2</f>
        <v>9.6151087301947609</v>
      </c>
      <c r="W40" s="7">
        <f>'C-FTE Apr'!W40/2</f>
        <v>8.5849185091024651</v>
      </c>
      <c r="X40" s="7">
        <f>'C-FTE Apr'!X40/2</f>
        <v>8.1270561886170007</v>
      </c>
      <c r="Y40" s="7">
        <f>'C-FTE Apr'!Y40/2</f>
        <v>7.6691938681315355</v>
      </c>
      <c r="Z40" s="7">
        <f>'C-FTE Apr'!Z40/2</f>
        <v>6.2956069066751414</v>
      </c>
      <c r="AA40" s="7">
        <f>'C-FTE Apr'!AA40/2</f>
        <v>6.4100724867965084</v>
      </c>
      <c r="AB40" s="7">
        <f>'C-FTE Apr'!AB40/2</f>
        <v>11.103161271772521</v>
      </c>
      <c r="AC40" s="7">
        <f>'C-FTE Apr'!AC40/2</f>
        <v>10.301902210922957</v>
      </c>
      <c r="AD40" s="7">
        <f>'C-FTE Apr'!AD40/2</f>
        <v>9.2717119898306635</v>
      </c>
      <c r="AE40" s="7">
        <f>'C-FTE Apr'!AE40/2</f>
        <v>8.6993840892238303</v>
      </c>
      <c r="AF40" s="7">
        <f>'C-FTE Apr'!AF40/2</f>
        <v>0</v>
      </c>
    </row>
    <row r="41" spans="1:32" x14ac:dyDescent="0.25">
      <c r="A41" s="3" t="s">
        <v>46</v>
      </c>
      <c r="B41" s="7">
        <f>'C-FTE Apr'!B41/2</f>
        <v>7.6691938681315355</v>
      </c>
      <c r="C41" s="7">
        <f>'C-FTE Apr'!C41/2</f>
        <v>7.5547282880101703</v>
      </c>
      <c r="D41" s="7">
        <f>'C-FTE Apr'!D41/2</f>
        <v>7.096865967524705</v>
      </c>
      <c r="E41" s="7">
        <f>'C-FTE Apr'!E41/2</f>
        <v>5.3798822657042118</v>
      </c>
      <c r="F41" s="7">
        <f>'C-FTE Apr'!F41/2</f>
        <v>5.608813425946944</v>
      </c>
      <c r="G41" s="7">
        <f>'C-FTE Apr'!G41/2</f>
        <v>9.0427808295879295</v>
      </c>
      <c r="H41" s="7">
        <f>'C-FTE Apr'!H41/2</f>
        <v>8.2415217687383659</v>
      </c>
      <c r="I41" s="7">
        <f>'C-FTE Apr'!I41/2</f>
        <v>7.4402627078888033</v>
      </c>
      <c r="J41" s="7">
        <f>'C-FTE Apr'!J41/2</f>
        <v>7.4402627078888033</v>
      </c>
      <c r="K41" s="7">
        <f>'C-FTE Apr'!K41/2</f>
        <v>6.8679348072819719</v>
      </c>
      <c r="L41" s="7">
        <f>'C-FTE Apr'!L41/2</f>
        <v>5.2654166855828448</v>
      </c>
      <c r="M41" s="7">
        <f>'C-FTE Apr'!M41/2</f>
        <v>5.4943478458255779</v>
      </c>
      <c r="N41" s="7">
        <f>'C-FTE Apr'!N41/2</f>
        <v>9.0427808295879295</v>
      </c>
      <c r="O41" s="7">
        <f>'C-FTE Apr'!O41/2</f>
        <v>8.2415217687383677</v>
      </c>
      <c r="P41" s="7">
        <f>'C-FTE Apr'!P41/2</f>
        <v>7.4402627078888042</v>
      </c>
      <c r="Q41" s="7">
        <f>'C-FTE Apr'!Q41/2</f>
        <v>7.4402627078888024</v>
      </c>
      <c r="R41" s="7">
        <f>'C-FTE Apr'!R41/2</f>
        <v>6.9824003874033389</v>
      </c>
      <c r="S41" s="7">
        <f>'C-FTE Apr'!S41/2</f>
        <v>5.3798822657042118</v>
      </c>
      <c r="T41" s="7">
        <f>'C-FTE Apr'!T41/2</f>
        <v>5.723279006068311</v>
      </c>
      <c r="U41" s="7">
        <f>'C-FTE Apr'!U41/2</f>
        <v>9.2717119898306635</v>
      </c>
      <c r="V41" s="7">
        <f>'C-FTE Apr'!V41/2</f>
        <v>8.4704529289810981</v>
      </c>
      <c r="W41" s="7">
        <f>'C-FTE Apr'!W41/2</f>
        <v>7.7836594482529025</v>
      </c>
      <c r="X41" s="7">
        <f>'C-FTE Apr'!X41/2</f>
        <v>7.7836594482529025</v>
      </c>
      <c r="Y41" s="7">
        <f>'C-FTE Apr'!Y41/2</f>
        <v>7.3257971277674372</v>
      </c>
      <c r="Z41" s="7">
        <f>'C-FTE Apr'!Z41/2</f>
        <v>5.608813425946944</v>
      </c>
      <c r="AA41" s="7">
        <f>'C-FTE Apr'!AA41/2</f>
        <v>6.0666757464324093</v>
      </c>
      <c r="AB41" s="7">
        <f>'C-FTE Apr'!AB41/2</f>
        <v>9.95850547055886</v>
      </c>
      <c r="AC41" s="7">
        <f>'C-FTE Apr'!AC41/2</f>
        <v>9.1572464097092947</v>
      </c>
      <c r="AD41" s="7">
        <f>'C-FTE Apr'!AD41/2</f>
        <v>8.3559873488597329</v>
      </c>
      <c r="AE41" s="7">
        <f>'C-FTE Apr'!AE41/2</f>
        <v>8.4704529289810999</v>
      </c>
      <c r="AF41" s="7">
        <f>'C-FTE Apr'!AF41/2</f>
        <v>0</v>
      </c>
    </row>
    <row r="42" spans="1:32" x14ac:dyDescent="0.25">
      <c r="A42" s="3" t="s">
        <v>47</v>
      </c>
      <c r="B42" s="7">
        <f>'C-FTE Apr'!B42/2</f>
        <v>7.2113315476460711</v>
      </c>
      <c r="C42" s="7">
        <f>'C-FTE Apr'!C42/2</f>
        <v>7.0968659675247041</v>
      </c>
      <c r="D42" s="7">
        <f>'C-FTE Apr'!D42/2</f>
        <v>6.2956069066751414</v>
      </c>
      <c r="E42" s="7">
        <f>'C-FTE Apr'!E42/2</f>
        <v>4.6930887849760143</v>
      </c>
      <c r="F42" s="7">
        <f>'C-FTE Apr'!F42/2</f>
        <v>5.1509511054614796</v>
      </c>
      <c r="G42" s="7">
        <f>'C-FTE Apr'!G42/2</f>
        <v>8.0125906084956338</v>
      </c>
      <c r="H42" s="7">
        <f>'C-FTE Apr'!H42/2</f>
        <v>7.5547282880101694</v>
      </c>
      <c r="I42" s="7">
        <f>'C-FTE Apr'!I42/2</f>
        <v>6.9824003874033389</v>
      </c>
      <c r="J42" s="7">
        <f>'C-FTE Apr'!J42/2</f>
        <v>6.8679348072819719</v>
      </c>
      <c r="K42" s="7">
        <f>'C-FTE Apr'!K42/2</f>
        <v>6.0666757464324084</v>
      </c>
      <c r="L42" s="7">
        <f>'C-FTE Apr'!L42/2</f>
        <v>4.5786232048546482</v>
      </c>
      <c r="M42" s="7">
        <f>'C-FTE Apr'!M42/2</f>
        <v>5.0364855253401126</v>
      </c>
      <c r="N42" s="7">
        <f>'C-FTE Apr'!N42/2</f>
        <v>8.0125906084956338</v>
      </c>
      <c r="O42" s="7">
        <f>'C-FTE Apr'!O42/2</f>
        <v>7.5547282880101694</v>
      </c>
      <c r="P42" s="7">
        <f>'C-FTE Apr'!P42/2</f>
        <v>6.9824003874033389</v>
      </c>
      <c r="Q42" s="7">
        <f>'C-FTE Apr'!Q42/2</f>
        <v>6.8679348072819719</v>
      </c>
      <c r="R42" s="7">
        <f>'C-FTE Apr'!R42/2</f>
        <v>6.1811413265537754</v>
      </c>
      <c r="S42" s="7">
        <f>'C-FTE Apr'!S42/2</f>
        <v>4.6930887849760143</v>
      </c>
      <c r="T42" s="7">
        <f>'C-FTE Apr'!T42/2</f>
        <v>5.2654166855828457</v>
      </c>
      <c r="U42" s="7">
        <f>'C-FTE Apr'!U42/2</f>
        <v>8.2415217687383677</v>
      </c>
      <c r="V42" s="7">
        <f>'C-FTE Apr'!V42/2</f>
        <v>7.7836594482529016</v>
      </c>
      <c r="W42" s="7">
        <f>'C-FTE Apr'!W42/2</f>
        <v>7.3257971277674372</v>
      </c>
      <c r="X42" s="7">
        <f>'C-FTE Apr'!X42/2</f>
        <v>7.2113315476460711</v>
      </c>
      <c r="Y42" s="7">
        <f>'C-FTE Apr'!Y42/2</f>
        <v>6.5245380669178745</v>
      </c>
      <c r="Z42" s="7">
        <f>'C-FTE Apr'!Z42/2</f>
        <v>5.0364855253401126</v>
      </c>
      <c r="AA42" s="7">
        <f>'C-FTE Apr'!AA42/2</f>
        <v>5.608813425946944</v>
      </c>
      <c r="AB42" s="7">
        <f>'C-FTE Apr'!AB42/2</f>
        <v>8.8138496693451973</v>
      </c>
      <c r="AC42" s="7">
        <f>'C-FTE Apr'!AC42/2</f>
        <v>8.3559873488597312</v>
      </c>
      <c r="AD42" s="7">
        <f>'C-FTE Apr'!AD42/2</f>
        <v>7.8981250283742686</v>
      </c>
      <c r="AE42" s="7">
        <f>'C-FTE Apr'!AE42/2</f>
        <v>7.7836594482529016</v>
      </c>
      <c r="AF42" s="7">
        <f>'C-FTE Apr'!AF42/2</f>
        <v>0</v>
      </c>
    </row>
    <row r="43" spans="1:32" x14ac:dyDescent="0.25">
      <c r="A43" s="3" t="s">
        <v>48</v>
      </c>
      <c r="B43" s="7">
        <f>'C-FTE Apr'!B43/2</f>
        <v>6.7534692271606058</v>
      </c>
      <c r="C43" s="7">
        <f>'C-FTE Apr'!C43/2</f>
        <v>6.2956069066751406</v>
      </c>
      <c r="D43" s="7">
        <f>'C-FTE Apr'!D43/2</f>
        <v>5.2654166855828457</v>
      </c>
      <c r="E43" s="7">
        <f>'C-FTE Apr'!E43/2</f>
        <v>4.3496920446119161</v>
      </c>
      <c r="F43" s="7">
        <f>'C-FTE Apr'!F43/2</f>
        <v>4.9220199452187474</v>
      </c>
      <c r="G43" s="7">
        <f>'C-FTE Apr'!G43/2</f>
        <v>7.5547282880101694</v>
      </c>
      <c r="H43" s="7">
        <f>'C-FTE Apr'!H43/2</f>
        <v>7.3257971277674363</v>
      </c>
      <c r="I43" s="7">
        <f>'C-FTE Apr'!I43/2</f>
        <v>6.5245380669178736</v>
      </c>
      <c r="J43" s="7">
        <f>'C-FTE Apr'!J43/2</f>
        <v>6.0666757464324084</v>
      </c>
      <c r="K43" s="7">
        <f>'C-FTE Apr'!K43/2</f>
        <v>5.1509511054614787</v>
      </c>
      <c r="L43" s="7">
        <f>'C-FTE Apr'!L43/2</f>
        <v>4.2352264644905491</v>
      </c>
      <c r="M43" s="7">
        <f>'C-FTE Apr'!M43/2</f>
        <v>4.8075543650973804</v>
      </c>
      <c r="N43" s="7">
        <f>'C-FTE Apr'!N43/2</f>
        <v>7.4402627078888024</v>
      </c>
      <c r="O43" s="7">
        <f>'C-FTE Apr'!O43/2</f>
        <v>7.2113315476460711</v>
      </c>
      <c r="P43" s="7">
        <f>'C-FTE Apr'!P43/2</f>
        <v>6.5245380669178745</v>
      </c>
      <c r="Q43" s="7">
        <f>'C-FTE Apr'!Q43/2</f>
        <v>6.1811413265537745</v>
      </c>
      <c r="R43" s="7">
        <f>'C-FTE Apr'!R43/2</f>
        <v>5.2654166855828457</v>
      </c>
      <c r="S43" s="7">
        <f>'C-FTE Apr'!S43/2</f>
        <v>4.3496920446119161</v>
      </c>
      <c r="T43" s="7">
        <f>'C-FTE Apr'!T43/2</f>
        <v>4.9220199452187465</v>
      </c>
      <c r="U43" s="7">
        <f>'C-FTE Apr'!U43/2</f>
        <v>7.6691938681315364</v>
      </c>
      <c r="V43" s="7">
        <f>'C-FTE Apr'!V43/2</f>
        <v>7.5547282880101694</v>
      </c>
      <c r="W43" s="7">
        <f>'C-FTE Apr'!W43/2</f>
        <v>6.7534692271606067</v>
      </c>
      <c r="X43" s="7">
        <f>'C-FTE Apr'!X43/2</f>
        <v>6.5245380669178736</v>
      </c>
      <c r="Y43" s="7">
        <f>'C-FTE Apr'!Y43/2</f>
        <v>5.4943478458255779</v>
      </c>
      <c r="Z43" s="7">
        <f>'C-FTE Apr'!Z43/2</f>
        <v>4.5786232048546482</v>
      </c>
      <c r="AA43" s="7">
        <f>'C-FTE Apr'!AA43/2</f>
        <v>5.2654166855828457</v>
      </c>
      <c r="AB43" s="7">
        <f>'C-FTE Apr'!AB43/2</f>
        <v>8.2415217687383659</v>
      </c>
      <c r="AC43" s="7">
        <f>'C-FTE Apr'!AC43/2</f>
        <v>8.127056188616999</v>
      </c>
      <c r="AD43" s="7">
        <f>'C-FTE Apr'!AD43/2</f>
        <v>7.3257971277674363</v>
      </c>
      <c r="AE43" s="7">
        <f>'C-FTE Apr'!AE43/2</f>
        <v>6.982400387403338</v>
      </c>
      <c r="AF43" s="7">
        <f>'C-FTE Apr'!AF43/2</f>
        <v>0</v>
      </c>
    </row>
    <row r="44" spans="1:32" x14ac:dyDescent="0.25">
      <c r="A44" s="3" t="s">
        <v>49</v>
      </c>
      <c r="B44" s="7">
        <f>'C-FTE Apr'!B44/2</f>
        <v>6.0666757464324084</v>
      </c>
      <c r="C44" s="7">
        <f>'C-FTE Apr'!C44/2</f>
        <v>5.9522101663110423</v>
      </c>
      <c r="D44" s="7">
        <f>'C-FTE Apr'!D44/2</f>
        <v>5.0364855253401135</v>
      </c>
      <c r="E44" s="7">
        <f>'C-FTE Apr'!E44/2</f>
        <v>4.2352264644905491</v>
      </c>
      <c r="F44" s="7">
        <f>'C-FTE Apr'!F44/2</f>
        <v>4.6930887849760152</v>
      </c>
      <c r="G44" s="7">
        <f>'C-FTE Apr'!G44/2</f>
        <v>7.2113315476460711</v>
      </c>
      <c r="H44" s="7">
        <f>'C-FTE Apr'!H44/2</f>
        <v>6.982400387403338</v>
      </c>
      <c r="I44" s="7">
        <f>'C-FTE Apr'!I44/2</f>
        <v>5.8377445861896762</v>
      </c>
      <c r="J44" s="7">
        <f>'C-FTE Apr'!J44/2</f>
        <v>5.7232790060683101</v>
      </c>
      <c r="K44" s="7">
        <f>'C-FTE Apr'!K44/2</f>
        <v>4.9220199452187465</v>
      </c>
      <c r="L44" s="7">
        <f>'C-FTE Apr'!L44/2</f>
        <v>4.120760884369183</v>
      </c>
      <c r="M44" s="7">
        <f>'C-FTE Apr'!M44/2</f>
        <v>4.5786232048546482</v>
      </c>
      <c r="N44" s="7">
        <f>'C-FTE Apr'!N44/2</f>
        <v>7.2113315476460693</v>
      </c>
      <c r="O44" s="7">
        <f>'C-FTE Apr'!O44/2</f>
        <v>6.982400387403338</v>
      </c>
      <c r="P44" s="7">
        <f>'C-FTE Apr'!P44/2</f>
        <v>5.8377445861896771</v>
      </c>
      <c r="Q44" s="7">
        <f>'C-FTE Apr'!Q44/2</f>
        <v>5.8377445861896762</v>
      </c>
      <c r="R44" s="7">
        <f>'C-FTE Apr'!R44/2</f>
        <v>4.9220199452187474</v>
      </c>
      <c r="S44" s="7">
        <f>'C-FTE Apr'!S44/2</f>
        <v>4.2352264644905491</v>
      </c>
      <c r="T44" s="7">
        <f>'C-FTE Apr'!T44/2</f>
        <v>4.6930887849760143</v>
      </c>
      <c r="U44" s="7">
        <f>'C-FTE Apr'!U44/2</f>
        <v>7.4402627078888042</v>
      </c>
      <c r="V44" s="7">
        <f>'C-FTE Apr'!V44/2</f>
        <v>7.2113315476460711</v>
      </c>
      <c r="W44" s="7">
        <f>'C-FTE Apr'!W44/2</f>
        <v>6.0666757464324093</v>
      </c>
      <c r="X44" s="7">
        <f>'C-FTE Apr'!X44/2</f>
        <v>6.0666757464324084</v>
      </c>
      <c r="Y44" s="7">
        <f>'C-FTE Apr'!Y44/2</f>
        <v>5.2654166855828457</v>
      </c>
      <c r="Z44" s="7">
        <f>'C-FTE Apr'!Z44/2</f>
        <v>4.4641576247332821</v>
      </c>
      <c r="AA44" s="7">
        <f>'C-FTE Apr'!AA44/2</f>
        <v>5.0364855253401135</v>
      </c>
      <c r="AB44" s="7">
        <f>'C-FTE Apr'!AB44/2</f>
        <v>7.8981250283742686</v>
      </c>
      <c r="AC44" s="7">
        <f>'C-FTE Apr'!AC44/2</f>
        <v>7.7836594482529007</v>
      </c>
      <c r="AD44" s="7">
        <f>'C-FTE Apr'!AD44/2</f>
        <v>6.5245380669178736</v>
      </c>
      <c r="AE44" s="7">
        <f>'C-FTE Apr'!AE44/2</f>
        <v>6.6390036470392397</v>
      </c>
      <c r="AF44" s="7">
        <f>'C-FTE Apr'!AF44/2</f>
        <v>0</v>
      </c>
    </row>
    <row r="45" spans="1:32" x14ac:dyDescent="0.25">
      <c r="A45" s="3" t="s">
        <v>50</v>
      </c>
      <c r="B45" s="7">
        <f>'C-FTE Apr'!B45/2</f>
        <v>5.3798822657042109</v>
      </c>
      <c r="C45" s="7">
        <f>'C-FTE Apr'!C45/2</f>
        <v>5.8377445861896762</v>
      </c>
      <c r="D45" s="7">
        <f>'C-FTE Apr'!D45/2</f>
        <v>4.9220199452187474</v>
      </c>
      <c r="E45" s="7">
        <f>'C-FTE Apr'!E45/2</f>
        <v>4.0062953042478169</v>
      </c>
      <c r="F45" s="7">
        <f>'C-FTE Apr'!F45/2</f>
        <v>4.3496920446119161</v>
      </c>
      <c r="G45" s="7">
        <f>'C-FTE Apr'!G45/2</f>
        <v>6.5245380669178745</v>
      </c>
      <c r="H45" s="7">
        <f>'C-FTE Apr'!H45/2</f>
        <v>6.6390036470392397</v>
      </c>
      <c r="I45" s="7">
        <f>'C-FTE Apr'!I45/2</f>
        <v>5.1509511054614787</v>
      </c>
      <c r="J45" s="7">
        <f>'C-FTE Apr'!J45/2</f>
        <v>5.7232790060683101</v>
      </c>
      <c r="K45" s="7">
        <f>'C-FTE Apr'!K45/2</f>
        <v>4.8075543650973804</v>
      </c>
      <c r="L45" s="7">
        <f>'C-FTE Apr'!L45/2</f>
        <v>4.006295304247816</v>
      </c>
      <c r="M45" s="7">
        <f>'C-FTE Apr'!M45/2</f>
        <v>4.2352264644905491</v>
      </c>
      <c r="N45" s="7">
        <f>'C-FTE Apr'!N45/2</f>
        <v>6.4100724867965058</v>
      </c>
      <c r="O45" s="7">
        <f>'C-FTE Apr'!O45/2</f>
        <v>6.6390036470392397</v>
      </c>
      <c r="P45" s="7">
        <f>'C-FTE Apr'!P45/2</f>
        <v>5.1509511054614805</v>
      </c>
      <c r="Q45" s="7">
        <f>'C-FTE Apr'!Q45/2</f>
        <v>5.7232790060683101</v>
      </c>
      <c r="R45" s="7">
        <f>'C-FTE Apr'!R45/2</f>
        <v>4.8075543650973804</v>
      </c>
      <c r="S45" s="7">
        <f>'C-FTE Apr'!S45/2</f>
        <v>4.0062953042478169</v>
      </c>
      <c r="T45" s="7">
        <f>'C-FTE Apr'!T45/2</f>
        <v>4.3496920446119152</v>
      </c>
      <c r="U45" s="7">
        <f>'C-FTE Apr'!U45/2</f>
        <v>6.6390036470392397</v>
      </c>
      <c r="V45" s="7">
        <f>'C-FTE Apr'!V45/2</f>
        <v>6.8679348072819719</v>
      </c>
      <c r="W45" s="7">
        <f>'C-FTE Apr'!W45/2</f>
        <v>5.3798822657042118</v>
      </c>
      <c r="X45" s="7">
        <f>'C-FTE Apr'!X45/2</f>
        <v>6.0666757464324084</v>
      </c>
      <c r="Y45" s="7">
        <f>'C-FTE Apr'!Y45/2</f>
        <v>5.1509511054614796</v>
      </c>
      <c r="Z45" s="7">
        <f>'C-FTE Apr'!Z45/2</f>
        <v>4.2352264644905491</v>
      </c>
      <c r="AA45" s="7">
        <f>'C-FTE Apr'!AA45/2</f>
        <v>4.6930887849760152</v>
      </c>
      <c r="AB45" s="7">
        <f>'C-FTE Apr'!AB45/2</f>
        <v>7.0968659675247041</v>
      </c>
      <c r="AC45" s="7">
        <f>'C-FTE Apr'!AC45/2</f>
        <v>7.4402627078888024</v>
      </c>
      <c r="AD45" s="7">
        <f>'C-FTE Apr'!AD45/2</f>
        <v>5.8377445861896762</v>
      </c>
      <c r="AE45" s="7">
        <f>'C-FTE Apr'!AE45/2</f>
        <v>6.5245380669178736</v>
      </c>
      <c r="AF45" s="7">
        <f>'C-FTE Apr'!AF45/2</f>
        <v>0</v>
      </c>
    </row>
    <row r="46" spans="1:32" x14ac:dyDescent="0.25">
      <c r="A46" s="3" t="s">
        <v>51</v>
      </c>
      <c r="B46" s="7">
        <f>'C-FTE Apr'!B46/2</f>
        <v>4.8075543650973804</v>
      </c>
      <c r="C46" s="7">
        <f>'C-FTE Apr'!C46/2</f>
        <v>5.6088134259469449</v>
      </c>
      <c r="D46" s="7">
        <f>'C-FTE Apr'!D46/2</f>
        <v>4.6930887849760143</v>
      </c>
      <c r="E46" s="7">
        <f>'C-FTE Apr'!E46/2</f>
        <v>3.6628985638837182</v>
      </c>
      <c r="F46" s="7">
        <f>'C-FTE Apr'!F46/2</f>
        <v>3.8918297241264512</v>
      </c>
      <c r="G46" s="7">
        <f>'C-FTE Apr'!G46/2</f>
        <v>5.8377445861896771</v>
      </c>
      <c r="H46" s="7">
        <f>'C-FTE Apr'!H46/2</f>
        <v>6.1811413265537745</v>
      </c>
      <c r="I46" s="7">
        <f>'C-FTE Apr'!I46/2</f>
        <v>4.5786232048546482</v>
      </c>
      <c r="J46" s="7">
        <f>'C-FTE Apr'!J46/2</f>
        <v>5.4943478458255779</v>
      </c>
      <c r="K46" s="7">
        <f>'C-FTE Apr'!K46/2</f>
        <v>4.5786232048546482</v>
      </c>
      <c r="L46" s="7">
        <f>'C-FTE Apr'!L46/2</f>
        <v>3.6628985638837177</v>
      </c>
      <c r="M46" s="7">
        <f>'C-FTE Apr'!M46/2</f>
        <v>3.8918297241264508</v>
      </c>
      <c r="N46" s="7">
        <f>'C-FTE Apr'!N46/2</f>
        <v>5.7232790060683092</v>
      </c>
      <c r="O46" s="7">
        <f>'C-FTE Apr'!O46/2</f>
        <v>6.1811413265537754</v>
      </c>
      <c r="P46" s="7">
        <f>'C-FTE Apr'!P46/2</f>
        <v>4.5786232048546491</v>
      </c>
      <c r="Q46" s="7">
        <f>'C-FTE Apr'!Q46/2</f>
        <v>5.494347845825577</v>
      </c>
      <c r="R46" s="7">
        <f>'C-FTE Apr'!R46/2</f>
        <v>4.5786232048546482</v>
      </c>
      <c r="S46" s="7">
        <f>'C-FTE Apr'!S46/2</f>
        <v>3.6628985638837182</v>
      </c>
      <c r="T46" s="7">
        <f>'C-FTE Apr'!T46/2</f>
        <v>4.0062953042478169</v>
      </c>
      <c r="U46" s="7">
        <f>'C-FTE Apr'!U46/2</f>
        <v>5.9522101663110432</v>
      </c>
      <c r="V46" s="7">
        <f>'C-FTE Apr'!V46/2</f>
        <v>6.4100724867965075</v>
      </c>
      <c r="W46" s="7">
        <f>'C-FTE Apr'!W46/2</f>
        <v>4.8075543650973813</v>
      </c>
      <c r="X46" s="7">
        <f>'C-FTE Apr'!X46/2</f>
        <v>5.7232790060683101</v>
      </c>
      <c r="Y46" s="7">
        <f>'C-FTE Apr'!Y46/2</f>
        <v>4.8075543650973804</v>
      </c>
      <c r="Z46" s="7">
        <f>'C-FTE Apr'!Z46/2</f>
        <v>3.8918297241264508</v>
      </c>
      <c r="AA46" s="7">
        <f>'C-FTE Apr'!AA46/2</f>
        <v>4.23522646449055</v>
      </c>
      <c r="AB46" s="7">
        <f>'C-FTE Apr'!AB46/2</f>
        <v>6.2956069066751406</v>
      </c>
      <c r="AC46" s="7">
        <f>'C-FTE Apr'!AC46/2</f>
        <v>6.8679348072819719</v>
      </c>
      <c r="AD46" s="7">
        <f>'C-FTE Apr'!AD46/2</f>
        <v>5.1509511054614796</v>
      </c>
      <c r="AE46" s="7">
        <f>'C-FTE Apr'!AE46/2</f>
        <v>6.2956069066751414</v>
      </c>
      <c r="AF46" s="7">
        <f>'C-FTE Apr'!AF46/2</f>
        <v>0</v>
      </c>
    </row>
    <row r="47" spans="1:32" x14ac:dyDescent="0.25">
      <c r="A47" s="3" t="s">
        <v>52</v>
      </c>
      <c r="B47" s="7">
        <f>'C-FTE Apr'!B47/2</f>
        <v>4.3496920446119152</v>
      </c>
      <c r="C47" s="7">
        <f>'C-FTE Apr'!C47/2</f>
        <v>5.1509511054614787</v>
      </c>
      <c r="D47" s="7">
        <f>'C-FTE Apr'!D47/2</f>
        <v>4.23522646449055</v>
      </c>
      <c r="E47" s="7">
        <f>'C-FTE Apr'!E47/2</f>
        <v>3.2050362433982538</v>
      </c>
      <c r="F47" s="7">
        <f>'C-FTE Apr'!F47/2</f>
        <v>3.662898563883719</v>
      </c>
      <c r="G47" s="7">
        <f>'C-FTE Apr'!G47/2</f>
        <v>5.6088134259469449</v>
      </c>
      <c r="H47" s="7">
        <f>'C-FTE Apr'!H47/2</f>
        <v>5.2654166855828448</v>
      </c>
      <c r="I47" s="7">
        <f>'C-FTE Apr'!I47/2</f>
        <v>4.23522646449055</v>
      </c>
      <c r="J47" s="7">
        <f>'C-FTE Apr'!J47/2</f>
        <v>5.0364855253401126</v>
      </c>
      <c r="K47" s="7">
        <f>'C-FTE Apr'!K47/2</f>
        <v>4.120760884369183</v>
      </c>
      <c r="L47" s="7">
        <f>'C-FTE Apr'!L47/2</f>
        <v>3.2050362433982533</v>
      </c>
      <c r="M47" s="7">
        <f>'C-FTE Apr'!M47/2</f>
        <v>3.6628985638837186</v>
      </c>
      <c r="N47" s="7">
        <f>'C-FTE Apr'!N47/2</f>
        <v>5.494347845825577</v>
      </c>
      <c r="O47" s="7">
        <f>'C-FTE Apr'!O47/2</f>
        <v>5.2654166855828457</v>
      </c>
      <c r="P47" s="7">
        <f>'C-FTE Apr'!P47/2</f>
        <v>4.23522646449055</v>
      </c>
      <c r="Q47" s="7">
        <f>'C-FTE Apr'!Q47/2</f>
        <v>5.0364855253401117</v>
      </c>
      <c r="R47" s="7">
        <f>'C-FTE Apr'!R47/2</f>
        <v>4.23522646449055</v>
      </c>
      <c r="S47" s="7">
        <f>'C-FTE Apr'!S47/2</f>
        <v>3.2050362433982538</v>
      </c>
      <c r="T47" s="7">
        <f>'C-FTE Apr'!T47/2</f>
        <v>3.6628985638837182</v>
      </c>
      <c r="U47" s="7">
        <f>'C-FTE Apr'!U47/2</f>
        <v>5.723279006068311</v>
      </c>
      <c r="V47" s="7">
        <f>'C-FTE Apr'!V47/2</f>
        <v>5.494347845825577</v>
      </c>
      <c r="W47" s="7">
        <f>'C-FTE Apr'!W47/2</f>
        <v>4.3496920446119161</v>
      </c>
      <c r="X47" s="7">
        <f>'C-FTE Apr'!X47/2</f>
        <v>5.2654166855828457</v>
      </c>
      <c r="Y47" s="7">
        <f>'C-FTE Apr'!Y47/2</f>
        <v>4.4641576247332821</v>
      </c>
      <c r="Z47" s="7">
        <f>'C-FTE Apr'!Z47/2</f>
        <v>3.433967403640986</v>
      </c>
      <c r="AA47" s="7">
        <f>'C-FTE Apr'!AA47/2</f>
        <v>3.8918297241264512</v>
      </c>
      <c r="AB47" s="7">
        <f>'C-FTE Apr'!AB47/2</f>
        <v>6.0666757464324084</v>
      </c>
      <c r="AC47" s="7">
        <f>'C-FTE Apr'!AC47/2</f>
        <v>5.8377445861896762</v>
      </c>
      <c r="AD47" s="7">
        <f>'C-FTE Apr'!AD47/2</f>
        <v>4.6930887849760143</v>
      </c>
      <c r="AE47" s="7">
        <f>'C-FTE Apr'!AE47/2</f>
        <v>5.7232790060683101</v>
      </c>
      <c r="AF47" s="7">
        <f>'C-FTE Apr'!AF47/2</f>
        <v>0</v>
      </c>
    </row>
    <row r="48" spans="1:32" x14ac:dyDescent="0.25">
      <c r="A48" s="3" t="s">
        <v>53</v>
      </c>
      <c r="B48" s="7">
        <f>'C-FTE Apr'!B48/2</f>
        <v>3.8918297241264508</v>
      </c>
      <c r="C48" s="7">
        <f>'C-FTE Apr'!C48/2</f>
        <v>4.5786232048546482</v>
      </c>
      <c r="D48" s="7">
        <f>'C-FTE Apr'!D48/2</f>
        <v>3.6628985638837186</v>
      </c>
      <c r="E48" s="7">
        <f>'C-FTE Apr'!E48/2</f>
        <v>2.861639503034155</v>
      </c>
      <c r="F48" s="7">
        <f>'C-FTE Apr'!F48/2</f>
        <v>3.5484329837623529</v>
      </c>
      <c r="G48" s="7">
        <f>'C-FTE Apr'!G48/2</f>
        <v>5.1509511054614787</v>
      </c>
      <c r="H48" s="7">
        <f>'C-FTE Apr'!H48/2</f>
        <v>4.6930887849760135</v>
      </c>
      <c r="I48" s="7">
        <f>'C-FTE Apr'!I48/2</f>
        <v>3.7773641440050847</v>
      </c>
      <c r="J48" s="7">
        <f>'C-FTE Apr'!J48/2</f>
        <v>4.3496920446119161</v>
      </c>
      <c r="K48" s="7">
        <f>'C-FTE Apr'!K48/2</f>
        <v>3.5484329837623525</v>
      </c>
      <c r="L48" s="7">
        <f>'C-FTE Apr'!L48/2</f>
        <v>2.7471739229127885</v>
      </c>
      <c r="M48" s="7">
        <f>'C-FTE Apr'!M48/2</f>
        <v>3.433967403640986</v>
      </c>
      <c r="N48" s="7">
        <f>'C-FTE Apr'!N48/2</f>
        <v>5.0364855253401126</v>
      </c>
      <c r="O48" s="7">
        <f>'C-FTE Apr'!O48/2</f>
        <v>4.5786232048546482</v>
      </c>
      <c r="P48" s="7">
        <f>'C-FTE Apr'!P48/2</f>
        <v>3.7773641440050851</v>
      </c>
      <c r="Q48" s="7">
        <f>'C-FTE Apr'!Q48/2</f>
        <v>4.4641576247332813</v>
      </c>
      <c r="R48" s="7">
        <f>'C-FTE Apr'!R48/2</f>
        <v>3.5484329837623521</v>
      </c>
      <c r="S48" s="7">
        <f>'C-FTE Apr'!S48/2</f>
        <v>2.861639503034155</v>
      </c>
      <c r="T48" s="7">
        <f>'C-FTE Apr'!T48/2</f>
        <v>3.5484329837623521</v>
      </c>
      <c r="U48" s="7">
        <f>'C-FTE Apr'!U48/2</f>
        <v>5.2654166855828457</v>
      </c>
      <c r="V48" s="7">
        <f>'C-FTE Apr'!V48/2</f>
        <v>4.8075543650973804</v>
      </c>
      <c r="W48" s="7">
        <f>'C-FTE Apr'!W48/2</f>
        <v>3.8918297241264512</v>
      </c>
      <c r="X48" s="7">
        <f>'C-FTE Apr'!X48/2</f>
        <v>4.6930887849760143</v>
      </c>
      <c r="Y48" s="7">
        <f>'C-FTE Apr'!Y48/2</f>
        <v>3.7773641440050847</v>
      </c>
      <c r="Z48" s="7">
        <f>'C-FTE Apr'!Z48/2</f>
        <v>2.9761050831555216</v>
      </c>
      <c r="AA48" s="7">
        <f>'C-FTE Apr'!AA48/2</f>
        <v>3.7773641440050851</v>
      </c>
      <c r="AB48" s="7">
        <f>'C-FTE Apr'!AB48/2</f>
        <v>5.608813425946944</v>
      </c>
      <c r="AC48" s="7">
        <f>'C-FTE Apr'!AC48/2</f>
        <v>5.1509511054614787</v>
      </c>
      <c r="AD48" s="7">
        <f>'C-FTE Apr'!AD48/2</f>
        <v>4.23522646449055</v>
      </c>
      <c r="AE48" s="7">
        <f>'C-FTE Apr'!AE48/2</f>
        <v>5.0364855253401135</v>
      </c>
      <c r="AF48" s="7">
        <f>'C-FTE Apr'!AF48/2</f>
        <v>0</v>
      </c>
    </row>
    <row r="49" spans="1:33" x14ac:dyDescent="0.25">
      <c r="A49" s="3" t="s">
        <v>54</v>
      </c>
      <c r="B49" s="7">
        <f>'C-FTE Apr'!B49/2</f>
        <v>3.3195018235196194</v>
      </c>
      <c r="C49" s="7">
        <f>'C-FTE Apr'!C49/2</f>
        <v>3.8918297241264508</v>
      </c>
      <c r="D49" s="7">
        <f>'C-FTE Apr'!D49/2</f>
        <v>2.9761050831555211</v>
      </c>
      <c r="E49" s="7">
        <f>'C-FTE Apr'!E49/2</f>
        <v>2.4037771825486902</v>
      </c>
      <c r="F49" s="7">
        <f>'C-FTE Apr'!F49/2</f>
        <v>3.0905706632768877</v>
      </c>
      <c r="G49" s="7">
        <f>'C-FTE Apr'!G49/2</f>
        <v>4.3496920446119161</v>
      </c>
      <c r="H49" s="7">
        <f>'C-FTE Apr'!H49/2</f>
        <v>4.120760884369183</v>
      </c>
      <c r="I49" s="7">
        <f>'C-FTE Apr'!I49/2</f>
        <v>3.2050362433982538</v>
      </c>
      <c r="J49" s="7">
        <f>'C-FTE Apr'!J49/2</f>
        <v>3.7773641440050847</v>
      </c>
      <c r="K49" s="7">
        <f>'C-FTE Apr'!K49/2</f>
        <v>2.861639503034155</v>
      </c>
      <c r="L49" s="7">
        <f>'C-FTE Apr'!L49/2</f>
        <v>2.4037771825486902</v>
      </c>
      <c r="M49" s="7">
        <f>'C-FTE Apr'!M49/2</f>
        <v>2.9761050831555211</v>
      </c>
      <c r="N49" s="7">
        <f>'C-FTE Apr'!N49/2</f>
        <v>4.2352264644905491</v>
      </c>
      <c r="O49" s="7">
        <f>'C-FTE Apr'!O49/2</f>
        <v>4.1207608843691839</v>
      </c>
      <c r="P49" s="7">
        <f>'C-FTE Apr'!P49/2</f>
        <v>3.2050362433982538</v>
      </c>
      <c r="Q49" s="7">
        <f>'C-FTE Apr'!Q49/2</f>
        <v>3.7773641440050842</v>
      </c>
      <c r="R49" s="7">
        <f>'C-FTE Apr'!R49/2</f>
        <v>2.861639503034155</v>
      </c>
      <c r="S49" s="7">
        <f>'C-FTE Apr'!S49/2</f>
        <v>2.4037771825486902</v>
      </c>
      <c r="T49" s="7">
        <f>'C-FTE Apr'!T49/2</f>
        <v>3.0905706632768872</v>
      </c>
      <c r="U49" s="7">
        <f>'C-FTE Apr'!U49/2</f>
        <v>4.3496920446119161</v>
      </c>
      <c r="V49" s="7">
        <f>'C-FTE Apr'!V49/2</f>
        <v>4.3496920446119152</v>
      </c>
      <c r="W49" s="7">
        <f>'C-FTE Apr'!W49/2</f>
        <v>3.3195018235196203</v>
      </c>
      <c r="X49" s="7">
        <f>'C-FTE Apr'!X49/2</f>
        <v>3.8918297241264512</v>
      </c>
      <c r="Y49" s="7">
        <f>'C-FTE Apr'!Y49/2</f>
        <v>3.0905706632768877</v>
      </c>
      <c r="Z49" s="7">
        <f>'C-FTE Apr'!Z49/2</f>
        <v>2.5182427626700563</v>
      </c>
      <c r="AA49" s="7">
        <f>'C-FTE Apr'!AA49/2</f>
        <v>3.3195018235196199</v>
      </c>
      <c r="AB49" s="7">
        <f>'C-FTE Apr'!AB49/2</f>
        <v>4.6930887849760143</v>
      </c>
      <c r="AC49" s="7">
        <f>'C-FTE Apr'!AC49/2</f>
        <v>4.5786232048546474</v>
      </c>
      <c r="AD49" s="7">
        <f>'C-FTE Apr'!AD49/2</f>
        <v>3.6628985638837182</v>
      </c>
      <c r="AE49" s="7">
        <f>'C-FTE Apr'!AE49/2</f>
        <v>4.23522646449055</v>
      </c>
      <c r="AF49" s="7">
        <f>'C-FTE Apr'!AF49/2</f>
        <v>0</v>
      </c>
    </row>
    <row r="50" spans="1:33" x14ac:dyDescent="0.25">
      <c r="A50" s="3" t="s">
        <v>55</v>
      </c>
      <c r="B50" s="7">
        <f>'C-FTE Apr'!B50/2</f>
        <v>2.861639503034155</v>
      </c>
      <c r="C50" s="7">
        <f>'C-FTE Apr'!C50/2</f>
        <v>3.4339674036409864</v>
      </c>
      <c r="D50" s="7">
        <f>'C-FTE Apr'!D50/2</f>
        <v>2.4037771825486902</v>
      </c>
      <c r="E50" s="7">
        <f>'C-FTE Apr'!E50/2</f>
        <v>2.0603804421845915</v>
      </c>
      <c r="F50" s="7">
        <f>'C-FTE Apr'!F50/2</f>
        <v>2.5182427626700568</v>
      </c>
      <c r="G50" s="7">
        <f>'C-FTE Apr'!G50/2</f>
        <v>3.6628985638837186</v>
      </c>
      <c r="H50" s="7">
        <f>'C-FTE Apr'!H50/2</f>
        <v>3.433967403640986</v>
      </c>
      <c r="I50" s="7">
        <f>'C-FTE Apr'!I50/2</f>
        <v>2.7471739229127885</v>
      </c>
      <c r="J50" s="7">
        <f>'C-FTE Apr'!J50/2</f>
        <v>3.3195018235196199</v>
      </c>
      <c r="K50" s="7">
        <f>'C-FTE Apr'!K50/2</f>
        <v>2.4037771825486902</v>
      </c>
      <c r="L50" s="7">
        <f>'C-FTE Apr'!L50/2</f>
        <v>2.0603804421845915</v>
      </c>
      <c r="M50" s="7">
        <f>'C-FTE Apr'!M50/2</f>
        <v>2.5182427626700563</v>
      </c>
      <c r="N50" s="7">
        <f>'C-FTE Apr'!N50/2</f>
        <v>3.6628985638837182</v>
      </c>
      <c r="O50" s="7">
        <f>'C-FTE Apr'!O50/2</f>
        <v>3.433967403640986</v>
      </c>
      <c r="P50" s="7">
        <f>'C-FTE Apr'!P50/2</f>
        <v>2.7471739229127889</v>
      </c>
      <c r="Q50" s="7">
        <f>'C-FTE Apr'!Q50/2</f>
        <v>3.3195018235196199</v>
      </c>
      <c r="R50" s="7">
        <f>'C-FTE Apr'!R50/2</f>
        <v>2.4037771825486902</v>
      </c>
      <c r="S50" s="7">
        <f>'C-FTE Apr'!S50/2</f>
        <v>2.0603804421845915</v>
      </c>
      <c r="T50" s="7">
        <f>'C-FTE Apr'!T50/2</f>
        <v>2.5182427626700563</v>
      </c>
      <c r="U50" s="7">
        <f>'C-FTE Apr'!U50/2</f>
        <v>3.7773641440050851</v>
      </c>
      <c r="V50" s="7">
        <f>'C-FTE Apr'!V50/2</f>
        <v>3.5484329837623521</v>
      </c>
      <c r="W50" s="7">
        <f>'C-FTE Apr'!W50/2</f>
        <v>2.8616395030341555</v>
      </c>
      <c r="X50" s="7">
        <f>'C-FTE Apr'!X50/2</f>
        <v>3.4339674036409864</v>
      </c>
      <c r="Y50" s="7">
        <f>'C-FTE Apr'!Y50/2</f>
        <v>2.5182427626700568</v>
      </c>
      <c r="Z50" s="7">
        <f>'C-FTE Apr'!Z50/2</f>
        <v>2.174846022305958</v>
      </c>
      <c r="AA50" s="7">
        <f>'C-FTE Apr'!AA50/2</f>
        <v>2.7471739229127889</v>
      </c>
      <c r="AB50" s="7">
        <f>'C-FTE Apr'!AB50/2</f>
        <v>4.0062953042478169</v>
      </c>
      <c r="AC50" s="7">
        <f>'C-FTE Apr'!AC50/2</f>
        <v>3.8918297241264503</v>
      </c>
      <c r="AD50" s="7">
        <f>'C-FTE Apr'!AD50/2</f>
        <v>3.0905706632768872</v>
      </c>
      <c r="AE50" s="7">
        <f>'C-FTE Apr'!AE50/2</f>
        <v>3.7773641440050847</v>
      </c>
      <c r="AF50" s="7">
        <f>'C-FTE Apr'!AF50/2</f>
        <v>0</v>
      </c>
    </row>
    <row r="51" spans="1:33" s="12" customFormat="1" x14ac:dyDescent="0.25">
      <c r="A51" s="12" t="s">
        <v>59</v>
      </c>
      <c r="B51" s="13">
        <f>SUM(B3:B50)</f>
        <v>261.89724731768581</v>
      </c>
      <c r="C51" s="13">
        <f t="shared" ref="C51:AF51" si="2">SUM(C3:C50)</f>
        <v>255.25824367064664</v>
      </c>
      <c r="D51" s="13">
        <f t="shared" si="2"/>
        <v>243.69722007838868</v>
      </c>
      <c r="E51" s="13">
        <f t="shared" si="2"/>
        <v>194.59148620632251</v>
      </c>
      <c r="F51" s="13">
        <f t="shared" si="2"/>
        <v>171.92730134229205</v>
      </c>
      <c r="G51" s="13">
        <f t="shared" si="2"/>
        <v>317.06965693618446</v>
      </c>
      <c r="H51" s="13">
        <f t="shared" si="2"/>
        <v>286.85074378414367</v>
      </c>
      <c r="I51" s="13">
        <f t="shared" si="2"/>
        <v>252.39660416761245</v>
      </c>
      <c r="J51" s="13">
        <f t="shared" si="2"/>
        <v>247.47458422239376</v>
      </c>
      <c r="K51" s="13">
        <f t="shared" si="2"/>
        <v>237.51607875183487</v>
      </c>
      <c r="L51" s="13">
        <f t="shared" si="2"/>
        <v>190.81412206231741</v>
      </c>
      <c r="M51" s="13">
        <f t="shared" si="2"/>
        <v>169.52352415974335</v>
      </c>
      <c r="N51" s="13">
        <f t="shared" si="2"/>
        <v>314.32248301327161</v>
      </c>
      <c r="O51" s="13">
        <f t="shared" si="2"/>
        <v>285.93501914317278</v>
      </c>
      <c r="P51" s="13">
        <f t="shared" si="2"/>
        <v>253.08339764834062</v>
      </c>
      <c r="Q51" s="13">
        <f t="shared" si="2"/>
        <v>249.42049908445694</v>
      </c>
      <c r="R51" s="13">
        <f t="shared" si="2"/>
        <v>240.8355805753545</v>
      </c>
      <c r="S51" s="13">
        <f t="shared" si="2"/>
        <v>194.59148620632251</v>
      </c>
      <c r="T51" s="13">
        <f t="shared" si="2"/>
        <v>173.87321620435526</v>
      </c>
      <c r="U51" s="13">
        <f t="shared" si="2"/>
        <v>324.05205732358775</v>
      </c>
      <c r="V51" s="13">
        <f t="shared" si="2"/>
        <v>296.46585251433834</v>
      </c>
      <c r="W51" s="13">
        <f t="shared" si="2"/>
        <v>263.84316217974913</v>
      </c>
      <c r="X51" s="13">
        <f t="shared" si="2"/>
        <v>261.43938499720036</v>
      </c>
      <c r="Y51" s="13">
        <f t="shared" si="2"/>
        <v>253.65572554894749</v>
      </c>
      <c r="Z51" s="13">
        <f t="shared" si="2"/>
        <v>205.9235786383378</v>
      </c>
      <c r="AA51" s="13">
        <f t="shared" si="2"/>
        <v>184.97637747612782</v>
      </c>
      <c r="AB51" s="13">
        <f t="shared" si="2"/>
        <v>346.37284544725412</v>
      </c>
      <c r="AC51" s="13">
        <f t="shared" si="2"/>
        <v>318.44324389764074</v>
      </c>
      <c r="AD51" s="13">
        <f t="shared" si="2"/>
        <v>284.56143218171644</v>
      </c>
      <c r="AE51" s="13">
        <f t="shared" si="2"/>
        <v>283.18784522026004</v>
      </c>
      <c r="AF51" s="13">
        <f t="shared" si="2"/>
        <v>0</v>
      </c>
      <c r="AG51" s="13">
        <f>SUM(B51:AF51)</f>
        <v>7564.0000000000009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540B-E9AB-44DC-BEA8-3772D23028B0}">
  <sheetPr>
    <tabColor rgb="FFFF6600"/>
  </sheetPr>
  <dimension ref="A1:AO51"/>
  <sheetViews>
    <sheetView topLeftCell="B1" zoomScale="75" zoomScaleNormal="75" workbookViewId="0">
      <selection activeCell="I28" sqref="I28"/>
    </sheetView>
  </sheetViews>
  <sheetFormatPr defaultColWidth="9.140625" defaultRowHeight="15" x14ac:dyDescent="0.25"/>
  <cols>
    <col min="1" max="1" width="9.7109375" style="3" bestFit="1" customWidth="1"/>
    <col min="2" max="10" width="7.7109375" style="3" bestFit="1" customWidth="1"/>
    <col min="11" max="32" width="8.85546875" style="3" bestFit="1" customWidth="1"/>
    <col min="33" max="34" width="9.140625" style="3"/>
    <col min="35" max="35" width="5.42578125" style="3" bestFit="1" customWidth="1"/>
    <col min="36" max="36" width="4.5703125" style="3" bestFit="1" customWidth="1"/>
    <col min="37" max="37" width="5.42578125" style="3" bestFit="1" customWidth="1"/>
    <col min="38" max="38" width="4.5703125" style="3" bestFit="1" customWidth="1"/>
    <col min="39" max="39" width="3.5703125" style="3" bestFit="1" customWidth="1"/>
    <col min="40" max="40" width="4" style="3" bestFit="1" customWidth="1"/>
    <col min="41" max="41" width="4.5703125" style="3" bestFit="1" customWidth="1"/>
    <col min="42" max="16384" width="9.140625" style="3"/>
  </cols>
  <sheetData>
    <row r="1" spans="1:41" x14ac:dyDescent="0.25">
      <c r="A1" s="1" t="s">
        <v>57</v>
      </c>
      <c r="B1" s="2">
        <f>'V-FTE Mar'!B1</f>
        <v>46082</v>
      </c>
      <c r="C1" s="2">
        <f>B1+1</f>
        <v>46083</v>
      </c>
      <c r="D1" s="2">
        <f t="shared" ref="D1:AF1" si="0">C1+1</f>
        <v>46084</v>
      </c>
      <c r="E1" s="2">
        <f t="shared" si="0"/>
        <v>46085</v>
      </c>
      <c r="F1" s="2">
        <f t="shared" si="0"/>
        <v>46086</v>
      </c>
      <c r="G1" s="2">
        <f t="shared" si="0"/>
        <v>46087</v>
      </c>
      <c r="H1" s="2">
        <f t="shared" si="0"/>
        <v>46088</v>
      </c>
      <c r="I1" s="2">
        <f t="shared" si="0"/>
        <v>46089</v>
      </c>
      <c r="J1" s="2">
        <f t="shared" si="0"/>
        <v>46090</v>
      </c>
      <c r="K1" s="2">
        <f t="shared" si="0"/>
        <v>46091</v>
      </c>
      <c r="L1" s="2">
        <f t="shared" si="0"/>
        <v>46092</v>
      </c>
      <c r="M1" s="2">
        <f t="shared" si="0"/>
        <v>46093</v>
      </c>
      <c r="N1" s="2">
        <f t="shared" si="0"/>
        <v>46094</v>
      </c>
      <c r="O1" s="2">
        <f t="shared" si="0"/>
        <v>46095</v>
      </c>
      <c r="P1" s="2">
        <f t="shared" si="0"/>
        <v>46096</v>
      </c>
      <c r="Q1" s="2">
        <f t="shared" si="0"/>
        <v>46097</v>
      </c>
      <c r="R1" s="2">
        <f t="shared" si="0"/>
        <v>46098</v>
      </c>
      <c r="S1" s="2">
        <f t="shared" si="0"/>
        <v>46099</v>
      </c>
      <c r="T1" s="2">
        <f t="shared" si="0"/>
        <v>46100</v>
      </c>
      <c r="U1" s="2">
        <f t="shared" si="0"/>
        <v>46101</v>
      </c>
      <c r="V1" s="2">
        <f t="shared" si="0"/>
        <v>46102</v>
      </c>
      <c r="W1" s="2">
        <f t="shared" si="0"/>
        <v>46103</v>
      </c>
      <c r="X1" s="2">
        <f t="shared" si="0"/>
        <v>46104</v>
      </c>
      <c r="Y1" s="2">
        <f t="shared" si="0"/>
        <v>46105</v>
      </c>
      <c r="Z1" s="2">
        <f t="shared" si="0"/>
        <v>46106</v>
      </c>
      <c r="AA1" s="2">
        <f t="shared" si="0"/>
        <v>46107</v>
      </c>
      <c r="AB1" s="2">
        <f t="shared" si="0"/>
        <v>46108</v>
      </c>
      <c r="AC1" s="2">
        <f t="shared" si="0"/>
        <v>46109</v>
      </c>
      <c r="AD1" s="2">
        <f t="shared" si="0"/>
        <v>46110</v>
      </c>
      <c r="AE1" s="2">
        <f t="shared" si="0"/>
        <v>46111</v>
      </c>
      <c r="AF1" s="2">
        <f t="shared" si="0"/>
        <v>46112</v>
      </c>
      <c r="AI1" s="22" t="s">
        <v>61</v>
      </c>
      <c r="AJ1" s="22"/>
      <c r="AK1" s="22"/>
      <c r="AL1" s="22"/>
      <c r="AM1" s="22"/>
      <c r="AN1" s="22"/>
      <c r="AO1" s="22"/>
    </row>
    <row r="2" spans="1:41" x14ac:dyDescent="0.25">
      <c r="A2" s="4"/>
      <c r="B2" s="5" t="str">
        <f>TEXT(B1,"ddd")</f>
        <v>Sun</v>
      </c>
      <c r="C2" s="5" t="str">
        <f t="shared" ref="C2:AF2" si="1">TEXT(C1,"ddd")</f>
        <v>Mon</v>
      </c>
      <c r="D2" s="5" t="str">
        <f t="shared" si="1"/>
        <v>Tue</v>
      </c>
      <c r="E2" s="5" t="str">
        <f t="shared" si="1"/>
        <v>Wed</v>
      </c>
      <c r="F2" s="5" t="str">
        <f t="shared" si="1"/>
        <v>Thu</v>
      </c>
      <c r="G2" s="5" t="str">
        <f t="shared" si="1"/>
        <v>Fri</v>
      </c>
      <c r="H2" s="5" t="str">
        <f t="shared" si="1"/>
        <v>Sat</v>
      </c>
      <c r="I2" s="5" t="str">
        <f t="shared" si="1"/>
        <v>Sun</v>
      </c>
      <c r="J2" s="5" t="str">
        <f t="shared" si="1"/>
        <v>Mon</v>
      </c>
      <c r="K2" s="5" t="str">
        <f t="shared" si="1"/>
        <v>Tue</v>
      </c>
      <c r="L2" s="5" t="str">
        <f t="shared" si="1"/>
        <v>Wed</v>
      </c>
      <c r="M2" s="5" t="str">
        <f t="shared" si="1"/>
        <v>Thu</v>
      </c>
      <c r="N2" s="5" t="str">
        <f t="shared" si="1"/>
        <v>Fri</v>
      </c>
      <c r="O2" s="5" t="str">
        <f t="shared" si="1"/>
        <v>Sat</v>
      </c>
      <c r="P2" s="5" t="str">
        <f t="shared" si="1"/>
        <v>Sun</v>
      </c>
      <c r="Q2" s="5" t="str">
        <f t="shared" si="1"/>
        <v>Mon</v>
      </c>
      <c r="R2" s="5" t="str">
        <f t="shared" si="1"/>
        <v>Tue</v>
      </c>
      <c r="S2" s="5" t="str">
        <f t="shared" si="1"/>
        <v>Wed</v>
      </c>
      <c r="T2" s="5" t="str">
        <f t="shared" si="1"/>
        <v>Thu</v>
      </c>
      <c r="U2" s="5" t="str">
        <f t="shared" si="1"/>
        <v>Fri</v>
      </c>
      <c r="V2" s="5" t="str">
        <f t="shared" si="1"/>
        <v>Sat</v>
      </c>
      <c r="W2" s="5" t="str">
        <f t="shared" si="1"/>
        <v>Sun</v>
      </c>
      <c r="X2" s="5" t="str">
        <f t="shared" si="1"/>
        <v>Mon</v>
      </c>
      <c r="Y2" s="5" t="str">
        <f t="shared" si="1"/>
        <v>Tue</v>
      </c>
      <c r="Z2" s="5" t="str">
        <f t="shared" si="1"/>
        <v>Wed</v>
      </c>
      <c r="AA2" s="5" t="str">
        <f t="shared" si="1"/>
        <v>Thu</v>
      </c>
      <c r="AB2" s="5" t="str">
        <f t="shared" si="1"/>
        <v>Fri</v>
      </c>
      <c r="AC2" s="5" t="str">
        <f t="shared" si="1"/>
        <v>Sat</v>
      </c>
      <c r="AD2" s="5" t="str">
        <f t="shared" si="1"/>
        <v>Sun</v>
      </c>
      <c r="AE2" s="5" t="str">
        <f t="shared" si="1"/>
        <v>Mon</v>
      </c>
      <c r="AF2" s="5" t="str">
        <f t="shared" si="1"/>
        <v>Tue</v>
      </c>
      <c r="AI2" s="6" t="s">
        <v>1</v>
      </c>
      <c r="AJ2" s="6" t="s">
        <v>2</v>
      </c>
      <c r="AK2" s="6" t="s">
        <v>3</v>
      </c>
      <c r="AL2" s="6" t="s">
        <v>4</v>
      </c>
      <c r="AM2" s="6" t="s">
        <v>5</v>
      </c>
      <c r="AN2" s="6" t="s">
        <v>6</v>
      </c>
      <c r="AO2" s="6" t="s">
        <v>7</v>
      </c>
    </row>
    <row r="3" spans="1:41" x14ac:dyDescent="0.25">
      <c r="A3" s="3" t="s">
        <v>8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I3" s="8"/>
      <c r="AJ3" s="8"/>
      <c r="AK3" s="8"/>
      <c r="AL3" s="8"/>
      <c r="AM3" s="8"/>
      <c r="AN3" s="8"/>
      <c r="AO3" s="8"/>
    </row>
    <row r="4" spans="1:41" x14ac:dyDescent="0.25">
      <c r="A4" s="3" t="s">
        <v>9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I4" s="8"/>
      <c r="AJ4" s="8"/>
      <c r="AK4" s="8"/>
      <c r="AL4" s="8"/>
      <c r="AM4" s="8"/>
      <c r="AN4" s="8"/>
      <c r="AO4" s="8"/>
    </row>
    <row r="5" spans="1:41" x14ac:dyDescent="0.25">
      <c r="A5" s="3" t="s">
        <v>10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I5" s="8"/>
      <c r="AJ5" s="8"/>
      <c r="AK5" s="8"/>
      <c r="AL5" s="8"/>
      <c r="AM5" s="8"/>
      <c r="AN5" s="8"/>
      <c r="AO5" s="8"/>
    </row>
    <row r="6" spans="1:41" x14ac:dyDescent="0.25">
      <c r="A6" s="3" t="s">
        <v>11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I6" s="8"/>
      <c r="AJ6" s="8"/>
      <c r="AK6" s="8"/>
      <c r="AL6" s="8"/>
      <c r="AM6" s="8"/>
      <c r="AN6" s="8"/>
      <c r="AO6" s="8"/>
    </row>
    <row r="7" spans="1:41" x14ac:dyDescent="0.25">
      <c r="A7" s="3" t="s">
        <v>12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I7" s="8"/>
      <c r="AJ7" s="8"/>
      <c r="AK7" s="8"/>
      <c r="AL7" s="8"/>
      <c r="AM7" s="8"/>
      <c r="AN7" s="8"/>
      <c r="AO7" s="8"/>
    </row>
    <row r="8" spans="1:41" x14ac:dyDescent="0.25">
      <c r="A8" s="3" t="s">
        <v>13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I8" s="8"/>
      <c r="AJ8" s="8"/>
      <c r="AK8" s="8"/>
      <c r="AL8" s="8"/>
      <c r="AM8" s="8"/>
      <c r="AN8" s="8"/>
      <c r="AO8" s="8"/>
    </row>
    <row r="9" spans="1:41" x14ac:dyDescent="0.25">
      <c r="A9" s="3" t="s">
        <v>14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I9" s="8"/>
      <c r="AJ9" s="8"/>
      <c r="AK9" s="8"/>
      <c r="AL9" s="8"/>
      <c r="AM9" s="8"/>
      <c r="AN9" s="8"/>
      <c r="AO9" s="8"/>
    </row>
    <row r="10" spans="1:41" x14ac:dyDescent="0.25">
      <c r="A10" s="3" t="s">
        <v>15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I10" s="8"/>
      <c r="AJ10" s="8"/>
      <c r="AK10" s="8"/>
      <c r="AL10" s="8"/>
      <c r="AM10" s="8"/>
      <c r="AN10" s="8"/>
      <c r="AO10" s="8"/>
    </row>
    <row r="11" spans="1:41" x14ac:dyDescent="0.25">
      <c r="A11" s="3" t="s">
        <v>16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I11" s="8"/>
      <c r="AJ11" s="8"/>
      <c r="AK11" s="8"/>
      <c r="AL11" s="8"/>
      <c r="AM11" s="8"/>
      <c r="AN11" s="8"/>
      <c r="AO11" s="8"/>
    </row>
    <row r="12" spans="1:41" x14ac:dyDescent="0.25">
      <c r="A12" s="3" t="s">
        <v>17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I12" s="8"/>
      <c r="AJ12" s="8"/>
      <c r="AK12" s="8"/>
      <c r="AL12" s="8"/>
      <c r="AM12" s="8"/>
      <c r="AN12" s="8"/>
      <c r="AO12" s="8"/>
    </row>
    <row r="13" spans="1:41" x14ac:dyDescent="0.25">
      <c r="A13" s="3" t="s">
        <v>18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I13" s="8"/>
      <c r="AJ13" s="8"/>
      <c r="AK13" s="8"/>
      <c r="AL13" s="8"/>
      <c r="AM13" s="8"/>
      <c r="AN13" s="8"/>
      <c r="AO13" s="8"/>
    </row>
    <row r="14" spans="1:41" x14ac:dyDescent="0.25">
      <c r="A14" s="3" t="s">
        <v>19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I14" s="8"/>
      <c r="AJ14" s="8"/>
      <c r="AK14" s="8"/>
      <c r="AL14" s="8"/>
      <c r="AM14" s="8"/>
      <c r="AN14" s="8"/>
      <c r="AO14" s="8"/>
    </row>
    <row r="15" spans="1:41" x14ac:dyDescent="0.25">
      <c r="A15" s="3" t="s">
        <v>20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I15" s="8"/>
      <c r="AJ15" s="8"/>
      <c r="AK15" s="8"/>
      <c r="AL15" s="8"/>
      <c r="AM15" s="8"/>
      <c r="AN15" s="8"/>
      <c r="AO15" s="8"/>
    </row>
    <row r="16" spans="1:41" x14ac:dyDescent="0.25">
      <c r="A16" s="3" t="s">
        <v>21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I16" s="8"/>
      <c r="AJ16" s="8"/>
      <c r="AK16" s="8"/>
      <c r="AL16" s="8"/>
      <c r="AM16" s="8"/>
      <c r="AN16" s="8"/>
      <c r="AO16" s="8"/>
    </row>
    <row r="17" spans="1:41" x14ac:dyDescent="0.25">
      <c r="A17" s="3" t="s">
        <v>22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I17" s="8"/>
      <c r="AJ17" s="8"/>
      <c r="AK17" s="8"/>
      <c r="AL17" s="8"/>
      <c r="AM17" s="8"/>
      <c r="AN17" s="8"/>
      <c r="AO17" s="8"/>
    </row>
    <row r="18" spans="1:41" x14ac:dyDescent="0.25">
      <c r="A18" s="3" t="s">
        <v>23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I18" s="8"/>
      <c r="AJ18" s="8"/>
      <c r="AK18" s="8"/>
      <c r="AL18" s="8"/>
      <c r="AM18" s="8"/>
      <c r="AN18" s="8"/>
      <c r="AO18" s="8"/>
    </row>
    <row r="19" spans="1:41" x14ac:dyDescent="0.25">
      <c r="A19" s="3" t="s">
        <v>24</v>
      </c>
      <c r="B19" s="7">
        <v>0</v>
      </c>
      <c r="C19" s="7">
        <v>1.128283937994933</v>
      </c>
      <c r="D19" s="7">
        <v>0.82911774231445812</v>
      </c>
      <c r="E19" s="7">
        <v>0.77783210876923403</v>
      </c>
      <c r="F19" s="7">
        <v>0.83766534790532887</v>
      </c>
      <c r="G19" s="7">
        <v>0.81202253113271683</v>
      </c>
      <c r="H19" s="7">
        <v>0</v>
      </c>
      <c r="I19" s="7">
        <v>0</v>
      </c>
      <c r="J19" s="7">
        <v>1.1197363324040621</v>
      </c>
      <c r="K19" s="7">
        <v>0.64961802490617349</v>
      </c>
      <c r="L19" s="7">
        <v>0.77783210876923403</v>
      </c>
      <c r="M19" s="7">
        <v>0.83766534790532887</v>
      </c>
      <c r="N19" s="7">
        <v>0.64107041931530273</v>
      </c>
      <c r="O19" s="7">
        <v>0</v>
      </c>
      <c r="P19" s="7">
        <v>0</v>
      </c>
      <c r="Q19" s="7">
        <v>1.1368315435858036</v>
      </c>
      <c r="R19" s="7">
        <v>0.83766534790532887</v>
      </c>
      <c r="S19" s="7">
        <v>0.61542760254269058</v>
      </c>
      <c r="T19" s="7">
        <v>0.84621295349619952</v>
      </c>
      <c r="U19" s="7">
        <v>0.82057013672358747</v>
      </c>
      <c r="V19" s="7">
        <v>0</v>
      </c>
      <c r="W19" s="7">
        <v>0</v>
      </c>
      <c r="X19" s="7">
        <v>0.94878422058664813</v>
      </c>
      <c r="Y19" s="7">
        <v>0.81202253113271683</v>
      </c>
      <c r="Z19" s="7">
        <v>0.76073689758749263</v>
      </c>
      <c r="AA19" s="7">
        <v>0.82911774231445812</v>
      </c>
      <c r="AB19" s="7">
        <v>0.79492731995097543</v>
      </c>
      <c r="AC19" s="7">
        <v>0</v>
      </c>
      <c r="AD19" s="7">
        <v>0</v>
      </c>
      <c r="AE19" s="7">
        <v>0.94878422058664813</v>
      </c>
      <c r="AF19" s="7">
        <v>0.81202253113271683</v>
      </c>
      <c r="AI19" s="9" cm="1">
        <f t="array" ref="AI19">MAX(_xlfn._xlws.FILTER($D19:$AF19, $D$2:$AF$2=AI$2))</f>
        <v>1.1368315435858036</v>
      </c>
      <c r="AJ19" s="9" cm="1">
        <f t="array" ref="AJ19">MAX(_xlfn._xlws.FILTER($B19:$AF19, $B$2:$AF$2=AJ$2))</f>
        <v>0.83766534790532887</v>
      </c>
      <c r="AK19" s="9" cm="1">
        <f t="array" ref="AK19">MAX(_xlfn._xlws.FILTER($B19:$AF19, $B$2:$AF$2=AK$2))</f>
        <v>0.77783210876923403</v>
      </c>
      <c r="AL19" s="9" cm="1">
        <f t="array" ref="AL19">MAX(_xlfn._xlws.FILTER($B19:$AF19, $B$2:$AF$2=AL$2))</f>
        <v>0.84621295349619952</v>
      </c>
      <c r="AM19" s="9" cm="1">
        <f t="array" ref="AM19">MAX(_xlfn._xlws.FILTER($B19:$AF19, $B$2:$AF$2=AM$2))</f>
        <v>0.82057013672358747</v>
      </c>
      <c r="AN19" s="9" cm="1">
        <f t="array" ref="AN19">MAX(_xlfn._xlws.FILTER($B19:$AF19, $B$2:$AF$2=AN$2))</f>
        <v>0</v>
      </c>
      <c r="AO19" s="9" cm="1">
        <f t="array" ref="AO19">MAX(_xlfn._xlws.FILTER($B19:$AF19, $B$2:$AF$2=AO$2))</f>
        <v>0</v>
      </c>
    </row>
    <row r="20" spans="1:41" x14ac:dyDescent="0.25">
      <c r="A20" s="3" t="s">
        <v>25</v>
      </c>
      <c r="B20" s="7">
        <v>0</v>
      </c>
      <c r="C20" s="7">
        <v>1.9061160467641667</v>
      </c>
      <c r="D20" s="7">
        <v>1.3590692889484419</v>
      </c>
      <c r="E20" s="7">
        <v>1.0086174597227429</v>
      </c>
      <c r="F20" s="7">
        <v>1.2906884442214761</v>
      </c>
      <c r="G20" s="7">
        <v>1.128283937994933</v>
      </c>
      <c r="H20" s="7">
        <v>0</v>
      </c>
      <c r="I20" s="7">
        <v>0</v>
      </c>
      <c r="J20" s="7">
        <v>1.7180687237650112</v>
      </c>
      <c r="K20" s="7">
        <v>1.0257126709044844</v>
      </c>
      <c r="L20" s="7">
        <v>1.0086174597227429</v>
      </c>
      <c r="M20" s="7">
        <v>1.1026411212223208</v>
      </c>
      <c r="N20" s="7">
        <v>0.96587943176838942</v>
      </c>
      <c r="O20" s="7">
        <v>0</v>
      </c>
      <c r="P20" s="7">
        <v>0</v>
      </c>
      <c r="Q20" s="7">
        <v>1.7351639349467525</v>
      </c>
      <c r="R20" s="7">
        <v>1.0428078820862257</v>
      </c>
      <c r="S20" s="7">
        <v>1.0257126709044844</v>
      </c>
      <c r="T20" s="7">
        <v>1.1197363324040621</v>
      </c>
      <c r="U20" s="7">
        <v>0.97442703735926006</v>
      </c>
      <c r="V20" s="7">
        <v>0</v>
      </c>
      <c r="W20" s="7">
        <v>0</v>
      </c>
      <c r="X20" s="7">
        <v>1.4958309784023729</v>
      </c>
      <c r="Y20" s="7">
        <v>1.0086174597227429</v>
      </c>
      <c r="Z20" s="7">
        <v>0.98297464295013082</v>
      </c>
      <c r="AA20" s="7">
        <v>1.2564980218579933</v>
      </c>
      <c r="AB20" s="7">
        <v>0.94878422058664813</v>
      </c>
      <c r="AC20" s="7">
        <v>0</v>
      </c>
      <c r="AD20" s="7">
        <v>0</v>
      </c>
      <c r="AE20" s="7">
        <v>1.6838783014015284</v>
      </c>
      <c r="AF20" s="7">
        <v>1.1624743603584156</v>
      </c>
      <c r="AI20" s="9" cm="1">
        <f t="array" ref="AI20">MAX(_xlfn._xlws.FILTER($D20:$AF20, $D$2:$AF$2=AI$2))</f>
        <v>1.7351639349467525</v>
      </c>
      <c r="AJ20" s="9" cm="1">
        <f t="array" ref="AJ20">MAX(_xlfn._xlws.FILTER($B20:$AF20, $B$2:$AF$2=AJ$2))</f>
        <v>1.3590692889484419</v>
      </c>
      <c r="AK20" s="9" cm="1">
        <f t="array" ref="AK20">MAX(_xlfn._xlws.FILTER($B20:$AF20, $B$2:$AF$2=AK$2))</f>
        <v>1.0257126709044844</v>
      </c>
      <c r="AL20" s="9" cm="1">
        <f t="array" ref="AL20">MAX(_xlfn._xlws.FILTER($B20:$AF20, $B$2:$AF$2=AL$2))</f>
        <v>1.2906884442214761</v>
      </c>
      <c r="AM20" s="9" cm="1">
        <f t="array" ref="AM20">MAX(_xlfn._xlws.FILTER($B20:$AF20, $B$2:$AF$2=AM$2))</f>
        <v>1.128283937994933</v>
      </c>
      <c r="AN20" s="9" cm="1">
        <f t="array" ref="AN20">MAX(_xlfn._xlws.FILTER($B20:$AF20, $B$2:$AF$2=AN$2))</f>
        <v>0</v>
      </c>
      <c r="AO20" s="9" cm="1">
        <f t="array" ref="AO20">MAX(_xlfn._xlws.FILTER($B20:$AF20, $B$2:$AF$2=AO$2))</f>
        <v>0</v>
      </c>
    </row>
    <row r="21" spans="1:41" x14ac:dyDescent="0.25">
      <c r="A21" s="3" t="s">
        <v>26</v>
      </c>
      <c r="B21" s="7">
        <v>0</v>
      </c>
      <c r="C21" s="7">
        <v>3.3335661804395742</v>
      </c>
      <c r="D21" s="7">
        <v>2.1454490033085465</v>
      </c>
      <c r="E21" s="7">
        <v>1.8719256244006839</v>
      </c>
      <c r="F21" s="7">
        <v>1.9317588635367788</v>
      </c>
      <c r="G21" s="7">
        <v>1.7009735125832699</v>
      </c>
      <c r="H21" s="7">
        <v>0</v>
      </c>
      <c r="I21" s="7">
        <v>0</v>
      </c>
      <c r="J21" s="7">
        <v>3.0942332238951948</v>
      </c>
      <c r="K21" s="7">
        <v>1.7949971740828476</v>
      </c>
      <c r="L21" s="7">
        <v>1.6838783014015284</v>
      </c>
      <c r="M21" s="7">
        <v>1.7437115405376236</v>
      </c>
      <c r="N21" s="7">
        <v>1.5385690063567266</v>
      </c>
      <c r="O21" s="7">
        <v>0</v>
      </c>
      <c r="P21" s="7">
        <v>0</v>
      </c>
      <c r="Q21" s="7">
        <v>3.1369712518495483</v>
      </c>
      <c r="R21" s="7">
        <v>1.6496878790380456</v>
      </c>
      <c r="S21" s="7">
        <v>1.7095211181741408</v>
      </c>
      <c r="T21" s="7">
        <v>1.7608067517193648</v>
      </c>
      <c r="U21" s="7">
        <v>1.5556642175384681</v>
      </c>
      <c r="V21" s="7">
        <v>0</v>
      </c>
      <c r="W21" s="7">
        <v>0</v>
      </c>
      <c r="X21" s="7">
        <v>2.7950670282147199</v>
      </c>
      <c r="Y21" s="7">
        <v>1.5984022454928215</v>
      </c>
      <c r="Z21" s="7">
        <v>1.6582354846289162</v>
      </c>
      <c r="AA21" s="7">
        <v>1.7095211181741408</v>
      </c>
      <c r="AB21" s="7">
        <v>1.5043785839932438</v>
      </c>
      <c r="AC21" s="7">
        <v>0</v>
      </c>
      <c r="AD21" s="7">
        <v>0</v>
      </c>
      <c r="AE21" s="7">
        <v>3.0258523791682292</v>
      </c>
      <c r="AF21" s="7">
        <v>1.7608067517193648</v>
      </c>
      <c r="AI21" s="9" cm="1">
        <f t="array" ref="AI21">MAX(_xlfn._xlws.FILTER($D21:$AF21, $D$2:$AF$2=AI$2))</f>
        <v>3.1369712518495483</v>
      </c>
      <c r="AJ21" s="9" cm="1">
        <f t="array" ref="AJ21">MAX(_xlfn._xlws.FILTER($B21:$AF21, $B$2:$AF$2=AJ$2))</f>
        <v>2.1454490033085465</v>
      </c>
      <c r="AK21" s="9" cm="1">
        <f t="array" ref="AK21">MAX(_xlfn._xlws.FILTER($B21:$AF21, $B$2:$AF$2=AK$2))</f>
        <v>1.8719256244006839</v>
      </c>
      <c r="AL21" s="9" cm="1">
        <f t="array" ref="AL21">MAX(_xlfn._xlws.FILTER($B21:$AF21, $B$2:$AF$2=AL$2))</f>
        <v>1.9317588635367788</v>
      </c>
      <c r="AM21" s="9" cm="1">
        <f t="array" ref="AM21">MAX(_xlfn._xlws.FILTER($B21:$AF21, $B$2:$AF$2=AM$2))</f>
        <v>1.7009735125832699</v>
      </c>
      <c r="AN21" s="9" cm="1">
        <f t="array" ref="AN21">MAX(_xlfn._xlws.FILTER($B21:$AF21, $B$2:$AF$2=AN$2))</f>
        <v>0</v>
      </c>
      <c r="AO21" s="9" cm="1">
        <f t="array" ref="AO21">MAX(_xlfn._xlws.FILTER($B21:$AF21, $B$2:$AF$2=AO$2))</f>
        <v>0</v>
      </c>
    </row>
    <row r="22" spans="1:41" x14ac:dyDescent="0.25">
      <c r="A22" s="3" t="s">
        <v>27</v>
      </c>
      <c r="B22" s="7">
        <v>0</v>
      </c>
      <c r="C22" s="7">
        <v>5.1627537768859044</v>
      </c>
      <c r="D22" s="7">
        <v>3.1797092798039017</v>
      </c>
      <c r="E22" s="7">
        <v>2.9574715344412632</v>
      </c>
      <c r="F22" s="7">
        <v>2.8719954785325563</v>
      </c>
      <c r="G22" s="7">
        <v>2.4702580157616332</v>
      </c>
      <c r="H22" s="7">
        <v>0</v>
      </c>
      <c r="I22" s="7">
        <v>0</v>
      </c>
      <c r="J22" s="7">
        <v>4.6498974414336622</v>
      </c>
      <c r="K22" s="7">
        <v>2.7950670282147199</v>
      </c>
      <c r="L22" s="7">
        <v>2.7523290002603664</v>
      </c>
      <c r="M22" s="7">
        <v>2.4788056213525036</v>
      </c>
      <c r="N22" s="7">
        <v>2.2822106927624777</v>
      </c>
      <c r="O22" s="7">
        <v>0</v>
      </c>
      <c r="P22" s="7">
        <v>0</v>
      </c>
      <c r="Q22" s="7">
        <v>4.4703977240253785</v>
      </c>
      <c r="R22" s="7">
        <v>2.6412101275790469</v>
      </c>
      <c r="S22" s="7">
        <v>2.7950670282147199</v>
      </c>
      <c r="T22" s="7">
        <v>2.5129960437159866</v>
      </c>
      <c r="U22" s="7">
        <v>2.3164011151259607</v>
      </c>
      <c r="V22" s="7">
        <v>0</v>
      </c>
      <c r="W22" s="7">
        <v>0</v>
      </c>
      <c r="X22" s="7">
        <v>4.2994456122079638</v>
      </c>
      <c r="Y22" s="7">
        <v>2.5471864660794692</v>
      </c>
      <c r="Z22" s="7">
        <v>2.6839481555334008</v>
      </c>
      <c r="AA22" s="7">
        <v>2.4275199878072797</v>
      </c>
      <c r="AB22" s="7">
        <v>2.2309250592172534</v>
      </c>
      <c r="AC22" s="7">
        <v>0</v>
      </c>
      <c r="AD22" s="7">
        <v>0</v>
      </c>
      <c r="AE22" s="7">
        <v>4.5473261743432145</v>
      </c>
      <c r="AF22" s="7">
        <v>2.7352337890786251</v>
      </c>
      <c r="AI22" s="9" cm="1">
        <f t="array" ref="AI22">MAX(_xlfn._xlws.FILTER($D22:$AF22, $D$2:$AF$2=AI$2))</f>
        <v>4.6498974414336622</v>
      </c>
      <c r="AJ22" s="9" cm="1">
        <f t="array" ref="AJ22">MAX(_xlfn._xlws.FILTER($B22:$AF22, $B$2:$AF$2=AJ$2))</f>
        <v>3.1797092798039017</v>
      </c>
      <c r="AK22" s="9" cm="1">
        <f t="array" ref="AK22">MAX(_xlfn._xlws.FILTER($B22:$AF22, $B$2:$AF$2=AK$2))</f>
        <v>2.9574715344412632</v>
      </c>
      <c r="AL22" s="9" cm="1">
        <f t="array" ref="AL22">MAX(_xlfn._xlws.FILTER($B22:$AF22, $B$2:$AF$2=AL$2))</f>
        <v>2.8719954785325563</v>
      </c>
      <c r="AM22" s="9" cm="1">
        <f t="array" ref="AM22">MAX(_xlfn._xlws.FILTER($B22:$AF22, $B$2:$AF$2=AM$2))</f>
        <v>2.4702580157616332</v>
      </c>
      <c r="AN22" s="9" cm="1">
        <f t="array" ref="AN22">MAX(_xlfn._xlws.FILTER($B22:$AF22, $B$2:$AF$2=AN$2))</f>
        <v>0</v>
      </c>
      <c r="AO22" s="9" cm="1">
        <f t="array" ref="AO22">MAX(_xlfn._xlws.FILTER($B22:$AF22, $B$2:$AF$2=AO$2))</f>
        <v>0</v>
      </c>
    </row>
    <row r="23" spans="1:41" x14ac:dyDescent="0.25">
      <c r="A23" s="3" t="s">
        <v>28</v>
      </c>
      <c r="B23" s="7">
        <v>0</v>
      </c>
      <c r="C23" s="7">
        <v>5.8209194073829487</v>
      </c>
      <c r="D23" s="7">
        <v>4.4533025128436368</v>
      </c>
      <c r="E23" s="7">
        <v>3.8549701214826868</v>
      </c>
      <c r="F23" s="7">
        <v>3.5814467425748249</v>
      </c>
      <c r="G23" s="7">
        <v>3.4019470251665398</v>
      </c>
      <c r="H23" s="7">
        <v>0</v>
      </c>
      <c r="I23" s="7">
        <v>0</v>
      </c>
      <c r="J23" s="7">
        <v>5.3678963110668017</v>
      </c>
      <c r="K23" s="7">
        <v>3.6412799817109196</v>
      </c>
      <c r="L23" s="7">
        <v>3.4275898419391515</v>
      </c>
      <c r="M23" s="7">
        <v>3.16261406862216</v>
      </c>
      <c r="N23" s="7">
        <v>3.0173047735773579</v>
      </c>
      <c r="O23" s="7">
        <v>0</v>
      </c>
      <c r="P23" s="7">
        <v>0</v>
      </c>
      <c r="Q23" s="7">
        <v>5.4533723669755085</v>
      </c>
      <c r="R23" s="7">
        <v>3.6925656152561439</v>
      </c>
      <c r="S23" s="7">
        <v>3.6925656152561439</v>
      </c>
      <c r="T23" s="7">
        <v>3.2138997021673843</v>
      </c>
      <c r="U23" s="7">
        <v>3.0600428015317118</v>
      </c>
      <c r="V23" s="7">
        <v>0</v>
      </c>
      <c r="W23" s="7">
        <v>0</v>
      </c>
      <c r="X23" s="7">
        <v>4.8037543420693352</v>
      </c>
      <c r="Y23" s="7">
        <v>3.3592089972121868</v>
      </c>
      <c r="Z23" s="7">
        <v>3.3592089972121868</v>
      </c>
      <c r="AA23" s="7">
        <v>3.0942332238951948</v>
      </c>
      <c r="AB23" s="7">
        <v>2.9403763232595219</v>
      </c>
      <c r="AC23" s="7">
        <v>0</v>
      </c>
      <c r="AD23" s="7">
        <v>0</v>
      </c>
      <c r="AE23" s="7">
        <v>5.2396822272037404</v>
      </c>
      <c r="AF23" s="7">
        <v>3.7523988543922386</v>
      </c>
      <c r="AI23" s="9" cm="1">
        <f t="array" ref="AI23">MAX(_xlfn._xlws.FILTER($D23:$AF23, $D$2:$AF$2=AI$2))</f>
        <v>5.4533723669755085</v>
      </c>
      <c r="AJ23" s="9" cm="1">
        <f t="array" ref="AJ23">MAX(_xlfn._xlws.FILTER($B23:$AF23, $B$2:$AF$2=AJ$2))</f>
        <v>4.4533025128436368</v>
      </c>
      <c r="AK23" s="9" cm="1">
        <f t="array" ref="AK23">MAX(_xlfn._xlws.FILTER($B23:$AF23, $B$2:$AF$2=AK$2))</f>
        <v>3.8549701214826868</v>
      </c>
      <c r="AL23" s="9" cm="1">
        <f t="array" ref="AL23">MAX(_xlfn._xlws.FILTER($B23:$AF23, $B$2:$AF$2=AL$2))</f>
        <v>3.5814467425748249</v>
      </c>
      <c r="AM23" s="9" cm="1">
        <f t="array" ref="AM23">MAX(_xlfn._xlws.FILTER($B23:$AF23, $B$2:$AF$2=AM$2))</f>
        <v>3.4019470251665398</v>
      </c>
      <c r="AN23" s="9" cm="1">
        <f t="array" ref="AN23">MAX(_xlfn._xlws.FILTER($B23:$AF23, $B$2:$AF$2=AN$2))</f>
        <v>0</v>
      </c>
      <c r="AO23" s="9" cm="1">
        <f t="array" ref="AO23">MAX(_xlfn._xlws.FILTER($B23:$AF23, $B$2:$AF$2=AO$2))</f>
        <v>0</v>
      </c>
    </row>
    <row r="24" spans="1:41" x14ac:dyDescent="0.25">
      <c r="A24" s="3" t="s">
        <v>29</v>
      </c>
      <c r="B24" s="7">
        <v>0</v>
      </c>
      <c r="C24" s="7">
        <v>7.3167503857853227</v>
      </c>
      <c r="D24" s="7">
        <v>5.7610861682468535</v>
      </c>
      <c r="E24" s="7">
        <v>5.2225870160219996</v>
      </c>
      <c r="F24" s="7">
        <v>4.4789453296162485</v>
      </c>
      <c r="G24" s="7">
        <v>4.5387785687523428</v>
      </c>
      <c r="H24" s="7">
        <v>0</v>
      </c>
      <c r="I24" s="7">
        <v>0</v>
      </c>
      <c r="J24" s="7">
        <v>6.6158467273339241</v>
      </c>
      <c r="K24" s="7">
        <v>4.9063256091597838</v>
      </c>
      <c r="L24" s="7">
        <v>4.7781115252967234</v>
      </c>
      <c r="M24" s="7">
        <v>4.060112655663584</v>
      </c>
      <c r="N24" s="7">
        <v>3.948993782982265</v>
      </c>
      <c r="O24" s="7">
        <v>0</v>
      </c>
      <c r="P24" s="7">
        <v>0</v>
      </c>
      <c r="Q24" s="7">
        <v>6.4961802490617346</v>
      </c>
      <c r="R24" s="7">
        <v>4.7695639197058526</v>
      </c>
      <c r="S24" s="7">
        <v>4.8464923700236886</v>
      </c>
      <c r="T24" s="7">
        <v>3.914803360618782</v>
      </c>
      <c r="U24" s="7">
        <v>4.0002794165274889</v>
      </c>
      <c r="V24" s="7">
        <v>0</v>
      </c>
      <c r="W24" s="7">
        <v>0</v>
      </c>
      <c r="X24" s="7">
        <v>6.017514335972975</v>
      </c>
      <c r="Y24" s="7">
        <v>4.3763740625258007</v>
      </c>
      <c r="Z24" s="7">
        <v>4.6584450470245331</v>
      </c>
      <c r="AA24" s="7">
        <v>3.9660889941640063</v>
      </c>
      <c r="AB24" s="7">
        <v>3.8549701214826868</v>
      </c>
      <c r="AC24" s="7">
        <v>0</v>
      </c>
      <c r="AD24" s="7">
        <v>0</v>
      </c>
      <c r="AE24" s="7">
        <v>6.2397520813356131</v>
      </c>
      <c r="AF24" s="7">
        <v>5.0003492706593615</v>
      </c>
      <c r="AI24" s="9" cm="1">
        <f t="array" ref="AI24">MAX(_xlfn._xlws.FILTER($D24:$AF24, $D$2:$AF$2=AI$2))</f>
        <v>6.6158467273339241</v>
      </c>
      <c r="AJ24" s="9" cm="1">
        <f t="array" ref="AJ24">MAX(_xlfn._xlws.FILTER($B24:$AF24, $B$2:$AF$2=AJ$2))</f>
        <v>5.7610861682468535</v>
      </c>
      <c r="AK24" s="9" cm="1">
        <f t="array" ref="AK24">MAX(_xlfn._xlws.FILTER($B24:$AF24, $B$2:$AF$2=AK$2))</f>
        <v>5.2225870160219996</v>
      </c>
      <c r="AL24" s="9" cm="1">
        <f t="array" ref="AL24">MAX(_xlfn._xlws.FILTER($B24:$AF24, $B$2:$AF$2=AL$2))</f>
        <v>4.4789453296162485</v>
      </c>
      <c r="AM24" s="9" cm="1">
        <f t="array" ref="AM24">MAX(_xlfn._xlws.FILTER($B24:$AF24, $B$2:$AF$2=AM$2))</f>
        <v>4.5387785687523428</v>
      </c>
      <c r="AN24" s="9" cm="1">
        <f t="array" ref="AN24">MAX(_xlfn._xlws.FILTER($B24:$AF24, $B$2:$AF$2=AN$2))</f>
        <v>0</v>
      </c>
      <c r="AO24" s="9" cm="1">
        <f t="array" ref="AO24">MAX(_xlfn._xlws.FILTER($B24:$AF24, $B$2:$AF$2=AO$2))</f>
        <v>0</v>
      </c>
    </row>
    <row r="25" spans="1:41" x14ac:dyDescent="0.25">
      <c r="A25" s="3" t="s">
        <v>30</v>
      </c>
      <c r="B25" s="7">
        <v>0</v>
      </c>
      <c r="C25" s="7">
        <v>9.9665081189552396</v>
      </c>
      <c r="D25" s="7">
        <v>7.5304405255570899</v>
      </c>
      <c r="E25" s="7">
        <v>9.5305802338208352</v>
      </c>
      <c r="F25" s="7">
        <v>6.1713712366086471</v>
      </c>
      <c r="G25" s="7">
        <v>6.0346095471547159</v>
      </c>
      <c r="H25" s="7">
        <v>0</v>
      </c>
      <c r="I25" s="7">
        <v>0</v>
      </c>
      <c r="J25" s="7">
        <v>8.6758196747337646</v>
      </c>
      <c r="K25" s="7">
        <v>6.2141092645630005</v>
      </c>
      <c r="L25" s="7">
        <v>8.5134151685072208</v>
      </c>
      <c r="M25" s="7">
        <v>5.2824202551580939</v>
      </c>
      <c r="N25" s="7">
        <v>5.1713013824767753</v>
      </c>
      <c r="O25" s="7">
        <v>0</v>
      </c>
      <c r="P25" s="7">
        <v>0</v>
      </c>
      <c r="Q25" s="7">
        <v>8.8211289697785666</v>
      </c>
      <c r="R25" s="7">
        <v>6.0858951806999411</v>
      </c>
      <c r="S25" s="7">
        <v>8.9920810815959786</v>
      </c>
      <c r="T25" s="7">
        <v>5.3678963110668017</v>
      </c>
      <c r="U25" s="7">
        <v>5.4704675781572503</v>
      </c>
      <c r="V25" s="7">
        <v>0</v>
      </c>
      <c r="W25" s="7">
        <v>0</v>
      </c>
      <c r="X25" s="7">
        <v>7.9749160162823669</v>
      </c>
      <c r="Y25" s="7">
        <v>5.6328720843837932</v>
      </c>
      <c r="Z25" s="7">
        <v>8.6330816467794094</v>
      </c>
      <c r="AA25" s="7">
        <v>5.3678963110668017</v>
      </c>
      <c r="AB25" s="7">
        <v>5.2567774383854831</v>
      </c>
      <c r="AC25" s="7">
        <v>0</v>
      </c>
      <c r="AD25" s="7">
        <v>0</v>
      </c>
      <c r="AE25" s="7">
        <v>8.4706771405528674</v>
      </c>
      <c r="AF25" s="7">
        <v>6.2739425036990966</v>
      </c>
      <c r="AI25" s="9" cm="1">
        <f t="array" ref="AI25">MAX(_xlfn._xlws.FILTER($D25:$AF25, $D$2:$AF$2=AI$2))</f>
        <v>8.8211289697785666</v>
      </c>
      <c r="AJ25" s="9" cm="1">
        <f t="array" ref="AJ25">MAX(_xlfn._xlws.FILTER($B25:$AF25, $B$2:$AF$2=AJ$2))</f>
        <v>7.5304405255570899</v>
      </c>
      <c r="AK25" s="9" cm="1">
        <f t="array" ref="AK25">MAX(_xlfn._xlws.FILTER($B25:$AF25, $B$2:$AF$2=AK$2))</f>
        <v>9.5305802338208352</v>
      </c>
      <c r="AL25" s="9" cm="1">
        <f t="array" ref="AL25">MAX(_xlfn._xlws.FILTER($B25:$AF25, $B$2:$AF$2=AL$2))</f>
        <v>6.1713712366086471</v>
      </c>
      <c r="AM25" s="9" cm="1">
        <f t="array" ref="AM25">MAX(_xlfn._xlws.FILTER($B25:$AF25, $B$2:$AF$2=AM$2))</f>
        <v>6.0346095471547159</v>
      </c>
      <c r="AN25" s="9" cm="1">
        <f t="array" ref="AN25">MAX(_xlfn._xlws.FILTER($B25:$AF25, $B$2:$AF$2=AN$2))</f>
        <v>0</v>
      </c>
      <c r="AO25" s="9" cm="1">
        <f t="array" ref="AO25">MAX(_xlfn._xlws.FILTER($B25:$AF25, $B$2:$AF$2=AO$2))</f>
        <v>0</v>
      </c>
    </row>
    <row r="26" spans="1:41" x14ac:dyDescent="0.25">
      <c r="A26" s="3" t="s">
        <v>31</v>
      </c>
      <c r="B26" s="7">
        <v>0</v>
      </c>
      <c r="C26" s="7">
        <v>12.05212388312769</v>
      </c>
      <c r="D26" s="7">
        <v>8.6159864355976676</v>
      </c>
      <c r="E26" s="7">
        <v>14.932666967251118</v>
      </c>
      <c r="F26" s="7">
        <v>7.3680360193305452</v>
      </c>
      <c r="G26" s="7">
        <v>7.154345879558778</v>
      </c>
      <c r="H26" s="7">
        <v>0</v>
      </c>
      <c r="I26" s="7">
        <v>0</v>
      </c>
      <c r="J26" s="7">
        <v>10.624673749452283</v>
      </c>
      <c r="K26" s="7">
        <v>7.2483695410583557</v>
      </c>
      <c r="L26" s="7">
        <v>13.453931200030487</v>
      </c>
      <c r="M26" s="7">
        <v>6.2141092645630005</v>
      </c>
      <c r="N26" s="7">
        <v>6.2312044757447431</v>
      </c>
      <c r="O26" s="7">
        <v>0</v>
      </c>
      <c r="P26" s="7">
        <v>0</v>
      </c>
      <c r="Q26" s="7">
        <v>10.522102482361836</v>
      </c>
      <c r="R26" s="7">
        <v>6.9150129230143991</v>
      </c>
      <c r="S26" s="7">
        <v>14.163382464072754</v>
      </c>
      <c r="T26" s="7">
        <v>6.31668053165345</v>
      </c>
      <c r="U26" s="7">
        <v>6.5560134881978289</v>
      </c>
      <c r="V26" s="7">
        <v>0</v>
      </c>
      <c r="W26" s="7">
        <v>0</v>
      </c>
      <c r="X26" s="7">
        <v>9.8382940350921793</v>
      </c>
      <c r="Y26" s="7">
        <v>6.6414895441065358</v>
      </c>
      <c r="Z26" s="7">
        <v>13.1291221875774</v>
      </c>
      <c r="AA26" s="7">
        <v>6.2910377148808374</v>
      </c>
      <c r="AB26" s="7">
        <v>6.0773475751090702</v>
      </c>
      <c r="AC26" s="7">
        <v>0</v>
      </c>
      <c r="AD26" s="7">
        <v>0</v>
      </c>
      <c r="AE26" s="7">
        <v>10.368245581726162</v>
      </c>
      <c r="AF26" s="7">
        <v>7.2996551746035792</v>
      </c>
      <c r="AI26" s="9" cm="1">
        <f t="array" ref="AI26">MAX(_xlfn._xlws.FILTER($D26:$AF26, $D$2:$AF$2=AI$2))</f>
        <v>10.624673749452283</v>
      </c>
      <c r="AJ26" s="9" cm="1">
        <f t="array" ref="AJ26">MAX(_xlfn._xlws.FILTER($B26:$AF26, $B$2:$AF$2=AJ$2))</f>
        <v>8.6159864355976676</v>
      </c>
      <c r="AK26" s="9" cm="1">
        <f t="array" ref="AK26">MAX(_xlfn._xlws.FILTER($B26:$AF26, $B$2:$AF$2=AK$2))</f>
        <v>14.932666967251118</v>
      </c>
      <c r="AL26" s="9" cm="1">
        <f t="array" ref="AL26">MAX(_xlfn._xlws.FILTER($B26:$AF26, $B$2:$AF$2=AL$2))</f>
        <v>7.3680360193305452</v>
      </c>
      <c r="AM26" s="9" cm="1">
        <f t="array" ref="AM26">MAX(_xlfn._xlws.FILTER($B26:$AF26, $B$2:$AF$2=AM$2))</f>
        <v>7.154345879558778</v>
      </c>
      <c r="AN26" s="9" cm="1">
        <f t="array" ref="AN26">MAX(_xlfn._xlws.FILTER($B26:$AF26, $B$2:$AF$2=AN$2))</f>
        <v>0</v>
      </c>
      <c r="AO26" s="9" cm="1">
        <f t="array" ref="AO26">MAX(_xlfn._xlws.FILTER($B26:$AF26, $B$2:$AF$2=AO$2))</f>
        <v>0</v>
      </c>
    </row>
    <row r="27" spans="1:41" x14ac:dyDescent="0.25">
      <c r="A27" s="3" t="s">
        <v>32</v>
      </c>
      <c r="B27" s="7">
        <v>0</v>
      </c>
      <c r="C27" s="7">
        <v>13.496669227984841</v>
      </c>
      <c r="D27" s="7">
        <v>9.2741520660947128</v>
      </c>
      <c r="E27" s="7">
        <v>10.838363889224052</v>
      </c>
      <c r="F27" s="7">
        <v>7.1457982739679071</v>
      </c>
      <c r="G27" s="7">
        <v>7.1970839075131323</v>
      </c>
      <c r="H27" s="7">
        <v>0</v>
      </c>
      <c r="I27" s="7">
        <v>0</v>
      </c>
      <c r="J27" s="7">
        <v>11.941005010446371</v>
      </c>
      <c r="K27" s="7">
        <v>7.6073689758749259</v>
      </c>
      <c r="L27" s="7">
        <v>9.48784220586648</v>
      </c>
      <c r="M27" s="7">
        <v>6.2482996869264831</v>
      </c>
      <c r="N27" s="7">
        <v>6.2653948981082257</v>
      </c>
      <c r="O27" s="7">
        <v>0</v>
      </c>
      <c r="P27" s="7">
        <v>0</v>
      </c>
      <c r="Q27" s="7">
        <v>11.829886137765053</v>
      </c>
      <c r="R27" s="7">
        <v>7.4877024976027355</v>
      </c>
      <c r="S27" s="7">
        <v>9.9750557245461113</v>
      </c>
      <c r="T27" s="7">
        <v>6.1200856030634236</v>
      </c>
      <c r="U27" s="7">
        <v>6.3594185596078034</v>
      </c>
      <c r="V27" s="7">
        <v>0</v>
      </c>
      <c r="W27" s="7">
        <v>0</v>
      </c>
      <c r="X27" s="7">
        <v>11.052054028995819</v>
      </c>
      <c r="Y27" s="7">
        <v>6.9662985565596234</v>
      </c>
      <c r="Z27" s="7">
        <v>9.5818658673660586</v>
      </c>
      <c r="AA27" s="7">
        <v>6.0944427862908119</v>
      </c>
      <c r="AB27" s="7">
        <v>6.1115379974725528</v>
      </c>
      <c r="AC27" s="7">
        <v>0</v>
      </c>
      <c r="AD27" s="7">
        <v>0</v>
      </c>
      <c r="AE27" s="7">
        <v>11.650386420356769</v>
      </c>
      <c r="AF27" s="7">
        <v>7.6586546094201502</v>
      </c>
      <c r="AI27" s="9" cm="1">
        <f t="array" ref="AI27">MAX(_xlfn._xlws.FILTER($D27:$AF27, $D$2:$AF$2=AI$2))</f>
        <v>11.941005010446371</v>
      </c>
      <c r="AJ27" s="9" cm="1">
        <f t="array" ref="AJ27">MAX(_xlfn._xlws.FILTER($B27:$AF27, $B$2:$AF$2=AJ$2))</f>
        <v>9.2741520660947128</v>
      </c>
      <c r="AK27" s="9" cm="1">
        <f t="array" ref="AK27">MAX(_xlfn._xlws.FILTER($B27:$AF27, $B$2:$AF$2=AK$2))</f>
        <v>10.838363889224052</v>
      </c>
      <c r="AL27" s="9" cm="1">
        <f t="array" ref="AL27">MAX(_xlfn._xlws.FILTER($B27:$AF27, $B$2:$AF$2=AL$2))</f>
        <v>7.1457982739679071</v>
      </c>
      <c r="AM27" s="9" cm="1">
        <f t="array" ref="AM27">MAX(_xlfn._xlws.FILTER($B27:$AF27, $B$2:$AF$2=AM$2))</f>
        <v>7.1970839075131323</v>
      </c>
      <c r="AN27" s="9" cm="1">
        <f t="array" ref="AN27">MAX(_xlfn._xlws.FILTER($B27:$AF27, $B$2:$AF$2=AN$2))</f>
        <v>0</v>
      </c>
      <c r="AO27" s="9" cm="1">
        <f t="array" ref="AO27">MAX(_xlfn._xlws.FILTER($B27:$AF27, $B$2:$AF$2=AO$2))</f>
        <v>0</v>
      </c>
    </row>
    <row r="28" spans="1:41" x14ac:dyDescent="0.25">
      <c r="A28" s="3" t="s">
        <v>33</v>
      </c>
      <c r="B28" s="7">
        <v>0</v>
      </c>
      <c r="C28" s="7">
        <v>13.701811762165738</v>
      </c>
      <c r="D28" s="7">
        <v>9.3767233331851632</v>
      </c>
      <c r="E28" s="7">
        <v>8.5305103796889625</v>
      </c>
      <c r="F28" s="7">
        <v>7.0603222180592011</v>
      </c>
      <c r="G28" s="7">
        <v>7.2740123578309683</v>
      </c>
      <c r="H28" s="7">
        <v>0</v>
      </c>
      <c r="I28" s="7">
        <v>0</v>
      </c>
      <c r="J28" s="7">
        <v>12.385480501171648</v>
      </c>
      <c r="K28" s="7">
        <v>7.6501070038292784</v>
      </c>
      <c r="L28" s="7">
        <v>7.7099402429653736</v>
      </c>
      <c r="M28" s="7">
        <v>6.3594185596078034</v>
      </c>
      <c r="N28" s="7">
        <v>6.2910377148808374</v>
      </c>
      <c r="O28" s="7">
        <v>0</v>
      </c>
      <c r="P28" s="7">
        <v>0</v>
      </c>
      <c r="Q28" s="7">
        <v>12.274361628490329</v>
      </c>
      <c r="R28" s="7">
        <v>7.2740123578309683</v>
      </c>
      <c r="S28" s="7">
        <v>8.1031301001454263</v>
      </c>
      <c r="T28" s="7">
        <v>6.2397520813356131</v>
      </c>
      <c r="U28" s="7">
        <v>6.6329419385156649</v>
      </c>
      <c r="V28" s="7">
        <v>0</v>
      </c>
      <c r="W28" s="7">
        <v>0</v>
      </c>
      <c r="X28" s="7">
        <v>11.470886702948484</v>
      </c>
      <c r="Y28" s="7">
        <v>6.9919413733322342</v>
      </c>
      <c r="Z28" s="7">
        <v>7.521892919966219</v>
      </c>
      <c r="AA28" s="7">
        <v>6.2141092645630005</v>
      </c>
      <c r="AB28" s="7">
        <v>6.1457284198360362</v>
      </c>
      <c r="AC28" s="7">
        <v>0</v>
      </c>
      <c r="AD28" s="7">
        <v>0</v>
      </c>
      <c r="AE28" s="7">
        <v>11.778600504219828</v>
      </c>
      <c r="AF28" s="7">
        <v>7.7013926373745027</v>
      </c>
      <c r="AI28" s="9" cm="1">
        <f t="array" ref="AI28">MAX(_xlfn._xlws.FILTER($D28:$AF28, $D$2:$AF$2=AI$2))</f>
        <v>12.385480501171648</v>
      </c>
      <c r="AJ28" s="9" cm="1">
        <f t="array" ref="AJ28">MAX(_xlfn._xlws.FILTER($B28:$AF28, $B$2:$AF$2=AJ$2))</f>
        <v>9.3767233331851632</v>
      </c>
      <c r="AK28" s="9" cm="1">
        <f t="array" ref="AK28">MAX(_xlfn._xlws.FILTER($B28:$AF28, $B$2:$AF$2=AK$2))</f>
        <v>8.5305103796889625</v>
      </c>
      <c r="AL28" s="9" cm="1">
        <f t="array" ref="AL28">MAX(_xlfn._xlws.FILTER($B28:$AF28, $B$2:$AF$2=AL$2))</f>
        <v>7.0603222180592011</v>
      </c>
      <c r="AM28" s="9" cm="1">
        <f t="array" ref="AM28">MAX(_xlfn._xlws.FILTER($B28:$AF28, $B$2:$AF$2=AM$2))</f>
        <v>7.2740123578309683</v>
      </c>
      <c r="AN28" s="9" cm="1">
        <f t="array" ref="AN28">MAX(_xlfn._xlws.FILTER($B28:$AF28, $B$2:$AF$2=AN$2))</f>
        <v>0</v>
      </c>
      <c r="AO28" s="9" cm="1">
        <f t="array" ref="AO28">MAX(_xlfn._xlws.FILTER($B28:$AF28, $B$2:$AF$2=AO$2))</f>
        <v>0</v>
      </c>
    </row>
    <row r="29" spans="1:41" x14ac:dyDescent="0.25">
      <c r="A29" s="3" t="s">
        <v>34</v>
      </c>
      <c r="B29" s="7">
        <v>0</v>
      </c>
      <c r="C29" s="7">
        <v>13.616335706257029</v>
      </c>
      <c r="D29" s="7">
        <v>9.9237700910008844</v>
      </c>
      <c r="E29" s="7">
        <v>9.47074699468474</v>
      </c>
      <c r="F29" s="7">
        <v>7.6501070038292784</v>
      </c>
      <c r="G29" s="7">
        <v>8.368105873462417</v>
      </c>
      <c r="H29" s="7">
        <v>0</v>
      </c>
      <c r="I29" s="7">
        <v>0</v>
      </c>
      <c r="J29" s="7">
        <v>12.03502867194595</v>
      </c>
      <c r="K29" s="7">
        <v>8.0860348889636846</v>
      </c>
      <c r="L29" s="7">
        <v>8.5561531964615742</v>
      </c>
      <c r="M29" s="7">
        <v>6.6756799664700184</v>
      </c>
      <c r="N29" s="7">
        <v>7.2740123578309683</v>
      </c>
      <c r="O29" s="7">
        <v>0</v>
      </c>
      <c r="P29" s="7">
        <v>0</v>
      </c>
      <c r="Q29" s="7">
        <v>11.923909799264631</v>
      </c>
      <c r="R29" s="7">
        <v>7.6928450317836328</v>
      </c>
      <c r="S29" s="7">
        <v>9.0006286871868504</v>
      </c>
      <c r="T29" s="7">
        <v>6.5474658826069581</v>
      </c>
      <c r="U29" s="7">
        <v>7.3851312305122878</v>
      </c>
      <c r="V29" s="7">
        <v>0</v>
      </c>
      <c r="W29" s="7">
        <v>0</v>
      </c>
      <c r="X29" s="7">
        <v>11.146077690495398</v>
      </c>
      <c r="Y29" s="7">
        <v>7.3851312305122878</v>
      </c>
      <c r="Z29" s="7">
        <v>8.6330816467794094</v>
      </c>
      <c r="AA29" s="7">
        <v>6.5218230658343463</v>
      </c>
      <c r="AB29" s="7">
        <v>7.0945126404226846</v>
      </c>
      <c r="AC29" s="7">
        <v>0</v>
      </c>
      <c r="AD29" s="7">
        <v>0</v>
      </c>
      <c r="AE29" s="7">
        <v>11.445243886175872</v>
      </c>
      <c r="AF29" s="7">
        <v>8.1458681280997798</v>
      </c>
      <c r="AI29" s="9" cm="1">
        <f t="array" ref="AI29">MAX(_xlfn._xlws.FILTER($D29:$AF29, $D$2:$AF$2=AI$2))</f>
        <v>12.03502867194595</v>
      </c>
      <c r="AJ29" s="9" cm="1">
        <f t="array" ref="AJ29">MAX(_xlfn._xlws.FILTER($B29:$AF29, $B$2:$AF$2=AJ$2))</f>
        <v>9.9237700910008844</v>
      </c>
      <c r="AK29" s="9" cm="1">
        <f t="array" ref="AK29">MAX(_xlfn._xlws.FILTER($B29:$AF29, $B$2:$AF$2=AK$2))</f>
        <v>9.47074699468474</v>
      </c>
      <c r="AL29" s="9" cm="1">
        <f t="array" ref="AL29">MAX(_xlfn._xlws.FILTER($B29:$AF29, $B$2:$AF$2=AL$2))</f>
        <v>7.6501070038292784</v>
      </c>
      <c r="AM29" s="9" cm="1">
        <f t="array" ref="AM29">MAX(_xlfn._xlws.FILTER($B29:$AF29, $B$2:$AF$2=AM$2))</f>
        <v>8.368105873462417</v>
      </c>
      <c r="AN29" s="9" cm="1">
        <f t="array" ref="AN29">MAX(_xlfn._xlws.FILTER($B29:$AF29, $B$2:$AF$2=AN$2))</f>
        <v>0</v>
      </c>
      <c r="AO29" s="9" cm="1">
        <f t="array" ref="AO29">MAX(_xlfn._xlws.FILTER($B29:$AF29, $B$2:$AF$2=AO$2))</f>
        <v>0</v>
      </c>
    </row>
    <row r="30" spans="1:41" x14ac:dyDescent="0.25">
      <c r="A30" s="3" t="s">
        <v>35</v>
      </c>
      <c r="B30" s="7">
        <v>0</v>
      </c>
      <c r="C30" s="7">
        <v>13.539407255939192</v>
      </c>
      <c r="D30" s="7">
        <v>10.0947222028183</v>
      </c>
      <c r="E30" s="7">
        <v>9.9066748798191462</v>
      </c>
      <c r="F30" s="7">
        <v>7.8723447491919183</v>
      </c>
      <c r="G30" s="7">
        <v>9.2826996716855845</v>
      </c>
      <c r="H30" s="7">
        <v>0</v>
      </c>
      <c r="I30" s="7">
        <v>0</v>
      </c>
      <c r="J30" s="7">
        <v>12.274361628490329</v>
      </c>
      <c r="K30" s="7">
        <v>8.1800585504632632</v>
      </c>
      <c r="L30" s="7">
        <v>8.6758196747337646</v>
      </c>
      <c r="M30" s="7">
        <v>6.8722748950600447</v>
      </c>
      <c r="N30" s="7">
        <v>8.0860348889636846</v>
      </c>
      <c r="O30" s="7">
        <v>0</v>
      </c>
      <c r="P30" s="7">
        <v>0</v>
      </c>
      <c r="Q30" s="7">
        <v>11.855528954537665</v>
      </c>
      <c r="R30" s="7">
        <v>8.0262016498275912</v>
      </c>
      <c r="S30" s="7">
        <v>9.1202951654590407</v>
      </c>
      <c r="T30" s="7">
        <v>6.9919413733322342</v>
      </c>
      <c r="U30" s="7">
        <v>8.2227965784176167</v>
      </c>
      <c r="V30" s="7">
        <v>0</v>
      </c>
      <c r="W30" s="7">
        <v>0</v>
      </c>
      <c r="X30" s="7">
        <v>11.077696845768431</v>
      </c>
      <c r="Y30" s="7">
        <v>7.444964469648383</v>
      </c>
      <c r="Z30" s="7">
        <v>8.7612957306424715</v>
      </c>
      <c r="AA30" s="7">
        <v>6.9492033453778816</v>
      </c>
      <c r="AB30" s="7">
        <v>7.89798756596453</v>
      </c>
      <c r="AC30" s="7">
        <v>0</v>
      </c>
      <c r="AD30" s="7">
        <v>0</v>
      </c>
      <c r="AE30" s="7">
        <v>11.676029237129381</v>
      </c>
      <c r="AF30" s="7">
        <v>8.2398917895993566</v>
      </c>
      <c r="AI30" s="9" cm="1">
        <f t="array" ref="AI30">MAX(_xlfn._xlws.FILTER($D30:$AF30, $D$2:$AF$2=AI$2))</f>
        <v>12.274361628490329</v>
      </c>
      <c r="AJ30" s="9" cm="1">
        <f t="array" ref="AJ30">MAX(_xlfn._xlws.FILTER($B30:$AF30, $B$2:$AF$2=AJ$2))</f>
        <v>10.0947222028183</v>
      </c>
      <c r="AK30" s="9" cm="1">
        <f t="array" ref="AK30">MAX(_xlfn._xlws.FILTER($B30:$AF30, $B$2:$AF$2=AK$2))</f>
        <v>9.9066748798191462</v>
      </c>
      <c r="AL30" s="9" cm="1">
        <f t="array" ref="AL30">MAX(_xlfn._xlws.FILTER($B30:$AF30, $B$2:$AF$2=AL$2))</f>
        <v>7.8723447491919183</v>
      </c>
      <c r="AM30" s="9" cm="1">
        <f t="array" ref="AM30">MAX(_xlfn._xlws.FILTER($B30:$AF30, $B$2:$AF$2=AM$2))</f>
        <v>9.2826996716855845</v>
      </c>
      <c r="AN30" s="9" cm="1">
        <f t="array" ref="AN30">MAX(_xlfn._xlws.FILTER($B30:$AF30, $B$2:$AF$2=AN$2))</f>
        <v>0</v>
      </c>
      <c r="AO30" s="9" cm="1">
        <f t="array" ref="AO30">MAX(_xlfn._xlws.FILTER($B30:$AF30, $B$2:$AF$2=AO$2))</f>
        <v>0</v>
      </c>
    </row>
    <row r="31" spans="1:41" x14ac:dyDescent="0.25">
      <c r="A31" s="3" t="s">
        <v>36</v>
      </c>
      <c r="B31" s="7">
        <v>0</v>
      </c>
      <c r="C31" s="7">
        <v>15.137809501432015</v>
      </c>
      <c r="D31" s="7">
        <v>10.906744733951017</v>
      </c>
      <c r="E31" s="7">
        <v>9.4365565723212548</v>
      </c>
      <c r="F31" s="7">
        <v>8.0860348889636846</v>
      </c>
      <c r="G31" s="7">
        <v>10.069079386045688</v>
      </c>
      <c r="H31" s="7">
        <v>0</v>
      </c>
      <c r="I31" s="7">
        <v>0</v>
      </c>
      <c r="J31" s="7">
        <v>13.419740777667004</v>
      </c>
      <c r="K31" s="7">
        <v>8.8211289697785666</v>
      </c>
      <c r="L31" s="7">
        <v>8.5305103796889625</v>
      </c>
      <c r="M31" s="7">
        <v>7.0688698236500711</v>
      </c>
      <c r="N31" s="7">
        <v>8.7783909418242114</v>
      </c>
      <c r="O31" s="7">
        <v>0</v>
      </c>
      <c r="P31" s="7">
        <v>0</v>
      </c>
      <c r="Q31" s="7">
        <v>13.300074299394815</v>
      </c>
      <c r="R31" s="7">
        <v>8.6587244635520229</v>
      </c>
      <c r="S31" s="7">
        <v>8.9578906592324969</v>
      </c>
      <c r="T31" s="7">
        <v>7.1799886963313906</v>
      </c>
      <c r="U31" s="7">
        <v>9.2399616437312311</v>
      </c>
      <c r="V31" s="7">
        <v>0</v>
      </c>
      <c r="W31" s="7">
        <v>0</v>
      </c>
      <c r="X31" s="7">
        <v>12.436766134716875</v>
      </c>
      <c r="Y31" s="7">
        <v>8.0262016498275912</v>
      </c>
      <c r="Z31" s="7">
        <v>8.6074388300067977</v>
      </c>
      <c r="AA31" s="7">
        <v>7.1457982739679071</v>
      </c>
      <c r="AB31" s="7">
        <v>8.5647008020524442</v>
      </c>
      <c r="AC31" s="7">
        <v>0</v>
      </c>
      <c r="AD31" s="7">
        <v>0</v>
      </c>
      <c r="AE31" s="7">
        <v>13.094931765213916</v>
      </c>
      <c r="AF31" s="7">
        <v>9.1801284045951359</v>
      </c>
      <c r="AI31" s="9" cm="1">
        <f t="array" ref="AI31">MAX(_xlfn._xlws.FILTER($D31:$AF31, $D$2:$AF$2=AI$2))</f>
        <v>13.419740777667004</v>
      </c>
      <c r="AJ31" s="9" cm="1">
        <f t="array" ref="AJ31">MAX(_xlfn._xlws.FILTER($B31:$AF31, $B$2:$AF$2=AJ$2))</f>
        <v>10.906744733951017</v>
      </c>
      <c r="AK31" s="9" cm="1">
        <f t="array" ref="AK31">MAX(_xlfn._xlws.FILTER($B31:$AF31, $B$2:$AF$2=AK$2))</f>
        <v>9.4365565723212548</v>
      </c>
      <c r="AL31" s="9" cm="1">
        <f t="array" ref="AL31">MAX(_xlfn._xlws.FILTER($B31:$AF31, $B$2:$AF$2=AL$2))</f>
        <v>8.0860348889636846</v>
      </c>
      <c r="AM31" s="9" cm="1">
        <f t="array" ref="AM31">MAX(_xlfn._xlws.FILTER($B31:$AF31, $B$2:$AF$2=AM$2))</f>
        <v>10.069079386045688</v>
      </c>
      <c r="AN31" s="9" cm="1">
        <f t="array" ref="AN31">MAX(_xlfn._xlws.FILTER($B31:$AF31, $B$2:$AF$2=AN$2))</f>
        <v>0</v>
      </c>
      <c r="AO31" s="9" cm="1">
        <f t="array" ref="AO31">MAX(_xlfn._xlws.FILTER($B31:$AF31, $B$2:$AF$2=AO$2))</f>
        <v>0</v>
      </c>
    </row>
    <row r="32" spans="1:41" x14ac:dyDescent="0.25">
      <c r="A32" s="3" t="s">
        <v>37</v>
      </c>
      <c r="B32" s="7">
        <v>0</v>
      </c>
      <c r="C32" s="7">
        <v>18.078185824691534</v>
      </c>
      <c r="D32" s="7">
        <v>11.282839379949328</v>
      </c>
      <c r="E32" s="7">
        <v>8.8553193921420483</v>
      </c>
      <c r="F32" s="7">
        <v>8.1886061560541332</v>
      </c>
      <c r="G32" s="7">
        <v>10.0947222028183</v>
      </c>
      <c r="H32" s="7">
        <v>0</v>
      </c>
      <c r="I32" s="7">
        <v>0</v>
      </c>
      <c r="J32" s="7">
        <v>16.009665271700825</v>
      </c>
      <c r="K32" s="7">
        <v>9.3681757275942914</v>
      </c>
      <c r="L32" s="7">
        <v>7.6842974261927628</v>
      </c>
      <c r="M32" s="7">
        <v>7.1457982739679071</v>
      </c>
      <c r="N32" s="7">
        <v>8.7612957306424715</v>
      </c>
      <c r="O32" s="7">
        <v>0</v>
      </c>
      <c r="P32" s="7">
        <v>0</v>
      </c>
      <c r="Q32" s="7">
        <v>15.864355976656025</v>
      </c>
      <c r="R32" s="7">
        <v>8.8724146033237901</v>
      </c>
      <c r="S32" s="7">
        <v>8.3852010846441605</v>
      </c>
      <c r="T32" s="7">
        <v>7.0090365845139759</v>
      </c>
      <c r="U32" s="7">
        <v>9.2314140381403593</v>
      </c>
      <c r="V32" s="7">
        <v>0</v>
      </c>
      <c r="W32" s="7">
        <v>0</v>
      </c>
      <c r="X32" s="7">
        <v>14.436905842980618</v>
      </c>
      <c r="Y32" s="7">
        <v>8.5219627740980908</v>
      </c>
      <c r="Z32" s="7">
        <v>7.7783210876923388</v>
      </c>
      <c r="AA32" s="7">
        <v>6.9748461621504942</v>
      </c>
      <c r="AB32" s="7">
        <v>8.5476055908707025</v>
      </c>
      <c r="AC32" s="7">
        <v>0</v>
      </c>
      <c r="AD32" s="7">
        <v>0</v>
      </c>
      <c r="AE32" s="7">
        <v>15.22328555734072</v>
      </c>
      <c r="AF32" s="7">
        <v>9.4451041779121283</v>
      </c>
      <c r="AI32" s="9" cm="1">
        <f t="array" ref="AI32">MAX(_xlfn._xlws.FILTER($D32:$AF32, $D$2:$AF$2=AI$2))</f>
        <v>16.009665271700825</v>
      </c>
      <c r="AJ32" s="9" cm="1">
        <f t="array" ref="AJ32">MAX(_xlfn._xlws.FILTER($B32:$AF32, $B$2:$AF$2=AJ$2))</f>
        <v>11.282839379949328</v>
      </c>
      <c r="AK32" s="9" cm="1">
        <f t="array" ref="AK32">MAX(_xlfn._xlws.FILTER($B32:$AF32, $B$2:$AF$2=AK$2))</f>
        <v>8.8553193921420483</v>
      </c>
      <c r="AL32" s="9" cm="1">
        <f t="array" ref="AL32">MAX(_xlfn._xlws.FILTER($B32:$AF32, $B$2:$AF$2=AL$2))</f>
        <v>8.1886061560541332</v>
      </c>
      <c r="AM32" s="9" cm="1">
        <f t="array" ref="AM32">MAX(_xlfn._xlws.FILTER($B32:$AF32, $B$2:$AF$2=AM$2))</f>
        <v>10.0947222028183</v>
      </c>
      <c r="AN32" s="9" cm="1">
        <f t="array" ref="AN32">MAX(_xlfn._xlws.FILTER($B32:$AF32, $B$2:$AF$2=AN$2))</f>
        <v>0</v>
      </c>
      <c r="AO32" s="9" cm="1">
        <f t="array" ref="AO32">MAX(_xlfn._xlws.FILTER($B32:$AF32, $B$2:$AF$2=AO$2))</f>
        <v>0</v>
      </c>
    </row>
    <row r="33" spans="1:41" x14ac:dyDescent="0.25">
      <c r="A33" s="3" t="s">
        <v>38</v>
      </c>
      <c r="B33" s="7">
        <v>0</v>
      </c>
      <c r="C33" s="7">
        <v>19.479993141594331</v>
      </c>
      <c r="D33" s="7">
        <v>11.479434308539355</v>
      </c>
      <c r="E33" s="7">
        <v>8.7698433362333397</v>
      </c>
      <c r="F33" s="7">
        <v>8.5305103796889625</v>
      </c>
      <c r="G33" s="7">
        <v>9.9750557245461113</v>
      </c>
      <c r="H33" s="7">
        <v>0</v>
      </c>
      <c r="I33" s="7">
        <v>0</v>
      </c>
      <c r="J33" s="7">
        <v>17.189234843240982</v>
      </c>
      <c r="K33" s="7">
        <v>9.2057712213677476</v>
      </c>
      <c r="L33" s="7">
        <v>7.521892919966219</v>
      </c>
      <c r="M33" s="7">
        <v>7.1287030627861663</v>
      </c>
      <c r="N33" s="7">
        <v>8.8980574200964018</v>
      </c>
      <c r="O33" s="7">
        <v>0</v>
      </c>
      <c r="P33" s="7">
        <v>0</v>
      </c>
      <c r="Q33" s="7">
        <v>17.026830337014442</v>
      </c>
      <c r="R33" s="7">
        <v>9.0348191095503321</v>
      </c>
      <c r="S33" s="7">
        <v>8.2655346063719701</v>
      </c>
      <c r="T33" s="7">
        <v>7.2398219354674866</v>
      </c>
      <c r="U33" s="7">
        <v>9.0433667151412038</v>
      </c>
      <c r="V33" s="7">
        <v>0</v>
      </c>
      <c r="W33" s="7">
        <v>0</v>
      </c>
      <c r="X33" s="7">
        <v>15.898546399019509</v>
      </c>
      <c r="Y33" s="7">
        <v>8.359558267871547</v>
      </c>
      <c r="Z33" s="7">
        <v>7.6501070038292784</v>
      </c>
      <c r="AA33" s="7">
        <v>7.2312743298766158</v>
      </c>
      <c r="AB33" s="7">
        <v>8.6843672803246328</v>
      </c>
      <c r="AC33" s="7">
        <v>0</v>
      </c>
      <c r="AD33" s="7">
        <v>0</v>
      </c>
      <c r="AE33" s="7">
        <v>16.770402169288321</v>
      </c>
      <c r="AF33" s="7">
        <v>9.6160562897295421</v>
      </c>
      <c r="AI33" s="9" cm="1">
        <f t="array" ref="AI33">MAX(_xlfn._xlws.FILTER($D33:$AF33, $D$2:$AF$2=AI$2))</f>
        <v>17.189234843240982</v>
      </c>
      <c r="AJ33" s="9" cm="1">
        <f t="array" ref="AJ33">MAX(_xlfn._xlws.FILTER($B33:$AF33, $B$2:$AF$2=AJ$2))</f>
        <v>11.479434308539355</v>
      </c>
      <c r="AK33" s="9" cm="1">
        <f t="array" ref="AK33">MAX(_xlfn._xlws.FILTER($B33:$AF33, $B$2:$AF$2=AK$2))</f>
        <v>8.7698433362333397</v>
      </c>
      <c r="AL33" s="9" cm="1">
        <f t="array" ref="AL33">MAX(_xlfn._xlws.FILTER($B33:$AF33, $B$2:$AF$2=AL$2))</f>
        <v>8.5305103796889625</v>
      </c>
      <c r="AM33" s="9" cm="1">
        <f t="array" ref="AM33">MAX(_xlfn._xlws.FILTER($B33:$AF33, $B$2:$AF$2=AM$2))</f>
        <v>9.9750557245461113</v>
      </c>
      <c r="AN33" s="9" cm="1">
        <f t="array" ref="AN33">MAX(_xlfn._xlws.FILTER($B33:$AF33, $B$2:$AF$2=AN$2))</f>
        <v>0</v>
      </c>
      <c r="AO33" s="9" cm="1">
        <f t="array" ref="AO33">MAX(_xlfn._xlws.FILTER($B33:$AF33, $B$2:$AF$2=AO$2))</f>
        <v>0</v>
      </c>
    </row>
    <row r="34" spans="1:41" x14ac:dyDescent="0.25">
      <c r="A34" s="3" t="s">
        <v>39</v>
      </c>
      <c r="B34" s="7">
        <v>0</v>
      </c>
      <c r="C34" s="7">
        <v>19.343231452140401</v>
      </c>
      <c r="D34" s="7">
        <v>10.667411777406638</v>
      </c>
      <c r="E34" s="7">
        <v>9.2485092493221011</v>
      </c>
      <c r="F34" s="7">
        <v>7.5646309479205716</v>
      </c>
      <c r="G34" s="7">
        <v>9.5305802338208352</v>
      </c>
      <c r="H34" s="7">
        <v>0</v>
      </c>
      <c r="I34" s="7">
        <v>0</v>
      </c>
      <c r="J34" s="7">
        <v>17.420020194194493</v>
      </c>
      <c r="K34" s="7">
        <v>8.8125813641876949</v>
      </c>
      <c r="L34" s="7">
        <v>8.1800585504632632</v>
      </c>
      <c r="M34" s="7">
        <v>6.5047278546526046</v>
      </c>
      <c r="N34" s="7">
        <v>8.4706771405528674</v>
      </c>
      <c r="O34" s="7">
        <v>0</v>
      </c>
      <c r="P34" s="7">
        <v>0</v>
      </c>
      <c r="Q34" s="7">
        <v>17.231972871195335</v>
      </c>
      <c r="R34" s="7">
        <v>8.6416292523702811</v>
      </c>
      <c r="S34" s="7">
        <v>8.6587244635520229</v>
      </c>
      <c r="T34" s="7">
        <v>6.6072991217430541</v>
      </c>
      <c r="U34" s="7">
        <v>8.9493430536416252</v>
      </c>
      <c r="V34" s="7">
        <v>0</v>
      </c>
      <c r="W34" s="7">
        <v>0</v>
      </c>
      <c r="X34" s="7">
        <v>16.078046116427792</v>
      </c>
      <c r="Y34" s="7">
        <v>8.0005588330549777</v>
      </c>
      <c r="Z34" s="7">
        <v>8.3253678455080653</v>
      </c>
      <c r="AA34" s="7">
        <v>6.3423233484260617</v>
      </c>
      <c r="AB34" s="7">
        <v>8.2655346063719701</v>
      </c>
      <c r="AC34" s="7">
        <v>0</v>
      </c>
      <c r="AD34" s="7">
        <v>0</v>
      </c>
      <c r="AE34" s="7">
        <v>16.992639914650958</v>
      </c>
      <c r="AF34" s="7">
        <v>8.8980574200964018</v>
      </c>
      <c r="AI34" s="9" cm="1">
        <f t="array" ref="AI34">MAX(_xlfn._xlws.FILTER($D34:$AF34, $D$2:$AF$2=AI$2))</f>
        <v>17.420020194194493</v>
      </c>
      <c r="AJ34" s="9" cm="1">
        <f t="array" ref="AJ34">MAX(_xlfn._xlws.FILTER($B34:$AF34, $B$2:$AF$2=AJ$2))</f>
        <v>10.667411777406638</v>
      </c>
      <c r="AK34" s="9" cm="1">
        <f t="array" ref="AK34">MAX(_xlfn._xlws.FILTER($B34:$AF34, $B$2:$AF$2=AK$2))</f>
        <v>9.2485092493221011</v>
      </c>
      <c r="AL34" s="9" cm="1">
        <f t="array" ref="AL34">MAX(_xlfn._xlws.FILTER($B34:$AF34, $B$2:$AF$2=AL$2))</f>
        <v>7.5646309479205716</v>
      </c>
      <c r="AM34" s="9" cm="1">
        <f t="array" ref="AM34">MAX(_xlfn._xlws.FILTER($B34:$AF34, $B$2:$AF$2=AM$2))</f>
        <v>9.5305802338208352</v>
      </c>
      <c r="AN34" s="9" cm="1">
        <f t="array" ref="AN34">MAX(_xlfn._xlws.FILTER($B34:$AF34, $B$2:$AF$2=AN$2))</f>
        <v>0</v>
      </c>
      <c r="AO34" s="9" cm="1">
        <f t="array" ref="AO34">MAX(_xlfn._xlws.FILTER($B34:$AF34, $B$2:$AF$2=AO$2))</f>
        <v>0</v>
      </c>
    </row>
    <row r="35" spans="1:41" x14ac:dyDescent="0.25">
      <c r="A35" s="3" t="s">
        <v>40</v>
      </c>
      <c r="B35" s="7">
        <v>0</v>
      </c>
      <c r="C35" s="7">
        <v>19.898825815546996</v>
      </c>
      <c r="D35" s="7">
        <v>10.641768960634025</v>
      </c>
      <c r="E35" s="7">
        <v>9.5904134729569286</v>
      </c>
      <c r="F35" s="7">
        <v>6.6329419385156649</v>
      </c>
      <c r="G35" s="7">
        <v>10.462269243225741</v>
      </c>
      <c r="H35" s="7">
        <v>0</v>
      </c>
      <c r="I35" s="7">
        <v>0</v>
      </c>
      <c r="J35" s="7">
        <v>17.967066952010217</v>
      </c>
      <c r="K35" s="7">
        <v>8.6074388300067977</v>
      </c>
      <c r="L35" s="7">
        <v>8.5134151685072208</v>
      </c>
      <c r="M35" s="7">
        <v>5.9149430688825264</v>
      </c>
      <c r="N35" s="7">
        <v>9.0177238983685921</v>
      </c>
      <c r="O35" s="7">
        <v>0</v>
      </c>
      <c r="P35" s="7">
        <v>0</v>
      </c>
      <c r="Q35" s="7">
        <v>17.308901321513176</v>
      </c>
      <c r="R35" s="7">
        <v>8.4621295349619956</v>
      </c>
      <c r="S35" s="7">
        <v>9.0091762927777204</v>
      </c>
      <c r="T35" s="7">
        <v>5.7610861682468535</v>
      </c>
      <c r="U35" s="7">
        <v>9.5134850226390935</v>
      </c>
      <c r="V35" s="7">
        <v>0</v>
      </c>
      <c r="W35" s="7">
        <v>0</v>
      </c>
      <c r="X35" s="7">
        <v>16.154974566745626</v>
      </c>
      <c r="Y35" s="7">
        <v>7.8467019324193057</v>
      </c>
      <c r="Z35" s="7">
        <v>8.6501768579611511</v>
      </c>
      <c r="AA35" s="7">
        <v>5.7696337738377244</v>
      </c>
      <c r="AB35" s="7">
        <v>8.8040337585968249</v>
      </c>
      <c r="AC35" s="7">
        <v>0</v>
      </c>
      <c r="AD35" s="7">
        <v>0</v>
      </c>
      <c r="AE35" s="7">
        <v>17.069568364968791</v>
      </c>
      <c r="AF35" s="7">
        <v>8.6843672803246328</v>
      </c>
      <c r="AI35" s="9" cm="1">
        <f t="array" ref="AI35">MAX(_xlfn._xlws.FILTER($D35:$AF35, $D$2:$AF$2=AI$2))</f>
        <v>17.967066952010217</v>
      </c>
      <c r="AJ35" s="9" cm="1">
        <f t="array" ref="AJ35">MAX(_xlfn._xlws.FILTER($B35:$AF35, $B$2:$AF$2=AJ$2))</f>
        <v>10.641768960634025</v>
      </c>
      <c r="AK35" s="9" cm="1">
        <f t="array" ref="AK35">MAX(_xlfn._xlws.FILTER($B35:$AF35, $B$2:$AF$2=AK$2))</f>
        <v>9.5904134729569286</v>
      </c>
      <c r="AL35" s="9" cm="1">
        <f t="array" ref="AL35">MAX(_xlfn._xlws.FILTER($B35:$AF35, $B$2:$AF$2=AL$2))</f>
        <v>6.6329419385156649</v>
      </c>
      <c r="AM35" s="9" cm="1">
        <f t="array" ref="AM35">MAX(_xlfn._xlws.FILTER($B35:$AF35, $B$2:$AF$2=AM$2))</f>
        <v>10.462269243225741</v>
      </c>
      <c r="AN35" s="9" cm="1">
        <f t="array" ref="AN35">MAX(_xlfn._xlws.FILTER($B35:$AF35, $B$2:$AF$2=AN$2))</f>
        <v>0</v>
      </c>
      <c r="AO35" s="9" cm="1">
        <f t="array" ref="AO35">MAX(_xlfn._xlws.FILTER($B35:$AF35, $B$2:$AF$2=AO$2))</f>
        <v>0</v>
      </c>
    </row>
    <row r="36" spans="1:41" x14ac:dyDescent="0.25">
      <c r="A36" s="3" t="s">
        <v>41</v>
      </c>
      <c r="B36" s="7">
        <v>0</v>
      </c>
      <c r="C36" s="7">
        <v>20.616824685180138</v>
      </c>
      <c r="D36" s="7">
        <v>10.71014980536099</v>
      </c>
      <c r="E36" s="7">
        <v>10.282769525817455</v>
      </c>
      <c r="F36" s="7">
        <v>6.4619898266982512</v>
      </c>
      <c r="G36" s="7">
        <v>11.735862476265476</v>
      </c>
      <c r="H36" s="7">
        <v>0</v>
      </c>
      <c r="I36" s="7">
        <v>0</v>
      </c>
      <c r="J36" s="7">
        <v>18.240590330918081</v>
      </c>
      <c r="K36" s="7">
        <v>8.7185577026881163</v>
      </c>
      <c r="L36" s="7">
        <v>9.2057712213677476</v>
      </c>
      <c r="M36" s="7">
        <v>5.7525385626559835</v>
      </c>
      <c r="N36" s="7">
        <v>10.163103047545267</v>
      </c>
      <c r="O36" s="7">
        <v>0</v>
      </c>
      <c r="P36" s="7">
        <v>0</v>
      </c>
      <c r="Q36" s="7">
        <v>18.069638219100664</v>
      </c>
      <c r="R36" s="7">
        <v>8.2826298175537101</v>
      </c>
      <c r="S36" s="7">
        <v>9.7100799512291189</v>
      </c>
      <c r="T36" s="7">
        <v>5.8551098297464312</v>
      </c>
      <c r="U36" s="7">
        <v>10.727245016542733</v>
      </c>
      <c r="V36" s="7">
        <v>0</v>
      </c>
      <c r="W36" s="7">
        <v>0</v>
      </c>
      <c r="X36" s="7">
        <v>16.445593156835233</v>
      </c>
      <c r="Y36" s="7">
        <v>7.9578208051006252</v>
      </c>
      <c r="Z36" s="7">
        <v>9.3254376996399362</v>
      </c>
      <c r="AA36" s="7">
        <v>5.6243244787929223</v>
      </c>
      <c r="AB36" s="7">
        <v>9.9237700910008844</v>
      </c>
      <c r="AC36" s="7">
        <v>0</v>
      </c>
      <c r="AD36" s="7">
        <v>0</v>
      </c>
      <c r="AE36" s="7">
        <v>17.343091743876656</v>
      </c>
      <c r="AF36" s="7">
        <v>8.7783909418242114</v>
      </c>
      <c r="AI36" s="9" cm="1">
        <f t="array" ref="AI36">MAX(_xlfn._xlws.FILTER($D36:$AF36, $D$2:$AF$2=AI$2))</f>
        <v>18.240590330918081</v>
      </c>
      <c r="AJ36" s="9" cm="1">
        <f t="array" ref="AJ36">MAX(_xlfn._xlws.FILTER($B36:$AF36, $B$2:$AF$2=AJ$2))</f>
        <v>10.71014980536099</v>
      </c>
      <c r="AK36" s="9" cm="1">
        <f t="array" ref="AK36">MAX(_xlfn._xlws.FILTER($B36:$AF36, $B$2:$AF$2=AK$2))</f>
        <v>10.282769525817455</v>
      </c>
      <c r="AL36" s="9" cm="1">
        <f t="array" ref="AL36">MAX(_xlfn._xlws.FILTER($B36:$AF36, $B$2:$AF$2=AL$2))</f>
        <v>6.4619898266982512</v>
      </c>
      <c r="AM36" s="9" cm="1">
        <f t="array" ref="AM36">MAX(_xlfn._xlws.FILTER($B36:$AF36, $B$2:$AF$2=AM$2))</f>
        <v>11.735862476265476</v>
      </c>
      <c r="AN36" s="9" cm="1">
        <f t="array" ref="AN36">MAX(_xlfn._xlws.FILTER($B36:$AF36, $B$2:$AF$2=AN$2))</f>
        <v>0</v>
      </c>
      <c r="AO36" s="9" cm="1">
        <f t="array" ref="AO36">MAX(_xlfn._xlws.FILTER($B36:$AF36, $B$2:$AF$2=AO$2))</f>
        <v>0</v>
      </c>
    </row>
    <row r="37" spans="1:41" x14ac:dyDescent="0.25">
      <c r="A37" s="3" t="s">
        <v>42</v>
      </c>
      <c r="B37" s="7">
        <v>0</v>
      </c>
      <c r="C37" s="7">
        <v>19.744968914911325</v>
      </c>
      <c r="D37" s="7">
        <v>10.923839945132759</v>
      </c>
      <c r="E37" s="7">
        <v>10.137460230772653</v>
      </c>
      <c r="F37" s="7">
        <v>7.1885363019222615</v>
      </c>
      <c r="G37" s="7">
        <v>12.727384724806479</v>
      </c>
      <c r="H37" s="7">
        <v>0</v>
      </c>
      <c r="I37" s="7">
        <v>0</v>
      </c>
      <c r="J37" s="7">
        <v>17.420020194194493</v>
      </c>
      <c r="K37" s="7">
        <v>8.7356529138698598</v>
      </c>
      <c r="L37" s="7">
        <v>9.1459379822316507</v>
      </c>
      <c r="M37" s="7">
        <v>6.4363470099256395</v>
      </c>
      <c r="N37" s="7">
        <v>11.069149240177559</v>
      </c>
      <c r="O37" s="7">
        <v>0</v>
      </c>
      <c r="P37" s="7">
        <v>0</v>
      </c>
      <c r="Q37" s="7">
        <v>17.710638784284097</v>
      </c>
      <c r="R37" s="7">
        <v>8.5988912244159277</v>
      </c>
      <c r="S37" s="7">
        <v>9.6246038953204121</v>
      </c>
      <c r="T37" s="7">
        <v>6.5303706714252172</v>
      </c>
      <c r="U37" s="7">
        <v>11.658934025947641</v>
      </c>
      <c r="V37" s="7">
        <v>0</v>
      </c>
      <c r="W37" s="7">
        <v>0</v>
      </c>
      <c r="X37" s="7">
        <v>16.556712029516554</v>
      </c>
      <c r="Y37" s="7">
        <v>7.9920112274641069</v>
      </c>
      <c r="Z37" s="7">
        <v>8.9237002368690135</v>
      </c>
      <c r="AA37" s="7">
        <v>6.2739425036990966</v>
      </c>
      <c r="AB37" s="7">
        <v>11.188815718449749</v>
      </c>
      <c r="AC37" s="7">
        <v>0</v>
      </c>
      <c r="AD37" s="7">
        <v>0</v>
      </c>
      <c r="AE37" s="7">
        <v>17.001187520241832</v>
      </c>
      <c r="AF37" s="7">
        <v>9.0519143207320738</v>
      </c>
      <c r="AI37" s="9" cm="1">
        <f t="array" ref="AI37">MAX(_xlfn._xlws.FILTER($D37:$AF37, $D$2:$AF$2=AI$2))</f>
        <v>17.710638784284097</v>
      </c>
      <c r="AJ37" s="9" cm="1">
        <f t="array" ref="AJ37">MAX(_xlfn._xlws.FILTER($B37:$AF37, $B$2:$AF$2=AJ$2))</f>
        <v>10.923839945132759</v>
      </c>
      <c r="AK37" s="9" cm="1">
        <f t="array" ref="AK37">MAX(_xlfn._xlws.FILTER($B37:$AF37, $B$2:$AF$2=AK$2))</f>
        <v>10.137460230772653</v>
      </c>
      <c r="AL37" s="9" cm="1">
        <f t="array" ref="AL37">MAX(_xlfn._xlws.FILTER($B37:$AF37, $B$2:$AF$2=AL$2))</f>
        <v>7.1885363019222615</v>
      </c>
      <c r="AM37" s="9" cm="1">
        <f t="array" ref="AM37">MAX(_xlfn._xlws.FILTER($B37:$AF37, $B$2:$AF$2=AM$2))</f>
        <v>12.727384724806479</v>
      </c>
      <c r="AN37" s="9" cm="1">
        <f t="array" ref="AN37">MAX(_xlfn._xlws.FILTER($B37:$AF37, $B$2:$AF$2=AN$2))</f>
        <v>0</v>
      </c>
      <c r="AO37" s="9" cm="1">
        <f t="array" ref="AO37">MAX(_xlfn._xlws.FILTER($B37:$AF37, $B$2:$AF$2=AO$2))</f>
        <v>0</v>
      </c>
    </row>
    <row r="38" spans="1:41" x14ac:dyDescent="0.25">
      <c r="A38" s="3" t="s">
        <v>43</v>
      </c>
      <c r="B38" s="7">
        <v>0</v>
      </c>
      <c r="C38" s="7">
        <v>16.872973436378764</v>
      </c>
      <c r="D38" s="7">
        <v>10.607578538270543</v>
      </c>
      <c r="E38" s="7">
        <v>9.3767233331851632</v>
      </c>
      <c r="F38" s="7">
        <v>7.3252979913761926</v>
      </c>
      <c r="G38" s="7">
        <v>11.812790926583313</v>
      </c>
      <c r="H38" s="7">
        <v>0</v>
      </c>
      <c r="I38" s="7">
        <v>0</v>
      </c>
      <c r="J38" s="7">
        <v>15.20619034615898</v>
      </c>
      <c r="K38" s="7">
        <v>8.7442005194607297</v>
      </c>
      <c r="L38" s="7">
        <v>8.1800585504632632</v>
      </c>
      <c r="M38" s="7">
        <v>6.3337757428351908</v>
      </c>
      <c r="N38" s="7">
        <v>10.282769525817455</v>
      </c>
      <c r="O38" s="7">
        <v>0</v>
      </c>
      <c r="P38" s="7">
        <v>0</v>
      </c>
      <c r="Q38" s="7">
        <v>14.633500771570645</v>
      </c>
      <c r="R38" s="7">
        <v>8.6159864355976676</v>
      </c>
      <c r="S38" s="7">
        <v>8.6074388300067977</v>
      </c>
      <c r="T38" s="7">
        <v>6.1884664477903897</v>
      </c>
      <c r="U38" s="7">
        <v>10.82981628363318</v>
      </c>
      <c r="V38" s="7">
        <v>0</v>
      </c>
      <c r="W38" s="7">
        <v>0</v>
      </c>
      <c r="X38" s="7">
        <v>13.650526128620513</v>
      </c>
      <c r="Y38" s="7">
        <v>8.0176540442367195</v>
      </c>
      <c r="Z38" s="7">
        <v>8.2655346063719701</v>
      </c>
      <c r="AA38" s="7">
        <v>6.1884664477903897</v>
      </c>
      <c r="AB38" s="7">
        <v>10.393888398498776</v>
      </c>
      <c r="AC38" s="7">
        <v>0</v>
      </c>
      <c r="AD38" s="7">
        <v>0</v>
      </c>
      <c r="AE38" s="7">
        <v>14.445453448571486</v>
      </c>
      <c r="AF38" s="7">
        <v>8.7869385474150814</v>
      </c>
      <c r="AI38" s="9" cm="1">
        <f t="array" ref="AI38">MAX(_xlfn._xlws.FILTER($D38:$AF38, $D$2:$AF$2=AI$2))</f>
        <v>15.20619034615898</v>
      </c>
      <c r="AJ38" s="9" cm="1">
        <f t="array" ref="AJ38">MAX(_xlfn._xlws.FILTER($B38:$AF38, $B$2:$AF$2=AJ$2))</f>
        <v>10.607578538270543</v>
      </c>
      <c r="AK38" s="9" cm="1">
        <f t="array" ref="AK38">MAX(_xlfn._xlws.FILTER($B38:$AF38, $B$2:$AF$2=AK$2))</f>
        <v>9.3767233331851632</v>
      </c>
      <c r="AL38" s="9" cm="1">
        <f t="array" ref="AL38">MAX(_xlfn._xlws.FILTER($B38:$AF38, $B$2:$AF$2=AL$2))</f>
        <v>7.3252979913761926</v>
      </c>
      <c r="AM38" s="9" cm="1">
        <f t="array" ref="AM38">MAX(_xlfn._xlws.FILTER($B38:$AF38, $B$2:$AF$2=AM$2))</f>
        <v>11.812790926583313</v>
      </c>
      <c r="AN38" s="9" cm="1">
        <f t="array" ref="AN38">MAX(_xlfn._xlws.FILTER($B38:$AF38, $B$2:$AF$2=AN$2))</f>
        <v>0</v>
      </c>
      <c r="AO38" s="9" cm="1">
        <f t="array" ref="AO38">MAX(_xlfn._xlws.FILTER($B38:$AF38, $B$2:$AF$2=AO$2))</f>
        <v>0</v>
      </c>
    </row>
    <row r="39" spans="1:41" x14ac:dyDescent="0.25">
      <c r="A39" s="3" t="s">
        <v>44</v>
      </c>
      <c r="B39" s="7">
        <v>0</v>
      </c>
      <c r="C39" s="7">
        <v>14.223215703208851</v>
      </c>
      <c r="D39" s="7">
        <v>9.0519143207320738</v>
      </c>
      <c r="E39" s="7">
        <v>7.829606721237564</v>
      </c>
      <c r="F39" s="7">
        <v>6.4876326434708638</v>
      </c>
      <c r="G39" s="7">
        <v>9.5733182617751869</v>
      </c>
      <c r="H39" s="7">
        <v>0</v>
      </c>
      <c r="I39" s="7">
        <v>0</v>
      </c>
      <c r="J39" s="7">
        <v>12.667551485670382</v>
      </c>
      <c r="K39" s="7">
        <v>7.5817261591023133</v>
      </c>
      <c r="L39" s="7">
        <v>7.0004889789231051</v>
      </c>
      <c r="M39" s="7">
        <v>5.5473960284750863</v>
      </c>
      <c r="N39" s="7">
        <v>8.2569870007810984</v>
      </c>
      <c r="O39" s="7">
        <v>0</v>
      </c>
      <c r="P39" s="7">
        <v>0</v>
      </c>
      <c r="Q39" s="7">
        <v>12.496599373852966</v>
      </c>
      <c r="R39" s="7">
        <v>7.2056315131040023</v>
      </c>
      <c r="S39" s="7">
        <v>7.3851312305122878</v>
      </c>
      <c r="T39" s="7">
        <v>5.641419689974664</v>
      </c>
      <c r="U39" s="7">
        <v>8.7185577026881163</v>
      </c>
      <c r="V39" s="7">
        <v>0</v>
      </c>
      <c r="W39" s="7">
        <v>0</v>
      </c>
      <c r="X39" s="7">
        <v>11.633291209175026</v>
      </c>
      <c r="Y39" s="7">
        <v>6.6842275720608901</v>
      </c>
      <c r="Z39" s="7">
        <v>6.8380844726965631</v>
      </c>
      <c r="AA39" s="7">
        <v>5.419181944612026</v>
      </c>
      <c r="AB39" s="7">
        <v>8.368105873462417</v>
      </c>
      <c r="AC39" s="7">
        <v>0</v>
      </c>
      <c r="AD39" s="7">
        <v>0</v>
      </c>
      <c r="AE39" s="7">
        <v>12.000838249582467</v>
      </c>
      <c r="AF39" s="7">
        <v>7.6330117926475376</v>
      </c>
      <c r="AI39" s="9" cm="1">
        <f t="array" ref="AI39">MAX(_xlfn._xlws.FILTER($D39:$AF39, $D$2:$AF$2=AI$2))</f>
        <v>12.667551485670382</v>
      </c>
      <c r="AJ39" s="9" cm="1">
        <f t="array" ref="AJ39">MAX(_xlfn._xlws.FILTER($B39:$AF39, $B$2:$AF$2=AJ$2))</f>
        <v>9.0519143207320738</v>
      </c>
      <c r="AK39" s="9" cm="1">
        <f t="array" ref="AK39">MAX(_xlfn._xlws.FILTER($B39:$AF39, $B$2:$AF$2=AK$2))</f>
        <v>7.829606721237564</v>
      </c>
      <c r="AL39" s="9" cm="1">
        <f t="array" ref="AL39">MAX(_xlfn._xlws.FILTER($B39:$AF39, $B$2:$AF$2=AL$2))</f>
        <v>6.4876326434708638</v>
      </c>
      <c r="AM39" s="9" cm="1">
        <f t="array" ref="AM39">MAX(_xlfn._xlws.FILTER($B39:$AF39, $B$2:$AF$2=AM$2))</f>
        <v>9.5733182617751869</v>
      </c>
      <c r="AN39" s="9" cm="1">
        <f t="array" ref="AN39">MAX(_xlfn._xlws.FILTER($B39:$AF39, $B$2:$AF$2=AN$2))</f>
        <v>0</v>
      </c>
      <c r="AO39" s="9" cm="1">
        <f t="array" ref="AO39">MAX(_xlfn._xlws.FILTER($B39:$AF39, $B$2:$AF$2=AO$2))</f>
        <v>0</v>
      </c>
    </row>
    <row r="40" spans="1:41" x14ac:dyDescent="0.25">
      <c r="A40" s="3" t="s">
        <v>45</v>
      </c>
      <c r="B40" s="7">
        <v>0</v>
      </c>
      <c r="C40" s="7">
        <v>11.505077125311967</v>
      </c>
      <c r="D40" s="7">
        <v>6.6842275720608901</v>
      </c>
      <c r="E40" s="7">
        <v>6.0431571527455876</v>
      </c>
      <c r="F40" s="7">
        <v>5.111468143340681</v>
      </c>
      <c r="G40" s="7">
        <v>7.7013926373745027</v>
      </c>
      <c r="H40" s="7">
        <v>0</v>
      </c>
      <c r="I40" s="7">
        <v>0</v>
      </c>
      <c r="J40" s="7">
        <v>10.376793187317034</v>
      </c>
      <c r="K40" s="7">
        <v>5.5730388452476989</v>
      </c>
      <c r="L40" s="7">
        <v>5.3080630719307074</v>
      </c>
      <c r="M40" s="7">
        <v>4.436207301661895</v>
      </c>
      <c r="N40" s="7">
        <v>6.778251233560467</v>
      </c>
      <c r="O40" s="7">
        <v>0</v>
      </c>
      <c r="P40" s="7">
        <v>0</v>
      </c>
      <c r="Q40" s="7">
        <v>10.180198258727007</v>
      </c>
      <c r="R40" s="7">
        <v>5.4362771557937677</v>
      </c>
      <c r="S40" s="7">
        <v>5.641419689974664</v>
      </c>
      <c r="T40" s="7">
        <v>4.5045881463888602</v>
      </c>
      <c r="U40" s="7">
        <v>6.8808225006509165</v>
      </c>
      <c r="V40" s="7">
        <v>0</v>
      </c>
      <c r="W40" s="7">
        <v>0</v>
      </c>
      <c r="X40" s="7">
        <v>9.4194613611395148</v>
      </c>
      <c r="Y40" s="7">
        <v>5.0088968762502324</v>
      </c>
      <c r="Z40" s="7">
        <v>5.419181944612026</v>
      </c>
      <c r="AA40" s="7">
        <v>4.5473261743432145</v>
      </c>
      <c r="AB40" s="7">
        <v>6.6158467273339241</v>
      </c>
      <c r="AC40" s="7">
        <v>0</v>
      </c>
      <c r="AD40" s="7">
        <v>0</v>
      </c>
      <c r="AE40" s="7">
        <v>10.137460230772653</v>
      </c>
      <c r="AF40" s="7">
        <v>5.6585149011564058</v>
      </c>
      <c r="AI40" s="9" cm="1">
        <f t="array" ref="AI40">MAX(_xlfn._xlws.FILTER($D40:$AF40, $D$2:$AF$2=AI$2))</f>
        <v>10.376793187317034</v>
      </c>
      <c r="AJ40" s="9" cm="1">
        <f t="array" ref="AJ40">MAX(_xlfn._xlws.FILTER($B40:$AF40, $B$2:$AF$2=AJ$2))</f>
        <v>6.6842275720608901</v>
      </c>
      <c r="AK40" s="9" cm="1">
        <f t="array" ref="AK40">MAX(_xlfn._xlws.FILTER($B40:$AF40, $B$2:$AF$2=AK$2))</f>
        <v>6.0431571527455876</v>
      </c>
      <c r="AL40" s="9" cm="1">
        <f t="array" ref="AL40">MAX(_xlfn._xlws.FILTER($B40:$AF40, $B$2:$AF$2=AL$2))</f>
        <v>5.111468143340681</v>
      </c>
      <c r="AM40" s="9" cm="1">
        <f t="array" ref="AM40">MAX(_xlfn._xlws.FILTER($B40:$AF40, $B$2:$AF$2=AM$2))</f>
        <v>7.7013926373745027</v>
      </c>
      <c r="AN40" s="9" cm="1">
        <f t="array" ref="AN40">MAX(_xlfn._xlws.FILTER($B40:$AF40, $B$2:$AF$2=AN$2))</f>
        <v>0</v>
      </c>
      <c r="AO40" s="9" cm="1">
        <f t="array" ref="AO40">MAX(_xlfn._xlws.FILTER($B40:$AF40, $B$2:$AF$2=AO$2))</f>
        <v>0</v>
      </c>
    </row>
    <row r="41" spans="1:41" x14ac:dyDescent="0.25">
      <c r="A41" s="3" t="s">
        <v>46</v>
      </c>
      <c r="B41" s="7">
        <v>0</v>
      </c>
      <c r="C41" s="7">
        <v>9.1715807990042642</v>
      </c>
      <c r="D41" s="7">
        <v>5.5046580005207328</v>
      </c>
      <c r="E41" s="7">
        <v>4.8550399756145595</v>
      </c>
      <c r="F41" s="7">
        <v>4.2567075842536104</v>
      </c>
      <c r="G41" s="7">
        <v>6.6072991217430541</v>
      </c>
      <c r="H41" s="7">
        <v>0</v>
      </c>
      <c r="I41" s="7">
        <v>0</v>
      </c>
      <c r="J41" s="7">
        <v>8.1544157336906498</v>
      </c>
      <c r="K41" s="7">
        <v>4.3934692737075407</v>
      </c>
      <c r="L41" s="7">
        <v>4.3507312457531873</v>
      </c>
      <c r="M41" s="7">
        <v>3.5728991369839536</v>
      </c>
      <c r="N41" s="7">
        <v>5.940585885655139</v>
      </c>
      <c r="O41" s="7">
        <v>0</v>
      </c>
      <c r="P41" s="7">
        <v>0</v>
      </c>
      <c r="Q41" s="7">
        <v>7.9407255939188826</v>
      </c>
      <c r="R41" s="7">
        <v>4.2396123730718687</v>
      </c>
      <c r="S41" s="7">
        <v>4.666992652615404</v>
      </c>
      <c r="T41" s="7">
        <v>3.6241847705291779</v>
      </c>
      <c r="U41" s="7">
        <v>6.0346095471547159</v>
      </c>
      <c r="V41" s="7">
        <v>0</v>
      </c>
      <c r="W41" s="7">
        <v>0</v>
      </c>
      <c r="X41" s="7">
        <v>7.3082027801944518</v>
      </c>
      <c r="Y41" s="7">
        <v>4.0772078668453249</v>
      </c>
      <c r="Z41" s="7">
        <v>4.4960405407979893</v>
      </c>
      <c r="AA41" s="7">
        <v>3.4788754754843763</v>
      </c>
      <c r="AB41" s="7">
        <v>5.7952765906103361</v>
      </c>
      <c r="AC41" s="7">
        <v>0</v>
      </c>
      <c r="AD41" s="7">
        <v>0</v>
      </c>
      <c r="AE41" s="7">
        <v>7.6330117926475376</v>
      </c>
      <c r="AF41" s="7">
        <v>4.5131357519797319</v>
      </c>
      <c r="AI41" s="9" cm="1">
        <f t="array" ref="AI41">MAX(_xlfn._xlws.FILTER($D41:$AF41, $D$2:$AF$2=AI$2))</f>
        <v>8.1544157336906498</v>
      </c>
      <c r="AJ41" s="9" cm="1">
        <f t="array" ref="AJ41">MAX(_xlfn._xlws.FILTER($B41:$AF41, $B$2:$AF$2=AJ$2))</f>
        <v>5.5046580005207328</v>
      </c>
      <c r="AK41" s="9" cm="1">
        <f t="array" ref="AK41">MAX(_xlfn._xlws.FILTER($B41:$AF41, $B$2:$AF$2=AK$2))</f>
        <v>4.8550399756145595</v>
      </c>
      <c r="AL41" s="9" cm="1">
        <f t="array" ref="AL41">MAX(_xlfn._xlws.FILTER($B41:$AF41, $B$2:$AF$2=AL$2))</f>
        <v>4.2567075842536104</v>
      </c>
      <c r="AM41" s="9" cm="1">
        <f t="array" ref="AM41">MAX(_xlfn._xlws.FILTER($B41:$AF41, $B$2:$AF$2=AM$2))</f>
        <v>6.6072991217430541</v>
      </c>
      <c r="AN41" s="9" cm="1">
        <f t="array" ref="AN41">MAX(_xlfn._xlws.FILTER($B41:$AF41, $B$2:$AF$2=AN$2))</f>
        <v>0</v>
      </c>
      <c r="AO41" s="9" cm="1">
        <f t="array" ref="AO41">MAX(_xlfn._xlws.FILTER($B41:$AF41, $B$2:$AF$2=AO$2))</f>
        <v>0</v>
      </c>
    </row>
    <row r="42" spans="1:41" x14ac:dyDescent="0.25">
      <c r="A42" s="3" t="s">
        <v>47</v>
      </c>
      <c r="B42" s="7">
        <v>0</v>
      </c>
      <c r="C42" s="7">
        <v>7.3936788361031587</v>
      </c>
      <c r="D42" s="7">
        <v>4.6840878637971457</v>
      </c>
      <c r="E42" s="7">
        <v>4.1797791339357735</v>
      </c>
      <c r="F42" s="7">
        <v>3.2651853357126086</v>
      </c>
      <c r="G42" s="7">
        <v>5.5730388452476989</v>
      </c>
      <c r="H42" s="7">
        <v>0</v>
      </c>
      <c r="I42" s="7">
        <v>0</v>
      </c>
      <c r="J42" s="7">
        <v>6.3765137707895443</v>
      </c>
      <c r="K42" s="7">
        <v>3.7694940655739804</v>
      </c>
      <c r="L42" s="7">
        <v>3.6583751928926613</v>
      </c>
      <c r="M42" s="7">
        <v>3.0343999847590992</v>
      </c>
      <c r="N42" s="7">
        <v>4.8550399756145595</v>
      </c>
      <c r="O42" s="7">
        <v>0</v>
      </c>
      <c r="P42" s="7">
        <v>0</v>
      </c>
      <c r="Q42" s="7">
        <v>6.4790850378799929</v>
      </c>
      <c r="R42" s="7">
        <v>3.6070895593474366</v>
      </c>
      <c r="S42" s="7">
        <v>3.9746365997548772</v>
      </c>
      <c r="T42" s="7">
        <v>2.8463526617599442</v>
      </c>
      <c r="U42" s="7">
        <v>4.9319684259323955</v>
      </c>
      <c r="V42" s="7">
        <v>0</v>
      </c>
      <c r="W42" s="7">
        <v>0</v>
      </c>
      <c r="X42" s="7">
        <v>5.9063954632916564</v>
      </c>
      <c r="Y42" s="7">
        <v>3.4617802643026345</v>
      </c>
      <c r="Z42" s="7">
        <v>3.5814467425748249</v>
      </c>
      <c r="AA42" s="7">
        <v>2.9574715344412632</v>
      </c>
      <c r="AB42" s="7">
        <v>4.7524687085241109</v>
      </c>
      <c r="AC42" s="7">
        <v>0</v>
      </c>
      <c r="AD42" s="7">
        <v>0</v>
      </c>
      <c r="AE42" s="7">
        <v>6.2312044757447431</v>
      </c>
      <c r="AF42" s="7">
        <v>3.9062557550279116</v>
      </c>
      <c r="AI42" s="9" cm="1">
        <f t="array" ref="AI42">MAX(_xlfn._xlws.FILTER($D42:$AF42, $D$2:$AF$2=AI$2))</f>
        <v>6.4790850378799929</v>
      </c>
      <c r="AJ42" s="9" cm="1">
        <f t="array" ref="AJ42">MAX(_xlfn._xlws.FILTER($B42:$AF42, $B$2:$AF$2=AJ$2))</f>
        <v>4.6840878637971457</v>
      </c>
      <c r="AK42" s="9" cm="1">
        <f t="array" ref="AK42">MAX(_xlfn._xlws.FILTER($B42:$AF42, $B$2:$AF$2=AK$2))</f>
        <v>4.1797791339357735</v>
      </c>
      <c r="AL42" s="9" cm="1">
        <f t="array" ref="AL42">MAX(_xlfn._xlws.FILTER($B42:$AF42, $B$2:$AF$2=AL$2))</f>
        <v>3.2651853357126086</v>
      </c>
      <c r="AM42" s="9" cm="1">
        <f t="array" ref="AM42">MAX(_xlfn._xlws.FILTER($B42:$AF42, $B$2:$AF$2=AM$2))</f>
        <v>5.5730388452476989</v>
      </c>
      <c r="AN42" s="9" cm="1">
        <f t="array" ref="AN42">MAX(_xlfn._xlws.FILTER($B42:$AF42, $B$2:$AF$2=AN$2))</f>
        <v>0</v>
      </c>
      <c r="AO42" s="9" cm="1">
        <f t="array" ref="AO42">MAX(_xlfn._xlws.FILTER($B42:$AF42, $B$2:$AF$2=AO$2))</f>
        <v>0</v>
      </c>
    </row>
    <row r="43" spans="1:41" x14ac:dyDescent="0.25">
      <c r="A43" s="3" t="s">
        <v>48</v>
      </c>
      <c r="B43" s="7">
        <v>0</v>
      </c>
      <c r="C43" s="7">
        <v>6.6842275720608901</v>
      </c>
      <c r="D43" s="7">
        <v>3.9746365997548772</v>
      </c>
      <c r="E43" s="7">
        <v>3.5985419537565662</v>
      </c>
      <c r="F43" s="7">
        <v>3.0258523791682292</v>
      </c>
      <c r="G43" s="7">
        <v>4.4447549072527659</v>
      </c>
      <c r="H43" s="7">
        <v>0</v>
      </c>
      <c r="I43" s="7">
        <v>0</v>
      </c>
      <c r="J43" s="7">
        <v>5.9320382800642681</v>
      </c>
      <c r="K43" s="7">
        <v>3.2908281524852208</v>
      </c>
      <c r="L43" s="7">
        <v>3.3164709692578325</v>
      </c>
      <c r="M43" s="7">
        <v>2.7694242114421077</v>
      </c>
      <c r="N43" s="7">
        <v>4.0772078668453249</v>
      </c>
      <c r="O43" s="7">
        <v>0</v>
      </c>
      <c r="P43" s="7">
        <v>0</v>
      </c>
      <c r="Q43" s="7">
        <v>6.017514335972975</v>
      </c>
      <c r="R43" s="7">
        <v>3.1027808294860653</v>
      </c>
      <c r="S43" s="7">
        <v>3.3677566028030568</v>
      </c>
      <c r="T43" s="7">
        <v>2.8121622393964611</v>
      </c>
      <c r="U43" s="7">
        <v>4.1455887115722909</v>
      </c>
      <c r="V43" s="7">
        <v>0</v>
      </c>
      <c r="W43" s="7">
        <v>0</v>
      </c>
      <c r="X43" s="7">
        <v>5.4277295502028959</v>
      </c>
      <c r="Y43" s="7">
        <v>2.9831143512138758</v>
      </c>
      <c r="Z43" s="7">
        <v>3.2395425189399965</v>
      </c>
      <c r="AA43" s="7">
        <v>2.7010433667151421</v>
      </c>
      <c r="AB43" s="7">
        <v>3.9917318109366184</v>
      </c>
      <c r="AC43" s="7">
        <v>0</v>
      </c>
      <c r="AD43" s="7">
        <v>0</v>
      </c>
      <c r="AE43" s="7">
        <v>5.7952765906103361</v>
      </c>
      <c r="AF43" s="7">
        <v>3.4361374475300224</v>
      </c>
      <c r="AI43" s="9" cm="1">
        <f t="array" ref="AI43">MAX(_xlfn._xlws.FILTER($D43:$AF43, $D$2:$AF$2=AI$2))</f>
        <v>6.017514335972975</v>
      </c>
      <c r="AJ43" s="9" cm="1">
        <f t="array" ref="AJ43">MAX(_xlfn._xlws.FILTER($B43:$AF43, $B$2:$AF$2=AJ$2))</f>
        <v>3.9746365997548772</v>
      </c>
      <c r="AK43" s="9" cm="1">
        <f t="array" ref="AK43">MAX(_xlfn._xlws.FILTER($B43:$AF43, $B$2:$AF$2=AK$2))</f>
        <v>3.5985419537565662</v>
      </c>
      <c r="AL43" s="9" cm="1">
        <f t="array" ref="AL43">MAX(_xlfn._xlws.FILTER($B43:$AF43, $B$2:$AF$2=AL$2))</f>
        <v>3.0258523791682292</v>
      </c>
      <c r="AM43" s="9" cm="1">
        <f t="array" ref="AM43">MAX(_xlfn._xlws.FILTER($B43:$AF43, $B$2:$AF$2=AM$2))</f>
        <v>4.4447549072527659</v>
      </c>
      <c r="AN43" s="9" cm="1">
        <f t="array" ref="AN43">MAX(_xlfn._xlws.FILTER($B43:$AF43, $B$2:$AF$2=AN$2))</f>
        <v>0</v>
      </c>
      <c r="AO43" s="9" cm="1">
        <f t="array" ref="AO43">MAX(_xlfn._xlws.FILTER($B43:$AF43, $B$2:$AF$2=AO$2))</f>
        <v>0</v>
      </c>
    </row>
    <row r="44" spans="1:41" x14ac:dyDescent="0.25">
      <c r="A44" s="3" t="s">
        <v>49</v>
      </c>
      <c r="B44" s="7">
        <v>0</v>
      </c>
      <c r="C44" s="7">
        <v>4.9234208203415246</v>
      </c>
      <c r="D44" s="7">
        <v>3.5985419537565662</v>
      </c>
      <c r="E44" s="7">
        <v>3.3164709692578325</v>
      </c>
      <c r="F44" s="7">
        <v>2.7437813946694956</v>
      </c>
      <c r="G44" s="7">
        <v>3.9917318109366184</v>
      </c>
      <c r="H44" s="7">
        <v>0</v>
      </c>
      <c r="I44" s="7">
        <v>0</v>
      </c>
      <c r="J44" s="7">
        <v>4.5815165967066971</v>
      </c>
      <c r="K44" s="7">
        <v>2.8890906897142976</v>
      </c>
      <c r="L44" s="7">
        <v>3.0343999847590992</v>
      </c>
      <c r="M44" s="7">
        <v>2.4873532269433745</v>
      </c>
      <c r="N44" s="7">
        <v>3.307923363666962</v>
      </c>
      <c r="O44" s="7">
        <v>0</v>
      </c>
      <c r="P44" s="7">
        <v>0</v>
      </c>
      <c r="Q44" s="7">
        <v>4.3165408233897047</v>
      </c>
      <c r="R44" s="7">
        <v>2.9318287176686515</v>
      </c>
      <c r="S44" s="7">
        <v>3.0771380127134531</v>
      </c>
      <c r="T44" s="7">
        <v>2.5215436493068579</v>
      </c>
      <c r="U44" s="7">
        <v>3.6925656152561439</v>
      </c>
      <c r="V44" s="7">
        <v>0</v>
      </c>
      <c r="W44" s="7">
        <v>0</v>
      </c>
      <c r="X44" s="7">
        <v>4.1626839227540327</v>
      </c>
      <c r="Y44" s="7">
        <v>2.8292574505782029</v>
      </c>
      <c r="Z44" s="7">
        <v>2.9660191400321341</v>
      </c>
      <c r="AA44" s="7">
        <v>2.4360675933981502</v>
      </c>
      <c r="AB44" s="7">
        <v>3.5558039258022127</v>
      </c>
      <c r="AC44" s="7">
        <v>0</v>
      </c>
      <c r="AD44" s="7">
        <v>0</v>
      </c>
      <c r="AE44" s="7">
        <v>4.4874929352071193</v>
      </c>
      <c r="AF44" s="7">
        <v>3.0514951959408405</v>
      </c>
      <c r="AI44" s="9" cm="1">
        <f t="array" ref="AI44">MAX(_xlfn._xlws.FILTER($D44:$AF44, $D$2:$AF$2=AI$2))</f>
        <v>4.5815165967066971</v>
      </c>
      <c r="AJ44" s="9" cm="1">
        <f t="array" ref="AJ44">MAX(_xlfn._xlws.FILTER($B44:$AF44, $B$2:$AF$2=AJ$2))</f>
        <v>3.5985419537565662</v>
      </c>
      <c r="AK44" s="9" cm="1">
        <f t="array" ref="AK44">MAX(_xlfn._xlws.FILTER($B44:$AF44, $B$2:$AF$2=AK$2))</f>
        <v>3.3164709692578325</v>
      </c>
      <c r="AL44" s="9" cm="1">
        <f t="array" ref="AL44">MAX(_xlfn._xlws.FILTER($B44:$AF44, $B$2:$AF$2=AL$2))</f>
        <v>2.7437813946694956</v>
      </c>
      <c r="AM44" s="9" cm="1">
        <f t="array" ref="AM44">MAX(_xlfn._xlws.FILTER($B44:$AF44, $B$2:$AF$2=AM$2))</f>
        <v>3.9917318109366184</v>
      </c>
      <c r="AN44" s="9" cm="1">
        <f t="array" ref="AN44">MAX(_xlfn._xlws.FILTER($B44:$AF44, $B$2:$AF$2=AN$2))</f>
        <v>0</v>
      </c>
      <c r="AO44" s="9" cm="1">
        <f t="array" ref="AO44">MAX(_xlfn._xlws.FILTER($B44:$AF44, $B$2:$AF$2=AO$2))</f>
        <v>0</v>
      </c>
    </row>
    <row r="45" spans="1:41" x14ac:dyDescent="0.25">
      <c r="A45" s="3" t="s">
        <v>50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I45" s="9" cm="1">
        <f t="array" ref="AI45">MAX(_xlfn._xlws.FILTER($D45:$AF45, $D$2:$AF$2=AI$2))</f>
        <v>0</v>
      </c>
      <c r="AJ45" s="9" cm="1">
        <f t="array" ref="AJ45">MAX(_xlfn._xlws.FILTER($B45:$AF45, $B$2:$AF$2=AJ$2))</f>
        <v>0</v>
      </c>
      <c r="AK45" s="9" cm="1">
        <f t="array" ref="AK45">MAX(_xlfn._xlws.FILTER($B45:$AF45, $B$2:$AF$2=AK$2))</f>
        <v>0</v>
      </c>
      <c r="AL45" s="9" cm="1">
        <f t="array" ref="AL45">MAX(_xlfn._xlws.FILTER($B45:$AF45, $B$2:$AF$2=AL$2))</f>
        <v>0</v>
      </c>
      <c r="AM45" s="9" cm="1">
        <f t="array" ref="AM45">MAX(_xlfn._xlws.FILTER($B45:$AF45, $B$2:$AF$2=AM$2))</f>
        <v>0</v>
      </c>
      <c r="AN45" s="9" cm="1">
        <f t="array" ref="AN45">MAX(_xlfn._xlws.FILTER($B45:$AF45, $B$2:$AF$2=AN$2))</f>
        <v>0</v>
      </c>
      <c r="AO45" s="9" cm="1">
        <f t="array" ref="AO45">MAX(_xlfn._xlws.FILTER($B45:$AF45, $B$2:$AF$2=AO$2))</f>
        <v>0</v>
      </c>
    </row>
    <row r="46" spans="1:41" x14ac:dyDescent="0.25">
      <c r="A46" s="3" t="s">
        <v>51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I46" s="9" cm="1">
        <f t="array" ref="AI46">MAX(_xlfn._xlws.FILTER($D46:$AF46, $D$2:$AF$2=AI$2))</f>
        <v>0</v>
      </c>
      <c r="AJ46" s="9" cm="1">
        <f t="array" ref="AJ46">MAX(_xlfn._xlws.FILTER($B46:$AF46, $B$2:$AF$2=AJ$2))</f>
        <v>0</v>
      </c>
      <c r="AK46" s="9" cm="1">
        <f t="array" ref="AK46">MAX(_xlfn._xlws.FILTER($B46:$AF46, $B$2:$AF$2=AK$2))</f>
        <v>0</v>
      </c>
      <c r="AL46" s="9" cm="1">
        <f t="array" ref="AL46">MAX(_xlfn._xlws.FILTER($B46:$AF46, $B$2:$AF$2=AL$2))</f>
        <v>0</v>
      </c>
      <c r="AM46" s="9" cm="1">
        <f t="array" ref="AM46">MAX(_xlfn._xlws.FILTER($B46:$AF46, $B$2:$AF$2=AM$2))</f>
        <v>0</v>
      </c>
      <c r="AN46" s="9" cm="1">
        <f t="array" ref="AN46">MAX(_xlfn._xlws.FILTER($B46:$AF46, $B$2:$AF$2=AN$2))</f>
        <v>0</v>
      </c>
      <c r="AO46" s="9" cm="1">
        <f t="array" ref="AO46">MAX(_xlfn._xlws.FILTER($B46:$AF46, $B$2:$AF$2=AO$2))</f>
        <v>0</v>
      </c>
    </row>
    <row r="47" spans="1:41" x14ac:dyDescent="0.25">
      <c r="A47" s="3" t="s">
        <v>52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I47" s="9" cm="1">
        <f t="array" ref="AI47">MAX(_xlfn._xlws.FILTER($D47:$AF47, $D$2:$AF$2=AI$2))</f>
        <v>0</v>
      </c>
      <c r="AJ47" s="9" cm="1">
        <f t="array" ref="AJ47">MAX(_xlfn._xlws.FILTER($B47:$AF47, $B$2:$AF$2=AJ$2))</f>
        <v>0</v>
      </c>
      <c r="AK47" s="9" cm="1">
        <f t="array" ref="AK47">MAX(_xlfn._xlws.FILTER($B47:$AF47, $B$2:$AF$2=AK$2))</f>
        <v>0</v>
      </c>
      <c r="AL47" s="9" cm="1">
        <f t="array" ref="AL47">MAX(_xlfn._xlws.FILTER($B47:$AF47, $B$2:$AF$2=AL$2))</f>
        <v>0</v>
      </c>
      <c r="AM47" s="9" cm="1">
        <f t="array" ref="AM47">MAX(_xlfn._xlws.FILTER($B47:$AF47, $B$2:$AF$2=AM$2))</f>
        <v>0</v>
      </c>
      <c r="AN47" s="9" cm="1">
        <f t="array" ref="AN47">MAX(_xlfn._xlws.FILTER($B47:$AF47, $B$2:$AF$2=AN$2))</f>
        <v>0</v>
      </c>
      <c r="AO47" s="9" cm="1">
        <f t="array" ref="AO47">MAX(_xlfn._xlws.FILTER($B47:$AF47, $B$2:$AF$2=AO$2))</f>
        <v>0</v>
      </c>
    </row>
    <row r="48" spans="1:41" x14ac:dyDescent="0.25">
      <c r="A48" s="3" t="s">
        <v>53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I48" s="9" cm="1">
        <f t="array" ref="AI48">MAX(_xlfn._xlws.FILTER($D48:$AF48, $D$2:$AF$2=AI$2))</f>
        <v>0</v>
      </c>
      <c r="AJ48" s="9" cm="1">
        <f t="array" ref="AJ48">MAX(_xlfn._xlws.FILTER($B48:$AF48, $B$2:$AF$2=AJ$2))</f>
        <v>0</v>
      </c>
      <c r="AK48" s="9" cm="1">
        <f t="array" ref="AK48">MAX(_xlfn._xlws.FILTER($B48:$AF48, $B$2:$AF$2=AK$2))</f>
        <v>0</v>
      </c>
      <c r="AL48" s="9" cm="1">
        <f t="array" ref="AL48">MAX(_xlfn._xlws.FILTER($B48:$AF48, $B$2:$AF$2=AL$2))</f>
        <v>0</v>
      </c>
      <c r="AM48" s="9" cm="1">
        <f t="array" ref="AM48">MAX(_xlfn._xlws.FILTER($B48:$AF48, $B$2:$AF$2=AM$2))</f>
        <v>0</v>
      </c>
      <c r="AN48" s="9" cm="1">
        <f t="array" ref="AN48">MAX(_xlfn._xlws.FILTER($B48:$AF48, $B$2:$AF$2=AN$2))</f>
        <v>0</v>
      </c>
      <c r="AO48" s="9" cm="1">
        <f t="array" ref="AO48">MAX(_xlfn._xlws.FILTER($B48:$AF48, $B$2:$AF$2=AO$2))</f>
        <v>0</v>
      </c>
    </row>
    <row r="49" spans="1:41" x14ac:dyDescent="0.25">
      <c r="A49" s="3" t="s">
        <v>54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I49" s="9" cm="1">
        <f t="array" ref="AI49">MAX(_xlfn._xlws.FILTER($D49:$AF49, $D$2:$AF$2=AI$2))</f>
        <v>0</v>
      </c>
      <c r="AJ49" s="9" cm="1">
        <f t="array" ref="AJ49">MAX(_xlfn._xlws.FILTER($B49:$AF49, $B$2:$AF$2=AJ$2))</f>
        <v>0</v>
      </c>
      <c r="AK49" s="9" cm="1">
        <f t="array" ref="AK49">MAX(_xlfn._xlws.FILTER($B49:$AF49, $B$2:$AF$2=AK$2))</f>
        <v>0</v>
      </c>
      <c r="AL49" s="9" cm="1">
        <f t="array" ref="AL49">MAX(_xlfn._xlws.FILTER($B49:$AF49, $B$2:$AF$2=AL$2))</f>
        <v>0</v>
      </c>
      <c r="AM49" s="9" cm="1">
        <f t="array" ref="AM49">MAX(_xlfn._xlws.FILTER($B49:$AF49, $B$2:$AF$2=AM$2))</f>
        <v>0</v>
      </c>
      <c r="AN49" s="9" cm="1">
        <f t="array" ref="AN49">MAX(_xlfn._xlws.FILTER($B49:$AF49, $B$2:$AF$2=AN$2))</f>
        <v>0</v>
      </c>
      <c r="AO49" s="9" cm="1">
        <f t="array" ref="AO49">MAX(_xlfn._xlws.FILTER($B49:$AF49, $B$2:$AF$2=AO$2))</f>
        <v>0</v>
      </c>
    </row>
    <row r="50" spans="1:41" x14ac:dyDescent="0.25">
      <c r="A50" s="3" t="s">
        <v>55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I50" s="9" cm="1">
        <f t="array" ref="AI50">MAX(_xlfn._xlws.FILTER($D50:$AF50, $D$2:$AF$2=AI$2))</f>
        <v>0</v>
      </c>
      <c r="AJ50" s="9" cm="1">
        <f t="array" ref="AJ50">MAX(_xlfn._xlws.FILTER($B50:$AF50, $B$2:$AF$2=AJ$2))</f>
        <v>0</v>
      </c>
      <c r="AK50" s="9" cm="1">
        <f t="array" ref="AK50">MAX(_xlfn._xlws.FILTER($B50:$AF50, $B$2:$AF$2=AK$2))</f>
        <v>0</v>
      </c>
      <c r="AL50" s="9" cm="1">
        <f t="array" ref="AL50">MAX(_xlfn._xlws.FILTER($B50:$AF50, $B$2:$AF$2=AL$2))</f>
        <v>0</v>
      </c>
      <c r="AM50" s="9" cm="1">
        <f t="array" ref="AM50">MAX(_xlfn._xlws.FILTER($B50:$AF50, $B$2:$AF$2=AM$2))</f>
        <v>0</v>
      </c>
      <c r="AN50" s="9" cm="1">
        <f t="array" ref="AN50">MAX(_xlfn._xlws.FILTER($B50:$AF50, $B$2:$AF$2=AN$2))</f>
        <v>0</v>
      </c>
      <c r="AO50" s="9" cm="1">
        <f t="array" ref="AO50">MAX(_xlfn._xlws.FILTER($B50:$AF50, $B$2:$AF$2=AO$2))</f>
        <v>0</v>
      </c>
    </row>
    <row r="51" spans="1:41" s="12" customFormat="1" x14ac:dyDescent="0.25">
      <c r="A51" s="10"/>
      <c r="B51" s="11">
        <f>MAX(B3:B50)</f>
        <v>0</v>
      </c>
      <c r="C51" s="11">
        <f t="shared" ref="C51:AF51" si="2">MAX(C3:C50)</f>
        <v>20.616824685180138</v>
      </c>
      <c r="D51" s="11">
        <f t="shared" si="2"/>
        <v>11.479434308539355</v>
      </c>
      <c r="E51" s="11">
        <f t="shared" si="2"/>
        <v>14.932666967251118</v>
      </c>
      <c r="F51" s="11">
        <f t="shared" si="2"/>
        <v>8.5305103796889625</v>
      </c>
      <c r="G51" s="11">
        <f t="shared" si="2"/>
        <v>12.727384724806479</v>
      </c>
      <c r="H51" s="11">
        <f t="shared" si="2"/>
        <v>0</v>
      </c>
      <c r="I51" s="11">
        <f t="shared" si="2"/>
        <v>0</v>
      </c>
      <c r="J51" s="11">
        <f t="shared" si="2"/>
        <v>18.240590330918081</v>
      </c>
      <c r="K51" s="11">
        <f t="shared" si="2"/>
        <v>9.3681757275942914</v>
      </c>
      <c r="L51" s="11">
        <f t="shared" si="2"/>
        <v>13.453931200030487</v>
      </c>
      <c r="M51" s="11">
        <f t="shared" si="2"/>
        <v>7.1457982739679071</v>
      </c>
      <c r="N51" s="11">
        <f t="shared" si="2"/>
        <v>11.069149240177559</v>
      </c>
      <c r="O51" s="11">
        <f t="shared" si="2"/>
        <v>0</v>
      </c>
      <c r="P51" s="11">
        <f t="shared" si="2"/>
        <v>0</v>
      </c>
      <c r="Q51" s="11">
        <f t="shared" si="2"/>
        <v>18.069638219100664</v>
      </c>
      <c r="R51" s="11">
        <f t="shared" si="2"/>
        <v>9.0348191095503321</v>
      </c>
      <c r="S51" s="11">
        <f t="shared" si="2"/>
        <v>14.163382464072754</v>
      </c>
      <c r="T51" s="11">
        <f t="shared" si="2"/>
        <v>7.2398219354674866</v>
      </c>
      <c r="U51" s="11">
        <f t="shared" si="2"/>
        <v>11.658934025947641</v>
      </c>
      <c r="V51" s="11">
        <f t="shared" si="2"/>
        <v>0</v>
      </c>
      <c r="W51" s="11">
        <f t="shared" si="2"/>
        <v>0</v>
      </c>
      <c r="X51" s="11">
        <f t="shared" si="2"/>
        <v>16.556712029516554</v>
      </c>
      <c r="Y51" s="11">
        <f t="shared" si="2"/>
        <v>8.5219627740980908</v>
      </c>
      <c r="Z51" s="11">
        <f t="shared" si="2"/>
        <v>13.1291221875774</v>
      </c>
      <c r="AA51" s="11">
        <f t="shared" si="2"/>
        <v>7.2312743298766158</v>
      </c>
      <c r="AB51" s="11">
        <f t="shared" si="2"/>
        <v>11.188815718449749</v>
      </c>
      <c r="AC51" s="11">
        <f t="shared" si="2"/>
        <v>0</v>
      </c>
      <c r="AD51" s="11">
        <f t="shared" si="2"/>
        <v>0</v>
      </c>
      <c r="AE51" s="11">
        <f t="shared" si="2"/>
        <v>17.343091743876656</v>
      </c>
      <c r="AF51" s="11">
        <f t="shared" si="2"/>
        <v>9.6160562897295421</v>
      </c>
    </row>
  </sheetData>
  <mergeCells count="1">
    <mergeCell ref="AI1:AO1"/>
  </mergeCells>
  <dataValidations count="1">
    <dataValidation type="list" allowBlank="1" showInputMessage="1" showErrorMessage="1" sqref="A2" xr:uid="{9E5261E9-0147-48E9-B370-4D4175F1002D}">
      <formula1>"15-Day,45-Day"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BC3E9-6367-4A84-A613-37FAE18DC406}">
  <sheetPr>
    <tabColor rgb="FFFF6600"/>
  </sheetPr>
  <dimension ref="A1:AF51"/>
  <sheetViews>
    <sheetView topLeftCell="D1" zoomScale="75" zoomScaleNormal="75" workbookViewId="0">
      <selection activeCell="I28" sqref="I28"/>
    </sheetView>
  </sheetViews>
  <sheetFormatPr defaultColWidth="9.140625" defaultRowHeight="15" x14ac:dyDescent="0.25"/>
  <cols>
    <col min="1" max="1" width="9.7109375" style="3" bestFit="1" customWidth="1"/>
    <col min="2" max="10" width="7.7109375" style="3" bestFit="1" customWidth="1"/>
    <col min="11" max="32" width="8.85546875" style="3" bestFit="1" customWidth="1"/>
    <col min="33" max="16384" width="9.140625" style="3"/>
  </cols>
  <sheetData>
    <row r="1" spans="1:32" ht="16.5" customHeight="1" x14ac:dyDescent="0.25">
      <c r="A1" s="1" t="s">
        <v>57</v>
      </c>
      <c r="B1" s="2">
        <f>'V-FTE Mar'!B1</f>
        <v>46082</v>
      </c>
      <c r="C1" s="2">
        <f>'V-FTE Mar'!C1</f>
        <v>46083</v>
      </c>
      <c r="D1" s="2">
        <f>'V-FTE Mar'!D1</f>
        <v>46084</v>
      </c>
      <c r="E1" s="2">
        <f>'V-FTE Mar'!E1</f>
        <v>46085</v>
      </c>
      <c r="F1" s="2">
        <f>'V-FTE Mar'!F1</f>
        <v>46086</v>
      </c>
      <c r="G1" s="2">
        <f>'V-FTE Mar'!G1</f>
        <v>46087</v>
      </c>
      <c r="H1" s="2">
        <f>'V-FTE Mar'!H1</f>
        <v>46088</v>
      </c>
      <c r="I1" s="2">
        <f>'V-FTE Mar'!I1</f>
        <v>46089</v>
      </c>
      <c r="J1" s="2">
        <f>'V-FTE Mar'!J1</f>
        <v>46090</v>
      </c>
      <c r="K1" s="2">
        <f>'V-FTE Mar'!K1</f>
        <v>46091</v>
      </c>
      <c r="L1" s="2">
        <f>'V-FTE Mar'!L1</f>
        <v>46092</v>
      </c>
      <c r="M1" s="2">
        <f>'V-FTE Mar'!M1</f>
        <v>46093</v>
      </c>
      <c r="N1" s="2">
        <f>'V-FTE Mar'!N1</f>
        <v>46094</v>
      </c>
      <c r="O1" s="2">
        <f>'V-FTE Mar'!O1</f>
        <v>46095</v>
      </c>
      <c r="P1" s="2">
        <f>'V-FTE Mar'!P1</f>
        <v>46096</v>
      </c>
      <c r="Q1" s="2">
        <f>'V-FTE Mar'!Q1</f>
        <v>46097</v>
      </c>
      <c r="R1" s="2">
        <f>'V-FTE Mar'!R1</f>
        <v>46098</v>
      </c>
      <c r="S1" s="2">
        <f>'V-FTE Mar'!S1</f>
        <v>46099</v>
      </c>
      <c r="T1" s="2">
        <f>'V-FTE Mar'!T1</f>
        <v>46100</v>
      </c>
      <c r="U1" s="2">
        <f>'V-FTE Mar'!U1</f>
        <v>46101</v>
      </c>
      <c r="V1" s="2">
        <f>'V-FTE Mar'!V1</f>
        <v>46102</v>
      </c>
      <c r="W1" s="2">
        <f>'V-FTE Mar'!W1</f>
        <v>46103</v>
      </c>
      <c r="X1" s="2">
        <f>'V-FTE Mar'!X1</f>
        <v>46104</v>
      </c>
      <c r="Y1" s="2">
        <f>'V-FTE Mar'!Y1</f>
        <v>46105</v>
      </c>
      <c r="Z1" s="2">
        <f>'V-FTE Mar'!Z1</f>
        <v>46106</v>
      </c>
      <c r="AA1" s="2">
        <f>'V-FTE Mar'!AA1</f>
        <v>46107</v>
      </c>
      <c r="AB1" s="2">
        <f>'V-FTE Mar'!AB1</f>
        <v>46108</v>
      </c>
      <c r="AC1" s="2">
        <f>'V-FTE Mar'!AC1</f>
        <v>46109</v>
      </c>
      <c r="AD1" s="2">
        <f>'V-FTE Mar'!AD1</f>
        <v>46110</v>
      </c>
      <c r="AE1" s="2">
        <f>'V-FTE Mar'!AE1</f>
        <v>46111</v>
      </c>
      <c r="AF1" s="2">
        <f>'V-FTE Mar'!AF1</f>
        <v>46112</v>
      </c>
    </row>
    <row r="2" spans="1:32" x14ac:dyDescent="0.25">
      <c r="A2" s="4">
        <f>'B-FTE Mar'!A2</f>
        <v>0</v>
      </c>
      <c r="B2" s="5" t="str">
        <f>TEXT(B1,"ddd")</f>
        <v>Sun</v>
      </c>
      <c r="C2" s="5" t="str">
        <f t="shared" ref="C2:AF2" si="0">TEXT(C1,"ddd")</f>
        <v>Mon</v>
      </c>
      <c r="D2" s="5" t="str">
        <f t="shared" si="0"/>
        <v>Tue</v>
      </c>
      <c r="E2" s="5" t="str">
        <f t="shared" si="0"/>
        <v>Wed</v>
      </c>
      <c r="F2" s="5" t="str">
        <f t="shared" si="0"/>
        <v>Thu</v>
      </c>
      <c r="G2" s="5" t="str">
        <f t="shared" si="0"/>
        <v>Fri</v>
      </c>
      <c r="H2" s="5" t="str">
        <f t="shared" si="0"/>
        <v>Sat</v>
      </c>
      <c r="I2" s="5" t="str">
        <f t="shared" si="0"/>
        <v>Sun</v>
      </c>
      <c r="J2" s="5" t="str">
        <f t="shared" si="0"/>
        <v>Mon</v>
      </c>
      <c r="K2" s="5" t="str">
        <f t="shared" si="0"/>
        <v>Tue</v>
      </c>
      <c r="L2" s="5" t="str">
        <f t="shared" si="0"/>
        <v>Wed</v>
      </c>
      <c r="M2" s="5" t="str">
        <f t="shared" si="0"/>
        <v>Thu</v>
      </c>
      <c r="N2" s="5" t="str">
        <f t="shared" si="0"/>
        <v>Fri</v>
      </c>
      <c r="O2" s="5" t="str">
        <f t="shared" si="0"/>
        <v>Sat</v>
      </c>
      <c r="P2" s="5" t="str">
        <f t="shared" si="0"/>
        <v>Sun</v>
      </c>
      <c r="Q2" s="5" t="str">
        <f t="shared" si="0"/>
        <v>Mon</v>
      </c>
      <c r="R2" s="5" t="str">
        <f t="shared" si="0"/>
        <v>Tue</v>
      </c>
      <c r="S2" s="5" t="str">
        <f t="shared" si="0"/>
        <v>Wed</v>
      </c>
      <c r="T2" s="5" t="str">
        <f t="shared" si="0"/>
        <v>Thu</v>
      </c>
      <c r="U2" s="5" t="str">
        <f t="shared" si="0"/>
        <v>Fri</v>
      </c>
      <c r="V2" s="5" t="str">
        <f t="shared" si="0"/>
        <v>Sat</v>
      </c>
      <c r="W2" s="5" t="str">
        <f t="shared" si="0"/>
        <v>Sun</v>
      </c>
      <c r="X2" s="5" t="str">
        <f t="shared" si="0"/>
        <v>Mon</v>
      </c>
      <c r="Y2" s="5" t="str">
        <f t="shared" si="0"/>
        <v>Tue</v>
      </c>
      <c r="Z2" s="5" t="str">
        <f t="shared" si="0"/>
        <v>Wed</v>
      </c>
      <c r="AA2" s="5" t="str">
        <f t="shared" si="0"/>
        <v>Thu</v>
      </c>
      <c r="AB2" s="5" t="str">
        <f t="shared" si="0"/>
        <v>Fri</v>
      </c>
      <c r="AC2" s="5" t="str">
        <f t="shared" si="0"/>
        <v>Sat</v>
      </c>
      <c r="AD2" s="5" t="str">
        <f t="shared" si="0"/>
        <v>Sun</v>
      </c>
      <c r="AE2" s="5" t="str">
        <f t="shared" si="0"/>
        <v>Mon</v>
      </c>
      <c r="AF2" s="5" t="str">
        <f t="shared" si="0"/>
        <v>Tue</v>
      </c>
    </row>
    <row r="3" spans="1:32" x14ac:dyDescent="0.25">
      <c r="A3" s="16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</row>
    <row r="4" spans="1:32" x14ac:dyDescent="0.25">
      <c r="A4" s="16">
        <v>2.0833333333333332E-2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</row>
    <row r="5" spans="1:32" x14ac:dyDescent="0.25">
      <c r="A5" s="16">
        <v>4.1666666666666664E-2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</row>
    <row r="6" spans="1:32" x14ac:dyDescent="0.25">
      <c r="A6" s="16">
        <v>6.25E-2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</row>
    <row r="7" spans="1:32" x14ac:dyDescent="0.25">
      <c r="A7" s="16">
        <v>8.3333333333333329E-2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</row>
    <row r="8" spans="1:32" x14ac:dyDescent="0.25">
      <c r="A8" s="16">
        <v>0.10416666666666667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5">
      <c r="A9" s="16">
        <v>0.125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</row>
    <row r="10" spans="1:32" x14ac:dyDescent="0.25">
      <c r="A10" s="16">
        <v>0.14583333333333334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</row>
    <row r="11" spans="1:32" x14ac:dyDescent="0.25">
      <c r="A11" s="16">
        <v>0.16666666666666666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</row>
    <row r="12" spans="1:32" x14ac:dyDescent="0.25">
      <c r="A12" s="16">
        <v>0.1875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</row>
    <row r="13" spans="1:32" x14ac:dyDescent="0.25">
      <c r="A13" s="16">
        <v>0.20833333333333334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5">
      <c r="A14" s="16">
        <v>0.22916666666666666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5">
      <c r="A15" s="16">
        <v>0.25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5">
      <c r="A16" s="16">
        <v>0.27083333333333331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</row>
    <row r="17" spans="1:32" x14ac:dyDescent="0.25">
      <c r="A17" s="16">
        <v>0.29166666666666669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</row>
    <row r="18" spans="1:32" x14ac:dyDescent="0.25">
      <c r="A18" s="16">
        <v>0.3125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</row>
    <row r="19" spans="1:32" x14ac:dyDescent="0.25">
      <c r="A19" s="16">
        <v>0.33333333333333331</v>
      </c>
      <c r="B19" s="3">
        <v>0</v>
      </c>
      <c r="C19" s="3">
        <v>5</v>
      </c>
      <c r="D19" s="3">
        <v>3</v>
      </c>
      <c r="E19" s="3">
        <v>3</v>
      </c>
      <c r="F19" s="3">
        <v>3</v>
      </c>
      <c r="G19" s="3">
        <v>3</v>
      </c>
      <c r="H19" s="3">
        <v>0</v>
      </c>
      <c r="I19" s="3">
        <v>0</v>
      </c>
      <c r="J19" s="3">
        <v>5</v>
      </c>
      <c r="K19" s="3">
        <v>2</v>
      </c>
      <c r="L19" s="3">
        <v>3</v>
      </c>
      <c r="M19" s="3">
        <v>3</v>
      </c>
      <c r="N19" s="3">
        <v>2</v>
      </c>
      <c r="O19" s="3">
        <v>0</v>
      </c>
      <c r="P19" s="3">
        <v>0</v>
      </c>
      <c r="Q19" s="3">
        <v>5</v>
      </c>
      <c r="R19" s="3">
        <v>3</v>
      </c>
      <c r="S19" s="3">
        <v>2</v>
      </c>
      <c r="T19" s="3">
        <v>3</v>
      </c>
      <c r="U19" s="3">
        <v>3</v>
      </c>
      <c r="V19" s="3">
        <v>0</v>
      </c>
      <c r="W19" s="3">
        <v>0</v>
      </c>
      <c r="X19" s="3">
        <v>4</v>
      </c>
      <c r="Y19" s="3">
        <v>3</v>
      </c>
      <c r="Z19" s="3">
        <v>3</v>
      </c>
      <c r="AA19" s="3">
        <v>3</v>
      </c>
      <c r="AB19" s="3">
        <v>3</v>
      </c>
      <c r="AC19" s="3">
        <v>0</v>
      </c>
      <c r="AD19" s="3">
        <v>0</v>
      </c>
      <c r="AE19" s="3">
        <v>4</v>
      </c>
      <c r="AF19" s="3">
        <v>3</v>
      </c>
    </row>
    <row r="20" spans="1:32" x14ac:dyDescent="0.25">
      <c r="A20" s="16">
        <v>0.35416666666666669</v>
      </c>
      <c r="B20" s="3">
        <v>0</v>
      </c>
      <c r="C20" s="3">
        <v>8</v>
      </c>
      <c r="D20" s="3">
        <v>6</v>
      </c>
      <c r="E20" s="3">
        <v>4</v>
      </c>
      <c r="F20" s="3">
        <v>5</v>
      </c>
      <c r="G20" s="3">
        <v>5</v>
      </c>
      <c r="H20" s="3">
        <v>0</v>
      </c>
      <c r="I20" s="3">
        <v>0</v>
      </c>
      <c r="J20" s="3">
        <v>7</v>
      </c>
      <c r="K20" s="3">
        <v>4</v>
      </c>
      <c r="L20" s="3">
        <v>4</v>
      </c>
      <c r="M20" s="3">
        <v>4</v>
      </c>
      <c r="N20" s="3">
        <v>4</v>
      </c>
      <c r="O20" s="3">
        <v>0</v>
      </c>
      <c r="P20" s="3">
        <v>0</v>
      </c>
      <c r="Q20" s="3">
        <v>7</v>
      </c>
      <c r="R20" s="3">
        <v>4</v>
      </c>
      <c r="S20" s="3">
        <v>4</v>
      </c>
      <c r="T20" s="3">
        <v>4</v>
      </c>
      <c r="U20" s="3">
        <v>4</v>
      </c>
      <c r="V20" s="3">
        <v>0</v>
      </c>
      <c r="W20" s="3">
        <v>0</v>
      </c>
      <c r="X20" s="3">
        <v>6</v>
      </c>
      <c r="Y20" s="3">
        <v>4</v>
      </c>
      <c r="Z20" s="3">
        <v>4</v>
      </c>
      <c r="AA20" s="3">
        <v>5</v>
      </c>
      <c r="AB20" s="3">
        <v>4</v>
      </c>
      <c r="AC20" s="3">
        <v>0</v>
      </c>
      <c r="AD20" s="3">
        <v>0</v>
      </c>
      <c r="AE20" s="3">
        <v>7</v>
      </c>
      <c r="AF20" s="3">
        <v>5</v>
      </c>
    </row>
    <row r="21" spans="1:32" x14ac:dyDescent="0.25">
      <c r="A21" s="16">
        <v>0.375</v>
      </c>
      <c r="B21" s="3">
        <v>0</v>
      </c>
      <c r="C21" s="3">
        <v>12</v>
      </c>
      <c r="D21" s="3">
        <v>10</v>
      </c>
      <c r="E21" s="3">
        <v>8</v>
      </c>
      <c r="F21" s="3">
        <v>8</v>
      </c>
      <c r="G21" s="3">
        <v>8</v>
      </c>
      <c r="H21" s="3">
        <v>0</v>
      </c>
      <c r="I21" s="3">
        <v>0</v>
      </c>
      <c r="J21" s="3">
        <v>11</v>
      </c>
      <c r="K21" s="3">
        <v>8</v>
      </c>
      <c r="L21" s="3">
        <v>7</v>
      </c>
      <c r="M21" s="3">
        <v>7</v>
      </c>
      <c r="N21" s="3">
        <v>7</v>
      </c>
      <c r="O21" s="3">
        <v>0</v>
      </c>
      <c r="P21" s="3">
        <v>0</v>
      </c>
      <c r="Q21" s="3">
        <v>11</v>
      </c>
      <c r="R21" s="3">
        <v>7</v>
      </c>
      <c r="S21" s="3">
        <v>7</v>
      </c>
      <c r="T21" s="3">
        <v>7</v>
      </c>
      <c r="U21" s="3">
        <v>7</v>
      </c>
      <c r="V21" s="3">
        <v>0</v>
      </c>
      <c r="W21" s="3">
        <v>0</v>
      </c>
      <c r="X21" s="3">
        <v>10</v>
      </c>
      <c r="Y21" s="3">
        <v>7</v>
      </c>
      <c r="Z21" s="3">
        <v>7</v>
      </c>
      <c r="AA21" s="3">
        <v>7</v>
      </c>
      <c r="AB21" s="3">
        <v>7</v>
      </c>
      <c r="AC21" s="3">
        <v>0</v>
      </c>
      <c r="AD21" s="3">
        <v>0</v>
      </c>
      <c r="AE21" s="3">
        <v>11</v>
      </c>
      <c r="AF21" s="3">
        <v>8</v>
      </c>
    </row>
    <row r="22" spans="1:32" x14ac:dyDescent="0.25">
      <c r="A22" s="16">
        <v>0.39583333333333331</v>
      </c>
      <c r="B22" s="3">
        <v>0</v>
      </c>
      <c r="C22" s="3">
        <v>18</v>
      </c>
      <c r="D22" s="3">
        <v>14</v>
      </c>
      <c r="E22" s="3">
        <v>12</v>
      </c>
      <c r="F22" s="3">
        <v>12</v>
      </c>
      <c r="G22" s="3">
        <v>11</v>
      </c>
      <c r="H22" s="3">
        <v>0</v>
      </c>
      <c r="I22" s="3">
        <v>0</v>
      </c>
      <c r="J22" s="3">
        <v>16</v>
      </c>
      <c r="K22" s="3">
        <v>12</v>
      </c>
      <c r="L22" s="3">
        <v>11</v>
      </c>
      <c r="M22" s="3">
        <v>10</v>
      </c>
      <c r="N22" s="3">
        <v>10</v>
      </c>
      <c r="O22" s="3">
        <v>0</v>
      </c>
      <c r="P22" s="3">
        <v>0</v>
      </c>
      <c r="Q22" s="3">
        <v>15</v>
      </c>
      <c r="R22" s="3">
        <v>11</v>
      </c>
      <c r="S22" s="3">
        <v>11</v>
      </c>
      <c r="T22" s="3">
        <v>10</v>
      </c>
      <c r="U22" s="3">
        <v>10</v>
      </c>
      <c r="V22" s="3">
        <v>0</v>
      </c>
      <c r="W22" s="3">
        <v>0</v>
      </c>
      <c r="X22" s="3">
        <v>15</v>
      </c>
      <c r="Y22" s="3">
        <v>11</v>
      </c>
      <c r="Z22" s="3">
        <v>11</v>
      </c>
      <c r="AA22" s="3">
        <v>10</v>
      </c>
      <c r="AB22" s="3">
        <v>10</v>
      </c>
      <c r="AC22" s="3">
        <v>0</v>
      </c>
      <c r="AD22" s="3">
        <v>0</v>
      </c>
      <c r="AE22" s="3">
        <v>16</v>
      </c>
      <c r="AF22" s="3">
        <v>12</v>
      </c>
    </row>
    <row r="23" spans="1:32" x14ac:dyDescent="0.25">
      <c r="A23" s="16">
        <v>0.41666666666666669</v>
      </c>
      <c r="B23" s="3">
        <v>0</v>
      </c>
      <c r="C23" s="3">
        <v>23</v>
      </c>
      <c r="D23" s="3">
        <v>19</v>
      </c>
      <c r="E23" s="3">
        <v>16</v>
      </c>
      <c r="F23" s="3">
        <v>15</v>
      </c>
      <c r="G23" s="3">
        <v>15</v>
      </c>
      <c r="H23" s="3">
        <v>0</v>
      </c>
      <c r="I23" s="3">
        <v>0</v>
      </c>
      <c r="J23" s="3">
        <v>21</v>
      </c>
      <c r="K23" s="3">
        <v>15</v>
      </c>
      <c r="L23" s="3">
        <v>14</v>
      </c>
      <c r="M23" s="3">
        <v>13</v>
      </c>
      <c r="N23" s="3">
        <v>13</v>
      </c>
      <c r="O23" s="3">
        <v>0</v>
      </c>
      <c r="P23" s="3">
        <v>0</v>
      </c>
      <c r="Q23" s="3">
        <v>21</v>
      </c>
      <c r="R23" s="3">
        <v>15</v>
      </c>
      <c r="S23" s="3">
        <v>15</v>
      </c>
      <c r="T23" s="3">
        <v>13</v>
      </c>
      <c r="U23" s="3">
        <v>13</v>
      </c>
      <c r="V23" s="3">
        <v>0</v>
      </c>
      <c r="W23" s="3">
        <v>0</v>
      </c>
      <c r="X23" s="3">
        <v>19</v>
      </c>
      <c r="Y23" s="3">
        <v>14</v>
      </c>
      <c r="Z23" s="3">
        <v>14</v>
      </c>
      <c r="AA23" s="3">
        <v>13</v>
      </c>
      <c r="AB23" s="3">
        <v>13</v>
      </c>
      <c r="AC23" s="3">
        <v>0</v>
      </c>
      <c r="AD23" s="3">
        <v>0</v>
      </c>
      <c r="AE23" s="3">
        <v>21</v>
      </c>
      <c r="AF23" s="3">
        <v>16</v>
      </c>
    </row>
    <row r="24" spans="1:32" x14ac:dyDescent="0.25">
      <c r="A24" s="16">
        <v>0.4375</v>
      </c>
      <c r="B24" s="3">
        <v>0</v>
      </c>
      <c r="C24" s="3">
        <v>29</v>
      </c>
      <c r="D24" s="3">
        <v>24</v>
      </c>
      <c r="E24" s="3">
        <v>21</v>
      </c>
      <c r="F24" s="3">
        <v>19</v>
      </c>
      <c r="G24" s="3">
        <v>20</v>
      </c>
      <c r="H24" s="3">
        <v>0</v>
      </c>
      <c r="I24" s="3">
        <v>0</v>
      </c>
      <c r="J24" s="3">
        <v>26</v>
      </c>
      <c r="K24" s="3">
        <v>20</v>
      </c>
      <c r="L24" s="3">
        <v>19</v>
      </c>
      <c r="M24" s="3">
        <v>17</v>
      </c>
      <c r="N24" s="3">
        <v>17</v>
      </c>
      <c r="O24" s="3">
        <v>0</v>
      </c>
      <c r="P24" s="3">
        <v>0</v>
      </c>
      <c r="Q24" s="3">
        <v>25</v>
      </c>
      <c r="R24" s="3">
        <v>19</v>
      </c>
      <c r="S24" s="3">
        <v>19</v>
      </c>
      <c r="T24" s="3">
        <v>16</v>
      </c>
      <c r="U24" s="3">
        <v>17</v>
      </c>
      <c r="V24" s="3">
        <v>0</v>
      </c>
      <c r="W24" s="3">
        <v>0</v>
      </c>
      <c r="X24" s="3">
        <v>24</v>
      </c>
      <c r="Y24" s="3">
        <v>18</v>
      </c>
      <c r="Z24" s="3">
        <v>19</v>
      </c>
      <c r="AA24" s="3">
        <v>17</v>
      </c>
      <c r="AB24" s="3">
        <v>17</v>
      </c>
      <c r="AC24" s="3">
        <v>0</v>
      </c>
      <c r="AD24" s="3">
        <v>0</v>
      </c>
      <c r="AE24" s="3">
        <v>25</v>
      </c>
      <c r="AF24" s="3">
        <v>21</v>
      </c>
    </row>
    <row r="25" spans="1:32" x14ac:dyDescent="0.25">
      <c r="A25" s="16">
        <v>0.45833333333333331</v>
      </c>
      <c r="B25" s="3">
        <v>0</v>
      </c>
      <c r="C25" s="3">
        <v>36</v>
      </c>
      <c r="D25" s="3">
        <v>31</v>
      </c>
      <c r="E25" s="3">
        <v>26</v>
      </c>
      <c r="F25" s="3">
        <v>25</v>
      </c>
      <c r="G25" s="3">
        <v>25</v>
      </c>
      <c r="H25" s="3">
        <v>0</v>
      </c>
      <c r="I25" s="3">
        <v>0</v>
      </c>
      <c r="J25" s="3">
        <v>31</v>
      </c>
      <c r="K25" s="3">
        <v>25</v>
      </c>
      <c r="L25" s="3">
        <v>23</v>
      </c>
      <c r="M25" s="3">
        <v>21</v>
      </c>
      <c r="N25" s="3">
        <v>21</v>
      </c>
      <c r="O25" s="3">
        <v>0</v>
      </c>
      <c r="P25" s="3">
        <v>0</v>
      </c>
      <c r="Q25" s="3">
        <v>31</v>
      </c>
      <c r="R25" s="3">
        <v>24</v>
      </c>
      <c r="S25" s="3">
        <v>24</v>
      </c>
      <c r="T25" s="3">
        <v>21</v>
      </c>
      <c r="U25" s="3">
        <v>22</v>
      </c>
      <c r="V25" s="3">
        <v>0</v>
      </c>
      <c r="W25" s="3">
        <v>0</v>
      </c>
      <c r="X25" s="3">
        <v>29</v>
      </c>
      <c r="Y25" s="3">
        <v>23</v>
      </c>
      <c r="Z25" s="3">
        <v>24</v>
      </c>
      <c r="AA25" s="3">
        <v>22</v>
      </c>
      <c r="AB25" s="3">
        <v>22</v>
      </c>
      <c r="AC25" s="3">
        <v>0</v>
      </c>
      <c r="AD25" s="3">
        <v>0</v>
      </c>
      <c r="AE25" s="3">
        <v>31</v>
      </c>
      <c r="AF25" s="3">
        <v>26</v>
      </c>
    </row>
    <row r="26" spans="1:32" x14ac:dyDescent="0.25">
      <c r="A26" s="16">
        <v>0.47916666666666669</v>
      </c>
      <c r="B26" s="3">
        <v>0</v>
      </c>
      <c r="C26" s="3">
        <v>40</v>
      </c>
      <c r="D26" s="3">
        <v>35</v>
      </c>
      <c r="E26" s="3">
        <v>29</v>
      </c>
      <c r="F26" s="3">
        <v>29</v>
      </c>
      <c r="G26" s="3">
        <v>28</v>
      </c>
      <c r="H26" s="3">
        <v>0</v>
      </c>
      <c r="I26" s="3">
        <v>0</v>
      </c>
      <c r="J26" s="3">
        <v>35</v>
      </c>
      <c r="K26" s="3">
        <v>29</v>
      </c>
      <c r="L26" s="3">
        <v>26</v>
      </c>
      <c r="M26" s="3">
        <v>24</v>
      </c>
      <c r="N26" s="3">
        <v>24</v>
      </c>
      <c r="O26" s="3">
        <v>0</v>
      </c>
      <c r="P26" s="3">
        <v>0</v>
      </c>
      <c r="Q26" s="3">
        <v>34</v>
      </c>
      <c r="R26" s="3">
        <v>27</v>
      </c>
      <c r="S26" s="3">
        <v>27</v>
      </c>
      <c r="T26" s="3">
        <v>24</v>
      </c>
      <c r="U26" s="3">
        <v>25</v>
      </c>
      <c r="V26" s="3">
        <v>0</v>
      </c>
      <c r="W26" s="3">
        <v>0</v>
      </c>
      <c r="X26" s="3">
        <v>33</v>
      </c>
      <c r="Y26" s="3">
        <v>27</v>
      </c>
      <c r="Z26" s="3">
        <v>26</v>
      </c>
      <c r="AA26" s="3">
        <v>25</v>
      </c>
      <c r="AB26" s="3">
        <v>24</v>
      </c>
      <c r="AC26" s="3">
        <v>0</v>
      </c>
      <c r="AD26" s="3">
        <v>0</v>
      </c>
      <c r="AE26" s="3">
        <v>35</v>
      </c>
      <c r="AF26" s="3">
        <v>30</v>
      </c>
    </row>
    <row r="27" spans="1:32" x14ac:dyDescent="0.25">
      <c r="A27" s="16">
        <v>0.5</v>
      </c>
      <c r="B27" s="3">
        <v>0</v>
      </c>
      <c r="C27" s="3">
        <v>41</v>
      </c>
      <c r="D27" s="3">
        <v>36</v>
      </c>
      <c r="E27" s="3">
        <v>30</v>
      </c>
      <c r="F27" s="3">
        <v>29</v>
      </c>
      <c r="G27" s="3">
        <v>28</v>
      </c>
      <c r="H27" s="3">
        <v>0</v>
      </c>
      <c r="I27" s="3">
        <v>0</v>
      </c>
      <c r="J27" s="3">
        <v>36</v>
      </c>
      <c r="K27" s="3">
        <v>29</v>
      </c>
      <c r="L27" s="3">
        <v>26</v>
      </c>
      <c r="M27" s="3">
        <v>25</v>
      </c>
      <c r="N27" s="3">
        <v>24</v>
      </c>
      <c r="O27" s="3">
        <v>0</v>
      </c>
      <c r="P27" s="3">
        <v>0</v>
      </c>
      <c r="Q27" s="3">
        <v>35</v>
      </c>
      <c r="R27" s="3">
        <v>28</v>
      </c>
      <c r="S27" s="3">
        <v>27</v>
      </c>
      <c r="T27" s="3">
        <v>24</v>
      </c>
      <c r="U27" s="3">
        <v>24</v>
      </c>
      <c r="V27" s="3">
        <v>0</v>
      </c>
      <c r="W27" s="3">
        <v>0</v>
      </c>
      <c r="X27" s="3">
        <v>34</v>
      </c>
      <c r="Y27" s="3">
        <v>27</v>
      </c>
      <c r="Z27" s="3">
        <v>27</v>
      </c>
      <c r="AA27" s="3">
        <v>25</v>
      </c>
      <c r="AB27" s="3">
        <v>24</v>
      </c>
      <c r="AC27" s="3">
        <v>0</v>
      </c>
      <c r="AD27" s="3">
        <v>0</v>
      </c>
      <c r="AE27" s="3">
        <v>36</v>
      </c>
      <c r="AF27" s="3">
        <v>30</v>
      </c>
    </row>
    <row r="28" spans="1:32" x14ac:dyDescent="0.25">
      <c r="A28" s="16">
        <v>0.52083333333333337</v>
      </c>
      <c r="B28" s="3">
        <v>0</v>
      </c>
      <c r="C28" s="3">
        <v>40</v>
      </c>
      <c r="D28" s="3">
        <v>35</v>
      </c>
      <c r="E28" s="3">
        <v>29</v>
      </c>
      <c r="F28" s="3">
        <v>28</v>
      </c>
      <c r="G28" s="3">
        <v>27</v>
      </c>
      <c r="H28" s="3">
        <v>0</v>
      </c>
      <c r="I28" s="3">
        <v>0</v>
      </c>
      <c r="J28" s="3">
        <v>36</v>
      </c>
      <c r="K28" s="3">
        <v>28</v>
      </c>
      <c r="L28" s="3">
        <v>26</v>
      </c>
      <c r="M28" s="3">
        <v>25</v>
      </c>
      <c r="N28" s="3">
        <v>23</v>
      </c>
      <c r="O28" s="3">
        <v>0</v>
      </c>
      <c r="P28" s="3">
        <v>0</v>
      </c>
      <c r="Q28" s="3">
        <v>35</v>
      </c>
      <c r="R28" s="3">
        <v>26</v>
      </c>
      <c r="S28" s="3">
        <v>27</v>
      </c>
      <c r="T28" s="3">
        <v>24</v>
      </c>
      <c r="U28" s="3">
        <v>24</v>
      </c>
      <c r="V28" s="3">
        <v>0</v>
      </c>
      <c r="W28" s="3">
        <v>0</v>
      </c>
      <c r="X28" s="3">
        <v>34</v>
      </c>
      <c r="Y28" s="3">
        <v>26</v>
      </c>
      <c r="Z28" s="3">
        <v>26</v>
      </c>
      <c r="AA28" s="3">
        <v>25</v>
      </c>
      <c r="AB28" s="3">
        <v>23</v>
      </c>
      <c r="AC28" s="3">
        <v>0</v>
      </c>
      <c r="AD28" s="3">
        <v>0</v>
      </c>
      <c r="AE28" s="3">
        <v>35</v>
      </c>
      <c r="AF28" s="3">
        <v>29</v>
      </c>
    </row>
    <row r="29" spans="1:32" x14ac:dyDescent="0.25">
      <c r="A29" s="16">
        <v>0.54166666666666663</v>
      </c>
      <c r="B29" s="3">
        <v>0</v>
      </c>
      <c r="C29" s="3">
        <v>41</v>
      </c>
      <c r="D29" s="3">
        <v>35</v>
      </c>
      <c r="E29" s="3">
        <v>29</v>
      </c>
      <c r="F29" s="3">
        <v>29</v>
      </c>
      <c r="G29" s="3">
        <v>28</v>
      </c>
      <c r="H29" s="3">
        <v>0</v>
      </c>
      <c r="I29" s="3">
        <v>0</v>
      </c>
      <c r="J29" s="3">
        <v>36</v>
      </c>
      <c r="K29" s="3">
        <v>28</v>
      </c>
      <c r="L29" s="3">
        <v>26</v>
      </c>
      <c r="M29" s="3">
        <v>25</v>
      </c>
      <c r="N29" s="3">
        <v>24</v>
      </c>
      <c r="O29" s="3">
        <v>0</v>
      </c>
      <c r="P29" s="3">
        <v>0</v>
      </c>
      <c r="Q29" s="3">
        <v>35</v>
      </c>
      <c r="R29" s="3">
        <v>26</v>
      </c>
      <c r="S29" s="3">
        <v>27</v>
      </c>
      <c r="T29" s="3">
        <v>24</v>
      </c>
      <c r="U29" s="3">
        <v>24</v>
      </c>
      <c r="V29" s="3">
        <v>0</v>
      </c>
      <c r="W29" s="3">
        <v>0</v>
      </c>
      <c r="X29" s="3">
        <v>34</v>
      </c>
      <c r="Y29" s="3">
        <v>26</v>
      </c>
      <c r="Z29" s="3">
        <v>27</v>
      </c>
      <c r="AA29" s="3">
        <v>25</v>
      </c>
      <c r="AB29" s="3">
        <v>24</v>
      </c>
      <c r="AC29" s="3">
        <v>0</v>
      </c>
      <c r="AD29" s="3">
        <v>0</v>
      </c>
      <c r="AE29" s="3">
        <v>35</v>
      </c>
      <c r="AF29" s="3">
        <v>29</v>
      </c>
    </row>
    <row r="30" spans="1:32" x14ac:dyDescent="0.25">
      <c r="A30" s="16">
        <v>0.5625</v>
      </c>
      <c r="B30" s="3">
        <v>0</v>
      </c>
      <c r="C30" s="3">
        <v>41</v>
      </c>
      <c r="D30" s="3">
        <v>34</v>
      </c>
      <c r="E30" s="3">
        <v>30</v>
      </c>
      <c r="F30" s="3">
        <v>29</v>
      </c>
      <c r="G30" s="3">
        <v>29</v>
      </c>
      <c r="H30" s="3">
        <v>0</v>
      </c>
      <c r="I30" s="3">
        <v>0</v>
      </c>
      <c r="J30" s="3">
        <v>37</v>
      </c>
      <c r="K30" s="3">
        <v>27</v>
      </c>
      <c r="L30" s="3">
        <v>26</v>
      </c>
      <c r="M30" s="3">
        <v>25</v>
      </c>
      <c r="N30" s="3">
        <v>25</v>
      </c>
      <c r="O30" s="3">
        <v>0</v>
      </c>
      <c r="P30" s="3">
        <v>0</v>
      </c>
      <c r="Q30" s="3">
        <v>35</v>
      </c>
      <c r="R30" s="3">
        <v>26</v>
      </c>
      <c r="S30" s="3">
        <v>27</v>
      </c>
      <c r="T30" s="3">
        <v>25</v>
      </c>
      <c r="U30" s="3">
        <v>25</v>
      </c>
      <c r="V30" s="3">
        <v>0</v>
      </c>
      <c r="W30" s="3">
        <v>0</v>
      </c>
      <c r="X30" s="3">
        <v>34</v>
      </c>
      <c r="Y30" s="3">
        <v>25</v>
      </c>
      <c r="Z30" s="3">
        <v>27</v>
      </c>
      <c r="AA30" s="3">
        <v>26</v>
      </c>
      <c r="AB30" s="3">
        <v>25</v>
      </c>
      <c r="AC30" s="3">
        <v>0</v>
      </c>
      <c r="AD30" s="3">
        <v>0</v>
      </c>
      <c r="AE30" s="3">
        <v>36</v>
      </c>
      <c r="AF30" s="3">
        <v>28</v>
      </c>
    </row>
    <row r="31" spans="1:32" x14ac:dyDescent="0.25">
      <c r="A31" s="16">
        <v>0.58333333333333337</v>
      </c>
      <c r="B31" s="3">
        <v>0</v>
      </c>
      <c r="C31" s="3">
        <v>42</v>
      </c>
      <c r="D31" s="3">
        <v>34</v>
      </c>
      <c r="E31" s="3">
        <v>29</v>
      </c>
      <c r="F31" s="3">
        <v>29</v>
      </c>
      <c r="G31" s="3">
        <v>29</v>
      </c>
      <c r="H31" s="3">
        <v>0</v>
      </c>
      <c r="I31" s="3">
        <v>0</v>
      </c>
      <c r="J31" s="3">
        <v>37</v>
      </c>
      <c r="K31" s="3">
        <v>27</v>
      </c>
      <c r="L31" s="3">
        <v>26</v>
      </c>
      <c r="M31" s="3">
        <v>25</v>
      </c>
      <c r="N31" s="3">
        <v>25</v>
      </c>
      <c r="O31" s="3">
        <v>0</v>
      </c>
      <c r="P31" s="3">
        <v>0</v>
      </c>
      <c r="Q31" s="3">
        <v>36</v>
      </c>
      <c r="R31" s="3">
        <v>26</v>
      </c>
      <c r="S31" s="3">
        <v>27</v>
      </c>
      <c r="T31" s="3">
        <v>25</v>
      </c>
      <c r="U31" s="3">
        <v>26</v>
      </c>
      <c r="V31" s="3">
        <v>0</v>
      </c>
      <c r="W31" s="3">
        <v>0</v>
      </c>
      <c r="X31" s="3">
        <v>35</v>
      </c>
      <c r="Y31" s="3">
        <v>25</v>
      </c>
      <c r="Z31" s="3">
        <v>27</v>
      </c>
      <c r="AA31" s="3">
        <v>26</v>
      </c>
      <c r="AB31" s="3">
        <v>25</v>
      </c>
      <c r="AC31" s="3">
        <v>0</v>
      </c>
      <c r="AD31" s="3">
        <v>0</v>
      </c>
      <c r="AE31" s="3">
        <v>37</v>
      </c>
      <c r="AF31" s="3">
        <v>29</v>
      </c>
    </row>
    <row r="32" spans="1:32" x14ac:dyDescent="0.25">
      <c r="A32" s="16">
        <v>0.60416666666666663</v>
      </c>
      <c r="B32" s="3">
        <v>0</v>
      </c>
      <c r="C32" s="3">
        <v>42</v>
      </c>
      <c r="D32" s="3">
        <v>33</v>
      </c>
      <c r="E32" s="3">
        <v>28</v>
      </c>
      <c r="F32" s="3">
        <v>29</v>
      </c>
      <c r="G32" s="3">
        <v>28</v>
      </c>
      <c r="H32" s="3">
        <v>0</v>
      </c>
      <c r="I32" s="3">
        <v>0</v>
      </c>
      <c r="J32" s="3">
        <v>37</v>
      </c>
      <c r="K32" s="3">
        <v>27</v>
      </c>
      <c r="L32" s="3">
        <v>24</v>
      </c>
      <c r="M32" s="3">
        <v>25</v>
      </c>
      <c r="N32" s="3">
        <v>24</v>
      </c>
      <c r="O32" s="3">
        <v>0</v>
      </c>
      <c r="P32" s="3">
        <v>0</v>
      </c>
      <c r="Q32" s="3">
        <v>36</v>
      </c>
      <c r="R32" s="3">
        <v>25</v>
      </c>
      <c r="S32" s="3">
        <v>26</v>
      </c>
      <c r="T32" s="3">
        <v>24</v>
      </c>
      <c r="U32" s="3">
        <v>25</v>
      </c>
      <c r="V32" s="3">
        <v>0</v>
      </c>
      <c r="W32" s="3">
        <v>0</v>
      </c>
      <c r="X32" s="3">
        <v>34</v>
      </c>
      <c r="Y32" s="3">
        <v>25</v>
      </c>
      <c r="Z32" s="3">
        <v>25</v>
      </c>
      <c r="AA32" s="3">
        <v>25</v>
      </c>
      <c r="AB32" s="3">
        <v>24</v>
      </c>
      <c r="AC32" s="3">
        <v>0</v>
      </c>
      <c r="AD32" s="3">
        <v>0</v>
      </c>
      <c r="AE32" s="3">
        <v>36</v>
      </c>
      <c r="AF32" s="3">
        <v>28</v>
      </c>
    </row>
    <row r="33" spans="1:32" x14ac:dyDescent="0.25">
      <c r="A33" s="16">
        <v>0.625</v>
      </c>
      <c r="B33" s="3">
        <v>0</v>
      </c>
      <c r="C33" s="3">
        <v>41</v>
      </c>
      <c r="D33" s="3">
        <v>33</v>
      </c>
      <c r="E33" s="3">
        <v>26</v>
      </c>
      <c r="F33" s="3">
        <v>28</v>
      </c>
      <c r="G33" s="3">
        <v>26</v>
      </c>
      <c r="H33" s="3">
        <v>0</v>
      </c>
      <c r="I33" s="3">
        <v>0</v>
      </c>
      <c r="J33" s="3">
        <v>36</v>
      </c>
      <c r="K33" s="3">
        <v>26</v>
      </c>
      <c r="L33" s="3">
        <v>22</v>
      </c>
      <c r="M33" s="3">
        <v>23</v>
      </c>
      <c r="N33" s="3">
        <v>23</v>
      </c>
      <c r="O33" s="3">
        <v>0</v>
      </c>
      <c r="P33" s="3">
        <v>0</v>
      </c>
      <c r="Q33" s="3">
        <v>35</v>
      </c>
      <c r="R33" s="3">
        <v>25</v>
      </c>
      <c r="S33" s="3">
        <v>24</v>
      </c>
      <c r="T33" s="3">
        <v>23</v>
      </c>
      <c r="U33" s="3">
        <v>23</v>
      </c>
      <c r="V33" s="3">
        <v>0</v>
      </c>
      <c r="W33" s="3">
        <v>0</v>
      </c>
      <c r="X33" s="3">
        <v>34</v>
      </c>
      <c r="Y33" s="3">
        <v>24</v>
      </c>
      <c r="Z33" s="3">
        <v>23</v>
      </c>
      <c r="AA33" s="3">
        <v>24</v>
      </c>
      <c r="AB33" s="3">
        <v>23</v>
      </c>
      <c r="AC33" s="3">
        <v>0</v>
      </c>
      <c r="AD33" s="3">
        <v>0</v>
      </c>
      <c r="AE33" s="3">
        <v>36</v>
      </c>
      <c r="AF33" s="3">
        <v>28</v>
      </c>
    </row>
    <row r="34" spans="1:32" x14ac:dyDescent="0.25">
      <c r="A34" s="16">
        <v>0.64583333333333337</v>
      </c>
      <c r="B34" s="3">
        <v>0</v>
      </c>
      <c r="C34" s="3">
        <v>39</v>
      </c>
      <c r="D34" s="3">
        <v>32</v>
      </c>
      <c r="E34" s="3">
        <v>24</v>
      </c>
      <c r="F34" s="3">
        <v>26</v>
      </c>
      <c r="G34" s="3">
        <v>25</v>
      </c>
      <c r="H34" s="3">
        <v>0</v>
      </c>
      <c r="I34" s="3">
        <v>0</v>
      </c>
      <c r="J34" s="3">
        <v>35</v>
      </c>
      <c r="K34" s="3">
        <v>26</v>
      </c>
      <c r="L34" s="3">
        <v>21</v>
      </c>
      <c r="M34" s="3">
        <v>22</v>
      </c>
      <c r="N34" s="3">
        <v>22</v>
      </c>
      <c r="O34" s="3">
        <v>0</v>
      </c>
      <c r="P34" s="3">
        <v>0</v>
      </c>
      <c r="Q34" s="3">
        <v>34</v>
      </c>
      <c r="R34" s="3">
        <v>25</v>
      </c>
      <c r="S34" s="3">
        <v>22</v>
      </c>
      <c r="T34" s="3">
        <v>22</v>
      </c>
      <c r="U34" s="3">
        <v>23</v>
      </c>
      <c r="V34" s="3">
        <v>0</v>
      </c>
      <c r="W34" s="3">
        <v>0</v>
      </c>
      <c r="X34" s="3">
        <v>33</v>
      </c>
      <c r="Y34" s="3">
        <v>24</v>
      </c>
      <c r="Z34" s="3">
        <v>22</v>
      </c>
      <c r="AA34" s="3">
        <v>22</v>
      </c>
      <c r="AB34" s="3">
        <v>22</v>
      </c>
      <c r="AC34" s="3">
        <v>0</v>
      </c>
      <c r="AD34" s="3">
        <v>0</v>
      </c>
      <c r="AE34" s="3">
        <v>35</v>
      </c>
      <c r="AF34" s="3">
        <v>27</v>
      </c>
    </row>
    <row r="35" spans="1:32" x14ac:dyDescent="0.25">
      <c r="A35" s="16">
        <v>0.66666666666666663</v>
      </c>
      <c r="B35" s="3">
        <v>0</v>
      </c>
      <c r="C35" s="3">
        <v>40</v>
      </c>
      <c r="D35" s="3">
        <v>34</v>
      </c>
      <c r="E35" s="3">
        <v>25</v>
      </c>
      <c r="F35" s="3">
        <v>25</v>
      </c>
      <c r="G35" s="3">
        <v>27</v>
      </c>
      <c r="H35" s="3">
        <v>0</v>
      </c>
      <c r="I35" s="3">
        <v>0</v>
      </c>
      <c r="J35" s="3">
        <v>36</v>
      </c>
      <c r="K35" s="3">
        <v>27</v>
      </c>
      <c r="L35" s="3">
        <v>22</v>
      </c>
      <c r="M35" s="3">
        <v>22</v>
      </c>
      <c r="N35" s="3">
        <v>23</v>
      </c>
      <c r="O35" s="3">
        <v>0</v>
      </c>
      <c r="P35" s="3">
        <v>0</v>
      </c>
      <c r="Q35" s="3">
        <v>34</v>
      </c>
      <c r="R35" s="3">
        <v>26</v>
      </c>
      <c r="S35" s="3">
        <v>23</v>
      </c>
      <c r="T35" s="3">
        <v>21</v>
      </c>
      <c r="U35" s="3">
        <v>24</v>
      </c>
      <c r="V35" s="3">
        <v>0</v>
      </c>
      <c r="W35" s="3">
        <v>0</v>
      </c>
      <c r="X35" s="3">
        <v>33</v>
      </c>
      <c r="Y35" s="3">
        <v>25</v>
      </c>
      <c r="Z35" s="3">
        <v>23</v>
      </c>
      <c r="AA35" s="3">
        <v>22</v>
      </c>
      <c r="AB35" s="3">
        <v>23</v>
      </c>
      <c r="AC35" s="3">
        <v>0</v>
      </c>
      <c r="AD35" s="3">
        <v>0</v>
      </c>
      <c r="AE35" s="3">
        <v>35</v>
      </c>
      <c r="AF35" s="3">
        <v>28</v>
      </c>
    </row>
    <row r="36" spans="1:32" x14ac:dyDescent="0.25">
      <c r="A36" s="16">
        <v>0.6875</v>
      </c>
      <c r="B36" s="3">
        <v>0</v>
      </c>
      <c r="C36" s="3">
        <v>42</v>
      </c>
      <c r="D36" s="3">
        <v>35</v>
      </c>
      <c r="E36" s="3">
        <v>27</v>
      </c>
      <c r="F36" s="3">
        <v>25</v>
      </c>
      <c r="G36" s="3">
        <v>28</v>
      </c>
      <c r="H36" s="3">
        <v>0</v>
      </c>
      <c r="I36" s="3">
        <v>0</v>
      </c>
      <c r="J36" s="3">
        <v>37</v>
      </c>
      <c r="K36" s="3">
        <v>28</v>
      </c>
      <c r="L36" s="3">
        <v>24</v>
      </c>
      <c r="M36" s="3">
        <v>22</v>
      </c>
      <c r="N36" s="3">
        <v>24</v>
      </c>
      <c r="O36" s="3">
        <v>0</v>
      </c>
      <c r="P36" s="3">
        <v>0</v>
      </c>
      <c r="Q36" s="3">
        <v>36</v>
      </c>
      <c r="R36" s="3">
        <v>26</v>
      </c>
      <c r="S36" s="3">
        <v>25</v>
      </c>
      <c r="T36" s="3">
        <v>22</v>
      </c>
      <c r="U36" s="3">
        <v>25</v>
      </c>
      <c r="V36" s="3">
        <v>0</v>
      </c>
      <c r="W36" s="3">
        <v>0</v>
      </c>
      <c r="X36" s="3">
        <v>34</v>
      </c>
      <c r="Y36" s="3">
        <v>26</v>
      </c>
      <c r="Z36" s="3">
        <v>25</v>
      </c>
      <c r="AA36" s="3">
        <v>22</v>
      </c>
      <c r="AB36" s="3">
        <v>24</v>
      </c>
      <c r="AC36" s="3">
        <v>0</v>
      </c>
      <c r="AD36" s="3">
        <v>0</v>
      </c>
      <c r="AE36" s="3">
        <v>36</v>
      </c>
      <c r="AF36" s="3">
        <v>29</v>
      </c>
    </row>
    <row r="37" spans="1:32" x14ac:dyDescent="0.25">
      <c r="A37" s="16">
        <v>0.70833333333333337</v>
      </c>
      <c r="B37" s="3">
        <v>0</v>
      </c>
      <c r="C37" s="3">
        <v>41</v>
      </c>
      <c r="D37" s="3">
        <v>37</v>
      </c>
      <c r="E37" s="3">
        <v>29</v>
      </c>
      <c r="F37" s="3">
        <v>26</v>
      </c>
      <c r="G37" s="3">
        <v>29</v>
      </c>
      <c r="H37" s="3">
        <v>0</v>
      </c>
      <c r="I37" s="3">
        <v>0</v>
      </c>
      <c r="J37" s="3">
        <v>36</v>
      </c>
      <c r="K37" s="3">
        <v>29</v>
      </c>
      <c r="L37" s="3">
        <v>26</v>
      </c>
      <c r="M37" s="3">
        <v>23</v>
      </c>
      <c r="N37" s="3">
        <v>25</v>
      </c>
      <c r="O37" s="3">
        <v>0</v>
      </c>
      <c r="P37" s="3">
        <v>0</v>
      </c>
      <c r="Q37" s="3">
        <v>36</v>
      </c>
      <c r="R37" s="3">
        <v>28</v>
      </c>
      <c r="S37" s="3">
        <v>27</v>
      </c>
      <c r="T37" s="3">
        <v>23</v>
      </c>
      <c r="U37" s="3">
        <v>26</v>
      </c>
      <c r="V37" s="3">
        <v>0</v>
      </c>
      <c r="W37" s="3">
        <v>0</v>
      </c>
      <c r="X37" s="3">
        <v>35</v>
      </c>
      <c r="Y37" s="3">
        <v>27</v>
      </c>
      <c r="Z37" s="3">
        <v>26</v>
      </c>
      <c r="AA37" s="3">
        <v>23</v>
      </c>
      <c r="AB37" s="3">
        <v>26</v>
      </c>
      <c r="AC37" s="3">
        <v>0</v>
      </c>
      <c r="AD37" s="3">
        <v>0</v>
      </c>
      <c r="AE37" s="3">
        <v>36</v>
      </c>
      <c r="AF37" s="3">
        <v>31</v>
      </c>
    </row>
    <row r="38" spans="1:32" x14ac:dyDescent="0.25">
      <c r="A38" s="16">
        <v>0.72916666666666663</v>
      </c>
      <c r="B38" s="3">
        <v>0</v>
      </c>
      <c r="C38" s="3">
        <v>39</v>
      </c>
      <c r="D38" s="3">
        <v>37</v>
      </c>
      <c r="E38" s="3">
        <v>29</v>
      </c>
      <c r="F38" s="3">
        <v>27</v>
      </c>
      <c r="G38" s="3">
        <v>29</v>
      </c>
      <c r="H38" s="3">
        <v>0</v>
      </c>
      <c r="I38" s="3">
        <v>0</v>
      </c>
      <c r="J38" s="3">
        <v>35</v>
      </c>
      <c r="K38" s="3">
        <v>30</v>
      </c>
      <c r="L38" s="3">
        <v>25</v>
      </c>
      <c r="M38" s="3">
        <v>23</v>
      </c>
      <c r="N38" s="3">
        <v>25</v>
      </c>
      <c r="O38" s="3">
        <v>0</v>
      </c>
      <c r="P38" s="3">
        <v>0</v>
      </c>
      <c r="Q38" s="3">
        <v>33</v>
      </c>
      <c r="R38" s="3">
        <v>29</v>
      </c>
      <c r="S38" s="3">
        <v>26</v>
      </c>
      <c r="T38" s="3">
        <v>22</v>
      </c>
      <c r="U38" s="3">
        <v>26</v>
      </c>
      <c r="V38" s="3">
        <v>0</v>
      </c>
      <c r="W38" s="3">
        <v>0</v>
      </c>
      <c r="X38" s="3">
        <v>32</v>
      </c>
      <c r="Y38" s="3">
        <v>28</v>
      </c>
      <c r="Z38" s="3">
        <v>26</v>
      </c>
      <c r="AA38" s="3">
        <v>23</v>
      </c>
      <c r="AB38" s="3">
        <v>26</v>
      </c>
      <c r="AC38" s="3">
        <v>0</v>
      </c>
      <c r="AD38" s="3">
        <v>0</v>
      </c>
      <c r="AE38" s="3">
        <v>34</v>
      </c>
      <c r="AF38" s="3">
        <v>31</v>
      </c>
    </row>
    <row r="39" spans="1:32" x14ac:dyDescent="0.25">
      <c r="A39" s="16">
        <v>0.75</v>
      </c>
      <c r="B39" s="3">
        <v>0</v>
      </c>
      <c r="C39" s="3">
        <v>35</v>
      </c>
      <c r="D39" s="3">
        <v>34</v>
      </c>
      <c r="E39" s="3">
        <v>26</v>
      </c>
      <c r="F39" s="3">
        <v>25</v>
      </c>
      <c r="G39" s="3">
        <v>27</v>
      </c>
      <c r="H39" s="3">
        <v>0</v>
      </c>
      <c r="I39" s="3">
        <v>0</v>
      </c>
      <c r="J39" s="3">
        <v>31</v>
      </c>
      <c r="K39" s="3">
        <v>28</v>
      </c>
      <c r="L39" s="3">
        <v>23</v>
      </c>
      <c r="M39" s="3">
        <v>21</v>
      </c>
      <c r="N39" s="3">
        <v>23</v>
      </c>
      <c r="O39" s="3">
        <v>0</v>
      </c>
      <c r="P39" s="3">
        <v>0</v>
      </c>
      <c r="Q39" s="3">
        <v>30</v>
      </c>
      <c r="R39" s="3">
        <v>26</v>
      </c>
      <c r="S39" s="3">
        <v>24</v>
      </c>
      <c r="T39" s="3">
        <v>21</v>
      </c>
      <c r="U39" s="3">
        <v>24</v>
      </c>
      <c r="V39" s="3">
        <v>0</v>
      </c>
      <c r="W39" s="3">
        <v>0</v>
      </c>
      <c r="X39" s="3">
        <v>29</v>
      </c>
      <c r="Y39" s="3">
        <v>25</v>
      </c>
      <c r="Z39" s="3">
        <v>23</v>
      </c>
      <c r="AA39" s="3">
        <v>21</v>
      </c>
      <c r="AB39" s="3">
        <v>24</v>
      </c>
      <c r="AC39" s="3">
        <v>0</v>
      </c>
      <c r="AD39" s="3">
        <v>0</v>
      </c>
      <c r="AE39" s="3">
        <v>30</v>
      </c>
      <c r="AF39" s="3">
        <v>29</v>
      </c>
    </row>
    <row r="40" spans="1:32" x14ac:dyDescent="0.25">
      <c r="A40" s="16">
        <v>0.77083333333333337</v>
      </c>
      <c r="B40" s="3">
        <v>0</v>
      </c>
      <c r="C40" s="3">
        <v>29</v>
      </c>
      <c r="D40" s="3">
        <v>27</v>
      </c>
      <c r="E40" s="3">
        <v>22</v>
      </c>
      <c r="F40" s="3">
        <v>20</v>
      </c>
      <c r="G40" s="3">
        <v>23</v>
      </c>
      <c r="H40" s="3">
        <v>0</v>
      </c>
      <c r="I40" s="3">
        <v>0</v>
      </c>
      <c r="J40" s="3">
        <v>26</v>
      </c>
      <c r="K40" s="3">
        <v>22</v>
      </c>
      <c r="L40" s="3">
        <v>19</v>
      </c>
      <c r="M40" s="3">
        <v>17</v>
      </c>
      <c r="N40" s="3">
        <v>20</v>
      </c>
      <c r="O40" s="3">
        <v>0</v>
      </c>
      <c r="P40" s="3">
        <v>0</v>
      </c>
      <c r="Q40" s="3">
        <v>25</v>
      </c>
      <c r="R40" s="3">
        <v>21</v>
      </c>
      <c r="S40" s="3">
        <v>20</v>
      </c>
      <c r="T40" s="3">
        <v>17</v>
      </c>
      <c r="U40" s="3">
        <v>20</v>
      </c>
      <c r="V40" s="3">
        <v>0</v>
      </c>
      <c r="W40" s="3">
        <v>0</v>
      </c>
      <c r="X40" s="3">
        <v>24</v>
      </c>
      <c r="Y40" s="3">
        <v>20</v>
      </c>
      <c r="Z40" s="3">
        <v>20</v>
      </c>
      <c r="AA40" s="3">
        <v>18</v>
      </c>
      <c r="AB40" s="3">
        <v>20</v>
      </c>
      <c r="AC40" s="3">
        <v>0</v>
      </c>
      <c r="AD40" s="3">
        <v>0</v>
      </c>
      <c r="AE40" s="3">
        <v>26</v>
      </c>
      <c r="AF40" s="3">
        <v>23</v>
      </c>
    </row>
    <row r="41" spans="1:32" x14ac:dyDescent="0.25">
      <c r="A41" s="16">
        <v>0.79166666666666663</v>
      </c>
      <c r="B41" s="3">
        <v>0</v>
      </c>
      <c r="C41" s="3">
        <v>25</v>
      </c>
      <c r="D41" s="3">
        <v>22</v>
      </c>
      <c r="E41" s="3">
        <v>17</v>
      </c>
      <c r="F41" s="3">
        <v>16</v>
      </c>
      <c r="G41" s="3">
        <v>18</v>
      </c>
      <c r="H41" s="3">
        <v>0</v>
      </c>
      <c r="I41" s="3">
        <v>0</v>
      </c>
      <c r="J41" s="3">
        <v>22</v>
      </c>
      <c r="K41" s="3">
        <v>17</v>
      </c>
      <c r="L41" s="3">
        <v>15</v>
      </c>
      <c r="M41" s="3">
        <v>13</v>
      </c>
      <c r="N41" s="3">
        <v>16</v>
      </c>
      <c r="O41" s="3">
        <v>0</v>
      </c>
      <c r="P41" s="3">
        <v>0</v>
      </c>
      <c r="Q41" s="3">
        <v>21</v>
      </c>
      <c r="R41" s="3">
        <v>16</v>
      </c>
      <c r="S41" s="3">
        <v>16</v>
      </c>
      <c r="T41" s="3">
        <v>13</v>
      </c>
      <c r="U41" s="3">
        <v>16</v>
      </c>
      <c r="V41" s="3">
        <v>0</v>
      </c>
      <c r="W41" s="3">
        <v>0</v>
      </c>
      <c r="X41" s="3">
        <v>20</v>
      </c>
      <c r="Y41" s="3">
        <v>16</v>
      </c>
      <c r="Z41" s="3">
        <v>16</v>
      </c>
      <c r="AA41" s="3">
        <v>13</v>
      </c>
      <c r="AB41" s="3">
        <v>16</v>
      </c>
      <c r="AC41" s="3">
        <v>0</v>
      </c>
      <c r="AD41" s="3">
        <v>0</v>
      </c>
      <c r="AE41" s="3">
        <v>21</v>
      </c>
      <c r="AF41" s="3">
        <v>18</v>
      </c>
    </row>
    <row r="42" spans="1:32" x14ac:dyDescent="0.25">
      <c r="A42" s="16">
        <v>0.8125</v>
      </c>
      <c r="B42" s="3">
        <v>0</v>
      </c>
      <c r="C42" s="3">
        <v>20</v>
      </c>
      <c r="D42" s="3">
        <v>18</v>
      </c>
      <c r="E42" s="3">
        <v>14</v>
      </c>
      <c r="F42" s="3">
        <v>12</v>
      </c>
      <c r="G42" s="3">
        <v>14</v>
      </c>
      <c r="H42" s="3">
        <v>0</v>
      </c>
      <c r="I42" s="3">
        <v>0</v>
      </c>
      <c r="J42" s="3">
        <v>17</v>
      </c>
      <c r="K42" s="3">
        <v>14</v>
      </c>
      <c r="L42" s="3">
        <v>12</v>
      </c>
      <c r="M42" s="3">
        <v>11</v>
      </c>
      <c r="N42" s="3">
        <v>12</v>
      </c>
      <c r="O42" s="3">
        <v>0</v>
      </c>
      <c r="P42" s="3">
        <v>0</v>
      </c>
      <c r="Q42" s="3">
        <v>17</v>
      </c>
      <c r="R42" s="3">
        <v>13</v>
      </c>
      <c r="S42" s="3">
        <v>13</v>
      </c>
      <c r="T42" s="3">
        <v>10</v>
      </c>
      <c r="U42" s="3">
        <v>12</v>
      </c>
      <c r="V42" s="3">
        <v>0</v>
      </c>
      <c r="W42" s="3">
        <v>0</v>
      </c>
      <c r="X42" s="3">
        <v>16</v>
      </c>
      <c r="Y42" s="3">
        <v>13</v>
      </c>
      <c r="Z42" s="3">
        <v>12</v>
      </c>
      <c r="AA42" s="3">
        <v>11</v>
      </c>
      <c r="AB42" s="3">
        <v>12</v>
      </c>
      <c r="AC42" s="3">
        <v>0</v>
      </c>
      <c r="AD42" s="3">
        <v>0</v>
      </c>
      <c r="AE42" s="3">
        <v>17</v>
      </c>
      <c r="AF42" s="3">
        <v>15</v>
      </c>
    </row>
    <row r="43" spans="1:32" x14ac:dyDescent="0.25">
      <c r="A43" s="16">
        <v>0.83333333333333337</v>
      </c>
      <c r="B43" s="3">
        <v>0</v>
      </c>
      <c r="C43" s="3">
        <v>16</v>
      </c>
      <c r="D43" s="3">
        <v>15</v>
      </c>
      <c r="E43" s="3">
        <v>11</v>
      </c>
      <c r="F43" s="3">
        <v>10</v>
      </c>
      <c r="G43" s="3">
        <v>11</v>
      </c>
      <c r="H43" s="3">
        <v>0</v>
      </c>
      <c r="I43" s="3">
        <v>0</v>
      </c>
      <c r="J43" s="3">
        <v>14</v>
      </c>
      <c r="K43" s="3">
        <v>12</v>
      </c>
      <c r="L43" s="3">
        <v>10</v>
      </c>
      <c r="M43" s="3">
        <v>9</v>
      </c>
      <c r="N43" s="3">
        <v>10</v>
      </c>
      <c r="O43" s="3">
        <v>0</v>
      </c>
      <c r="P43" s="3">
        <v>0</v>
      </c>
      <c r="Q43" s="3">
        <v>14</v>
      </c>
      <c r="R43" s="3">
        <v>11</v>
      </c>
      <c r="S43" s="3">
        <v>10</v>
      </c>
      <c r="T43" s="3">
        <v>9</v>
      </c>
      <c r="U43" s="3">
        <v>10</v>
      </c>
      <c r="V43" s="3">
        <v>0</v>
      </c>
      <c r="W43" s="3">
        <v>0</v>
      </c>
      <c r="X43" s="3">
        <v>13</v>
      </c>
      <c r="Y43" s="3">
        <v>11</v>
      </c>
      <c r="Z43" s="3">
        <v>10</v>
      </c>
      <c r="AA43" s="3">
        <v>9</v>
      </c>
      <c r="AB43" s="3">
        <v>10</v>
      </c>
      <c r="AC43" s="3">
        <v>0</v>
      </c>
      <c r="AD43" s="3">
        <v>0</v>
      </c>
      <c r="AE43" s="3">
        <v>14</v>
      </c>
      <c r="AF43" s="3">
        <v>13</v>
      </c>
    </row>
    <row r="44" spans="1:32" x14ac:dyDescent="0.25">
      <c r="A44" s="16">
        <v>0.85416666666666663</v>
      </c>
      <c r="B44" s="3">
        <v>0</v>
      </c>
      <c r="C44" s="3">
        <v>13</v>
      </c>
      <c r="D44" s="3">
        <v>13</v>
      </c>
      <c r="E44" s="3">
        <v>10</v>
      </c>
      <c r="F44" s="3">
        <v>9</v>
      </c>
      <c r="G44" s="3">
        <v>10</v>
      </c>
      <c r="H44" s="3">
        <v>0</v>
      </c>
      <c r="I44" s="3">
        <v>0</v>
      </c>
      <c r="J44" s="3">
        <v>12</v>
      </c>
      <c r="K44" s="3">
        <v>10</v>
      </c>
      <c r="L44" s="3">
        <v>9</v>
      </c>
      <c r="M44" s="3">
        <v>8</v>
      </c>
      <c r="N44" s="3">
        <v>8</v>
      </c>
      <c r="O44" s="3">
        <v>0</v>
      </c>
      <c r="P44" s="3">
        <v>0</v>
      </c>
      <c r="Q44" s="3">
        <v>11</v>
      </c>
      <c r="R44" s="3">
        <v>10</v>
      </c>
      <c r="S44" s="3">
        <v>9</v>
      </c>
      <c r="T44" s="3">
        <v>8</v>
      </c>
      <c r="U44" s="3">
        <v>9</v>
      </c>
      <c r="V44" s="3">
        <v>0</v>
      </c>
      <c r="W44" s="3">
        <v>0</v>
      </c>
      <c r="X44" s="3">
        <v>11</v>
      </c>
      <c r="Y44" s="3">
        <v>10</v>
      </c>
      <c r="Z44" s="3">
        <v>9</v>
      </c>
      <c r="AA44" s="3">
        <v>8</v>
      </c>
      <c r="AB44" s="3">
        <v>9</v>
      </c>
      <c r="AC44" s="3">
        <v>0</v>
      </c>
      <c r="AD44" s="3">
        <v>0</v>
      </c>
      <c r="AE44" s="3">
        <v>12</v>
      </c>
      <c r="AF44" s="3">
        <v>11</v>
      </c>
    </row>
    <row r="45" spans="1:32" x14ac:dyDescent="0.25">
      <c r="A45" s="16">
        <v>0.875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</row>
    <row r="46" spans="1:32" x14ac:dyDescent="0.25">
      <c r="A46" s="16">
        <v>0.89583333333333337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</row>
    <row r="47" spans="1:32" x14ac:dyDescent="0.25">
      <c r="A47" s="16">
        <v>0.91666666666666663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</row>
    <row r="48" spans="1:32" x14ac:dyDescent="0.25">
      <c r="A48" s="16">
        <v>0.9375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</row>
    <row r="49" spans="1:32" x14ac:dyDescent="0.25">
      <c r="A49" s="16">
        <v>0.95833333333333337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1:32" x14ac:dyDescent="0.25">
      <c r="A50" s="16">
        <v>0.97916666666666663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1:32" x14ac:dyDescent="0.25">
      <c r="A51" s="17" t="s">
        <v>60</v>
      </c>
      <c r="B51" s="18">
        <f>SUM(B3:B50)</f>
        <v>0</v>
      </c>
      <c r="C51" s="18">
        <f t="shared" ref="C51:AF51" si="1">SUM(C3:C50)</f>
        <v>798</v>
      </c>
      <c r="D51" s="18">
        <f t="shared" si="1"/>
        <v>686</v>
      </c>
      <c r="E51" s="18">
        <f t="shared" si="1"/>
        <v>554</v>
      </c>
      <c r="F51" s="18">
        <f t="shared" si="1"/>
        <v>538</v>
      </c>
      <c r="G51" s="18">
        <f t="shared" si="1"/>
        <v>551</v>
      </c>
      <c r="H51" s="18">
        <f t="shared" si="1"/>
        <v>0</v>
      </c>
      <c r="I51" s="18">
        <f t="shared" si="1"/>
        <v>0</v>
      </c>
      <c r="J51" s="18">
        <f t="shared" si="1"/>
        <v>708</v>
      </c>
      <c r="K51" s="18">
        <f t="shared" si="1"/>
        <v>550</v>
      </c>
      <c r="L51" s="18">
        <f t="shared" si="1"/>
        <v>489</v>
      </c>
      <c r="M51" s="18">
        <f t="shared" si="1"/>
        <v>463</v>
      </c>
      <c r="N51" s="18">
        <f t="shared" si="1"/>
        <v>474</v>
      </c>
      <c r="O51" s="18">
        <f t="shared" si="1"/>
        <v>0</v>
      </c>
      <c r="P51" s="18">
        <f t="shared" si="1"/>
        <v>0</v>
      </c>
      <c r="Q51" s="18">
        <f t="shared" si="1"/>
        <v>687</v>
      </c>
      <c r="R51" s="18">
        <f t="shared" si="1"/>
        <v>523</v>
      </c>
      <c r="S51" s="18">
        <f t="shared" si="1"/>
        <v>509</v>
      </c>
      <c r="T51" s="18">
        <f t="shared" si="1"/>
        <v>455</v>
      </c>
      <c r="U51" s="18">
        <f t="shared" si="1"/>
        <v>487</v>
      </c>
      <c r="V51" s="18">
        <f t="shared" si="1"/>
        <v>0</v>
      </c>
      <c r="W51" s="18">
        <f t="shared" si="1"/>
        <v>0</v>
      </c>
      <c r="X51" s="18">
        <f t="shared" si="1"/>
        <v>659</v>
      </c>
      <c r="Y51" s="18">
        <f t="shared" si="1"/>
        <v>510</v>
      </c>
      <c r="Z51" s="18">
        <f t="shared" si="1"/>
        <v>502</v>
      </c>
      <c r="AA51" s="18">
        <f t="shared" si="1"/>
        <v>470</v>
      </c>
      <c r="AB51" s="18">
        <f t="shared" si="1"/>
        <v>480</v>
      </c>
      <c r="AC51" s="18">
        <f t="shared" si="1"/>
        <v>0</v>
      </c>
      <c r="AD51" s="18">
        <f t="shared" si="1"/>
        <v>0</v>
      </c>
      <c r="AE51" s="18">
        <f t="shared" si="1"/>
        <v>697</v>
      </c>
      <c r="AF51" s="18">
        <f t="shared" si="1"/>
        <v>577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D28F-89B9-4D73-BB71-F2203154B812}">
  <sheetPr>
    <tabColor rgb="FFFF6600"/>
  </sheetPr>
  <dimension ref="A1:AG54"/>
  <sheetViews>
    <sheetView zoomScale="75" zoomScaleNormal="75" workbookViewId="0">
      <selection activeCell="I28" sqref="I28"/>
    </sheetView>
  </sheetViews>
  <sheetFormatPr defaultColWidth="9.140625" defaultRowHeight="15" x14ac:dyDescent="0.25"/>
  <cols>
    <col min="1" max="1" width="9.7109375" style="3" bestFit="1" customWidth="1"/>
    <col min="2" max="2" width="13.85546875" style="3" bestFit="1" customWidth="1"/>
    <col min="3" max="10" width="7.7109375" style="3" bestFit="1" customWidth="1"/>
    <col min="11" max="32" width="8.85546875" style="3" bestFit="1" customWidth="1"/>
    <col min="33" max="33" width="6.42578125" style="3" bestFit="1" customWidth="1"/>
    <col min="34" max="16384" width="9.140625" style="3"/>
  </cols>
  <sheetData>
    <row r="1" spans="1:32" x14ac:dyDescent="0.25">
      <c r="A1" s="1" t="s">
        <v>57</v>
      </c>
      <c r="B1" s="2">
        <f>'C-FTE Mar'!B1</f>
        <v>46082</v>
      </c>
      <c r="C1" s="2">
        <f>'C-FTE Mar'!C1</f>
        <v>46083</v>
      </c>
      <c r="D1" s="2">
        <f>'C-FTE Mar'!D1</f>
        <v>46084</v>
      </c>
      <c r="E1" s="2">
        <f>'C-FTE Mar'!E1</f>
        <v>46085</v>
      </c>
      <c r="F1" s="2">
        <f>'C-FTE Mar'!F1</f>
        <v>46086</v>
      </c>
      <c r="G1" s="2">
        <f>'C-FTE Mar'!G1</f>
        <v>46087</v>
      </c>
      <c r="H1" s="2">
        <f>'C-FTE Mar'!H1</f>
        <v>46088</v>
      </c>
      <c r="I1" s="2">
        <f>'C-FTE Mar'!I1</f>
        <v>46089</v>
      </c>
      <c r="J1" s="2">
        <f>'C-FTE Mar'!J1</f>
        <v>46090</v>
      </c>
      <c r="K1" s="2">
        <f>'C-FTE Mar'!K1</f>
        <v>46091</v>
      </c>
      <c r="L1" s="2">
        <f>'C-FTE Mar'!L1</f>
        <v>46092</v>
      </c>
      <c r="M1" s="2">
        <f>'C-FTE Mar'!M1</f>
        <v>46093</v>
      </c>
      <c r="N1" s="2">
        <f>'C-FTE Mar'!N1</f>
        <v>46094</v>
      </c>
      <c r="O1" s="2">
        <f>'C-FTE Mar'!O1</f>
        <v>46095</v>
      </c>
      <c r="P1" s="2">
        <f>'C-FTE Mar'!P1</f>
        <v>46096</v>
      </c>
      <c r="Q1" s="2">
        <f>'C-FTE Mar'!Q1</f>
        <v>46097</v>
      </c>
      <c r="R1" s="2">
        <f>'C-FTE Mar'!R1</f>
        <v>46098</v>
      </c>
      <c r="S1" s="2">
        <f>'C-FTE Mar'!S1</f>
        <v>46099</v>
      </c>
      <c r="T1" s="2">
        <f>'C-FTE Mar'!T1</f>
        <v>46100</v>
      </c>
      <c r="U1" s="2">
        <f>'C-FTE Mar'!U1</f>
        <v>46101</v>
      </c>
      <c r="V1" s="2">
        <f>'C-FTE Mar'!V1</f>
        <v>46102</v>
      </c>
      <c r="W1" s="2">
        <f>'C-FTE Mar'!W1</f>
        <v>46103</v>
      </c>
      <c r="X1" s="2">
        <f>'C-FTE Mar'!X1</f>
        <v>46104</v>
      </c>
      <c r="Y1" s="2">
        <f>'C-FTE Mar'!Y1</f>
        <v>46105</v>
      </c>
      <c r="Z1" s="2">
        <f>'C-FTE Mar'!Z1</f>
        <v>46106</v>
      </c>
      <c r="AA1" s="2">
        <f>'C-FTE Mar'!AA1</f>
        <v>46107</v>
      </c>
      <c r="AB1" s="2">
        <f>'C-FTE Mar'!AB1</f>
        <v>46108</v>
      </c>
      <c r="AC1" s="2">
        <f>'C-FTE Mar'!AC1</f>
        <v>46109</v>
      </c>
      <c r="AD1" s="2">
        <f>'C-FTE Mar'!AD1</f>
        <v>46110</v>
      </c>
      <c r="AE1" s="2">
        <f>'C-FTE Mar'!AE1</f>
        <v>46111</v>
      </c>
      <c r="AF1" s="2">
        <f>'C-FTE Mar'!AF1</f>
        <v>46112</v>
      </c>
    </row>
    <row r="2" spans="1:32" x14ac:dyDescent="0.25">
      <c r="A2" s="4">
        <f>'B-FTE Mar'!A2</f>
        <v>0</v>
      </c>
      <c r="B2" s="5" t="str">
        <f>TEXT(B1,"ddd")</f>
        <v>Sun</v>
      </c>
      <c r="C2" s="5" t="str">
        <f t="shared" ref="C2:AF2" si="0">TEXT(C1,"ddd")</f>
        <v>Mon</v>
      </c>
      <c r="D2" s="5" t="str">
        <f t="shared" si="0"/>
        <v>Tue</v>
      </c>
      <c r="E2" s="5" t="str">
        <f t="shared" si="0"/>
        <v>Wed</v>
      </c>
      <c r="F2" s="5" t="str">
        <f t="shared" si="0"/>
        <v>Thu</v>
      </c>
      <c r="G2" s="5" t="str">
        <f t="shared" si="0"/>
        <v>Fri</v>
      </c>
      <c r="H2" s="5" t="str">
        <f t="shared" si="0"/>
        <v>Sat</v>
      </c>
      <c r="I2" s="5" t="str">
        <f t="shared" si="0"/>
        <v>Sun</v>
      </c>
      <c r="J2" s="5" t="str">
        <f t="shared" si="0"/>
        <v>Mon</v>
      </c>
      <c r="K2" s="5" t="str">
        <f t="shared" si="0"/>
        <v>Tue</v>
      </c>
      <c r="L2" s="5" t="str">
        <f t="shared" si="0"/>
        <v>Wed</v>
      </c>
      <c r="M2" s="5" t="str">
        <f t="shared" si="0"/>
        <v>Thu</v>
      </c>
      <c r="N2" s="5" t="str">
        <f t="shared" si="0"/>
        <v>Fri</v>
      </c>
      <c r="O2" s="5" t="str">
        <f t="shared" si="0"/>
        <v>Sat</v>
      </c>
      <c r="P2" s="5" t="str">
        <f t="shared" si="0"/>
        <v>Sun</v>
      </c>
      <c r="Q2" s="5" t="str">
        <f t="shared" si="0"/>
        <v>Mon</v>
      </c>
      <c r="R2" s="5" t="str">
        <f t="shared" si="0"/>
        <v>Tue</v>
      </c>
      <c r="S2" s="5" t="str">
        <f t="shared" si="0"/>
        <v>Wed</v>
      </c>
      <c r="T2" s="5" t="str">
        <f t="shared" si="0"/>
        <v>Thu</v>
      </c>
      <c r="U2" s="5" t="str">
        <f t="shared" si="0"/>
        <v>Fri</v>
      </c>
      <c r="V2" s="5" t="str">
        <f t="shared" si="0"/>
        <v>Sat</v>
      </c>
      <c r="W2" s="5" t="str">
        <f t="shared" si="0"/>
        <v>Sun</v>
      </c>
      <c r="X2" s="5" t="str">
        <f t="shared" si="0"/>
        <v>Mon</v>
      </c>
      <c r="Y2" s="5" t="str">
        <f t="shared" si="0"/>
        <v>Tue</v>
      </c>
      <c r="Z2" s="5" t="str">
        <f t="shared" si="0"/>
        <v>Wed</v>
      </c>
      <c r="AA2" s="5" t="str">
        <f t="shared" si="0"/>
        <v>Thu</v>
      </c>
      <c r="AB2" s="5" t="str">
        <f t="shared" si="0"/>
        <v>Fri</v>
      </c>
      <c r="AC2" s="5" t="str">
        <f t="shared" si="0"/>
        <v>Sat</v>
      </c>
      <c r="AD2" s="5" t="str">
        <f t="shared" si="0"/>
        <v>Sun</v>
      </c>
      <c r="AE2" s="5" t="str">
        <f t="shared" si="0"/>
        <v>Mon</v>
      </c>
      <c r="AF2" s="5" t="str">
        <f t="shared" si="0"/>
        <v>Tue</v>
      </c>
    </row>
    <row r="3" spans="1:32" x14ac:dyDescent="0.25">
      <c r="A3" s="3" t="s">
        <v>8</v>
      </c>
      <c r="B3" s="7">
        <f>'C-FTE Mar'!B3/2</f>
        <v>0</v>
      </c>
      <c r="C3" s="7">
        <f>'C-FTE Mar'!C3/2</f>
        <v>0</v>
      </c>
      <c r="D3" s="7">
        <f>'C-FTE Mar'!D3/2</f>
        <v>0</v>
      </c>
      <c r="E3" s="7">
        <f>'C-FTE Mar'!E3/2</f>
        <v>0</v>
      </c>
      <c r="F3" s="7">
        <f>'C-FTE Mar'!F3/2</f>
        <v>0</v>
      </c>
      <c r="G3" s="7">
        <f>'C-FTE Mar'!G3/2</f>
        <v>0</v>
      </c>
      <c r="H3" s="7">
        <f>'C-FTE Mar'!H3/2</f>
        <v>0</v>
      </c>
      <c r="I3" s="7">
        <f>'C-FTE Mar'!I3/2</f>
        <v>0</v>
      </c>
      <c r="J3" s="7">
        <f>'C-FTE Mar'!J3/2</f>
        <v>0</v>
      </c>
      <c r="K3" s="7">
        <f>'C-FTE Mar'!K3/2</f>
        <v>0</v>
      </c>
      <c r="L3" s="7">
        <f>'C-FTE Mar'!L3/2</f>
        <v>0</v>
      </c>
      <c r="M3" s="7">
        <f>'C-FTE Mar'!M3/2</f>
        <v>0</v>
      </c>
      <c r="N3" s="7">
        <f>'C-FTE Mar'!N3/2</f>
        <v>0</v>
      </c>
      <c r="O3" s="7">
        <f>'C-FTE Mar'!O3/2</f>
        <v>0</v>
      </c>
      <c r="P3" s="7">
        <f>'C-FTE Mar'!P3/2</f>
        <v>0</v>
      </c>
      <c r="Q3" s="7">
        <f>'C-FTE Mar'!Q3/2</f>
        <v>0</v>
      </c>
      <c r="R3" s="7">
        <f>'C-FTE Mar'!R3/2</f>
        <v>0</v>
      </c>
      <c r="S3" s="7">
        <f>'C-FTE Mar'!S3/2</f>
        <v>0</v>
      </c>
      <c r="T3" s="7">
        <f>'C-FTE Mar'!T3/2</f>
        <v>0</v>
      </c>
      <c r="U3" s="7">
        <f>'C-FTE Mar'!U3/2</f>
        <v>0</v>
      </c>
      <c r="V3" s="7">
        <f>'C-FTE Mar'!V3/2</f>
        <v>0</v>
      </c>
      <c r="W3" s="7">
        <f>'C-FTE Mar'!W3/2</f>
        <v>0</v>
      </c>
      <c r="X3" s="7">
        <f>'C-FTE Mar'!X3/2</f>
        <v>0</v>
      </c>
      <c r="Y3" s="7">
        <f>'C-FTE Mar'!Y3/2</f>
        <v>0</v>
      </c>
      <c r="Z3" s="7">
        <f>'C-FTE Mar'!Z3/2</f>
        <v>0</v>
      </c>
      <c r="AA3" s="7">
        <f>'C-FTE Mar'!AA3/2</f>
        <v>0</v>
      </c>
      <c r="AB3" s="7">
        <f>'C-FTE Mar'!AB3/2</f>
        <v>0</v>
      </c>
      <c r="AC3" s="7">
        <f>'C-FTE Mar'!AC3/2</f>
        <v>0</v>
      </c>
      <c r="AD3" s="7">
        <f>'C-FTE Mar'!AD3/2</f>
        <v>0</v>
      </c>
      <c r="AE3" s="7">
        <f>'C-FTE Mar'!AE3/2</f>
        <v>0</v>
      </c>
      <c r="AF3" s="7">
        <f>'C-FTE Mar'!AF3/2</f>
        <v>0</v>
      </c>
    </row>
    <row r="4" spans="1:32" x14ac:dyDescent="0.25">
      <c r="A4" s="3" t="s">
        <v>9</v>
      </c>
      <c r="B4" s="7">
        <f>'C-FTE Mar'!B4/2</f>
        <v>0</v>
      </c>
      <c r="C4" s="7">
        <f>'C-FTE Mar'!C4/2</f>
        <v>0</v>
      </c>
      <c r="D4" s="7">
        <f>'C-FTE Mar'!D4/2</f>
        <v>0</v>
      </c>
      <c r="E4" s="7">
        <f>'C-FTE Mar'!E4/2</f>
        <v>0</v>
      </c>
      <c r="F4" s="7">
        <f>'C-FTE Mar'!F4/2</f>
        <v>0</v>
      </c>
      <c r="G4" s="7">
        <f>'C-FTE Mar'!G4/2</f>
        <v>0</v>
      </c>
      <c r="H4" s="7">
        <f>'C-FTE Mar'!H4/2</f>
        <v>0</v>
      </c>
      <c r="I4" s="7">
        <f>'C-FTE Mar'!I4/2</f>
        <v>0</v>
      </c>
      <c r="J4" s="7">
        <f>'C-FTE Mar'!J4/2</f>
        <v>0</v>
      </c>
      <c r="K4" s="7">
        <f>'C-FTE Mar'!K4/2</f>
        <v>0</v>
      </c>
      <c r="L4" s="7">
        <f>'C-FTE Mar'!L4/2</f>
        <v>0</v>
      </c>
      <c r="M4" s="7">
        <f>'C-FTE Mar'!M4/2</f>
        <v>0</v>
      </c>
      <c r="N4" s="7">
        <f>'C-FTE Mar'!N4/2</f>
        <v>0</v>
      </c>
      <c r="O4" s="7">
        <f>'C-FTE Mar'!O4/2</f>
        <v>0</v>
      </c>
      <c r="P4" s="7">
        <f>'C-FTE Mar'!P4/2</f>
        <v>0</v>
      </c>
      <c r="Q4" s="7">
        <f>'C-FTE Mar'!Q4/2</f>
        <v>0</v>
      </c>
      <c r="R4" s="7">
        <f>'C-FTE Mar'!R4/2</f>
        <v>0</v>
      </c>
      <c r="S4" s="7">
        <f>'C-FTE Mar'!S4/2</f>
        <v>0</v>
      </c>
      <c r="T4" s="7">
        <f>'C-FTE Mar'!T4/2</f>
        <v>0</v>
      </c>
      <c r="U4" s="7">
        <f>'C-FTE Mar'!U4/2</f>
        <v>0</v>
      </c>
      <c r="V4" s="7">
        <f>'C-FTE Mar'!V4/2</f>
        <v>0</v>
      </c>
      <c r="W4" s="7">
        <f>'C-FTE Mar'!W4/2</f>
        <v>0</v>
      </c>
      <c r="X4" s="7">
        <f>'C-FTE Mar'!X4/2</f>
        <v>0</v>
      </c>
      <c r="Y4" s="7">
        <f>'C-FTE Mar'!Y4/2</f>
        <v>0</v>
      </c>
      <c r="Z4" s="7">
        <f>'C-FTE Mar'!Z4/2</f>
        <v>0</v>
      </c>
      <c r="AA4" s="7">
        <f>'C-FTE Mar'!AA4/2</f>
        <v>0</v>
      </c>
      <c r="AB4" s="7">
        <f>'C-FTE Mar'!AB4/2</f>
        <v>0</v>
      </c>
      <c r="AC4" s="7">
        <f>'C-FTE Mar'!AC4/2</f>
        <v>0</v>
      </c>
      <c r="AD4" s="7">
        <f>'C-FTE Mar'!AD4/2</f>
        <v>0</v>
      </c>
      <c r="AE4" s="7">
        <f>'C-FTE Mar'!AE4/2</f>
        <v>0</v>
      </c>
      <c r="AF4" s="7">
        <f>'C-FTE Mar'!AF4/2</f>
        <v>0</v>
      </c>
    </row>
    <row r="5" spans="1:32" x14ac:dyDescent="0.25">
      <c r="A5" s="3" t="s">
        <v>10</v>
      </c>
      <c r="B5" s="7">
        <f>'C-FTE Mar'!B5/2</f>
        <v>0</v>
      </c>
      <c r="C5" s="7">
        <f>'C-FTE Mar'!C5/2</f>
        <v>0</v>
      </c>
      <c r="D5" s="7">
        <f>'C-FTE Mar'!D5/2</f>
        <v>0</v>
      </c>
      <c r="E5" s="7">
        <f>'C-FTE Mar'!E5/2</f>
        <v>0</v>
      </c>
      <c r="F5" s="7">
        <f>'C-FTE Mar'!F5/2</f>
        <v>0</v>
      </c>
      <c r="G5" s="7">
        <f>'C-FTE Mar'!G5/2</f>
        <v>0</v>
      </c>
      <c r="H5" s="7">
        <f>'C-FTE Mar'!H5/2</f>
        <v>0</v>
      </c>
      <c r="I5" s="7">
        <f>'C-FTE Mar'!I5/2</f>
        <v>0</v>
      </c>
      <c r="J5" s="7">
        <f>'C-FTE Mar'!J5/2</f>
        <v>0</v>
      </c>
      <c r="K5" s="7">
        <f>'C-FTE Mar'!K5/2</f>
        <v>0</v>
      </c>
      <c r="L5" s="7">
        <f>'C-FTE Mar'!L5/2</f>
        <v>0</v>
      </c>
      <c r="M5" s="7">
        <f>'C-FTE Mar'!M5/2</f>
        <v>0</v>
      </c>
      <c r="N5" s="7">
        <f>'C-FTE Mar'!N5/2</f>
        <v>0</v>
      </c>
      <c r="O5" s="7">
        <f>'C-FTE Mar'!O5/2</f>
        <v>0</v>
      </c>
      <c r="P5" s="7">
        <f>'C-FTE Mar'!P5/2</f>
        <v>0</v>
      </c>
      <c r="Q5" s="7">
        <f>'C-FTE Mar'!Q5/2</f>
        <v>0</v>
      </c>
      <c r="R5" s="7">
        <f>'C-FTE Mar'!R5/2</f>
        <v>0</v>
      </c>
      <c r="S5" s="7">
        <f>'C-FTE Mar'!S5/2</f>
        <v>0</v>
      </c>
      <c r="T5" s="7">
        <f>'C-FTE Mar'!T5/2</f>
        <v>0</v>
      </c>
      <c r="U5" s="7">
        <f>'C-FTE Mar'!U5/2</f>
        <v>0</v>
      </c>
      <c r="V5" s="7">
        <f>'C-FTE Mar'!V5/2</f>
        <v>0</v>
      </c>
      <c r="W5" s="7">
        <f>'C-FTE Mar'!W5/2</f>
        <v>0</v>
      </c>
      <c r="X5" s="7">
        <f>'C-FTE Mar'!X5/2</f>
        <v>0</v>
      </c>
      <c r="Y5" s="7">
        <f>'C-FTE Mar'!Y5/2</f>
        <v>0</v>
      </c>
      <c r="Z5" s="7">
        <f>'C-FTE Mar'!Z5/2</f>
        <v>0</v>
      </c>
      <c r="AA5" s="7">
        <f>'C-FTE Mar'!AA5/2</f>
        <v>0</v>
      </c>
      <c r="AB5" s="7">
        <f>'C-FTE Mar'!AB5/2</f>
        <v>0</v>
      </c>
      <c r="AC5" s="7">
        <f>'C-FTE Mar'!AC5/2</f>
        <v>0</v>
      </c>
      <c r="AD5" s="7">
        <f>'C-FTE Mar'!AD5/2</f>
        <v>0</v>
      </c>
      <c r="AE5" s="7">
        <f>'C-FTE Mar'!AE5/2</f>
        <v>0</v>
      </c>
      <c r="AF5" s="7">
        <f>'C-FTE Mar'!AF5/2</f>
        <v>0</v>
      </c>
    </row>
    <row r="6" spans="1:32" x14ac:dyDescent="0.25">
      <c r="A6" s="3" t="s">
        <v>11</v>
      </c>
      <c r="B6" s="7">
        <f>'C-FTE Mar'!B6/2</f>
        <v>0</v>
      </c>
      <c r="C6" s="7">
        <f>'C-FTE Mar'!C6/2</f>
        <v>0</v>
      </c>
      <c r="D6" s="7">
        <f>'C-FTE Mar'!D6/2</f>
        <v>0</v>
      </c>
      <c r="E6" s="7">
        <f>'C-FTE Mar'!E6/2</f>
        <v>0</v>
      </c>
      <c r="F6" s="7">
        <f>'C-FTE Mar'!F6/2</f>
        <v>0</v>
      </c>
      <c r="G6" s="7">
        <f>'C-FTE Mar'!G6/2</f>
        <v>0</v>
      </c>
      <c r="H6" s="7">
        <f>'C-FTE Mar'!H6/2</f>
        <v>0</v>
      </c>
      <c r="I6" s="7">
        <f>'C-FTE Mar'!I6/2</f>
        <v>0</v>
      </c>
      <c r="J6" s="7">
        <f>'C-FTE Mar'!J6/2</f>
        <v>0</v>
      </c>
      <c r="K6" s="7">
        <f>'C-FTE Mar'!K6/2</f>
        <v>0</v>
      </c>
      <c r="L6" s="7">
        <f>'C-FTE Mar'!L6/2</f>
        <v>0</v>
      </c>
      <c r="M6" s="7">
        <f>'C-FTE Mar'!M6/2</f>
        <v>0</v>
      </c>
      <c r="N6" s="7">
        <f>'C-FTE Mar'!N6/2</f>
        <v>0</v>
      </c>
      <c r="O6" s="7">
        <f>'C-FTE Mar'!O6/2</f>
        <v>0</v>
      </c>
      <c r="P6" s="7">
        <f>'C-FTE Mar'!P6/2</f>
        <v>0</v>
      </c>
      <c r="Q6" s="7">
        <f>'C-FTE Mar'!Q6/2</f>
        <v>0</v>
      </c>
      <c r="R6" s="7">
        <f>'C-FTE Mar'!R6/2</f>
        <v>0</v>
      </c>
      <c r="S6" s="7">
        <f>'C-FTE Mar'!S6/2</f>
        <v>0</v>
      </c>
      <c r="T6" s="7">
        <f>'C-FTE Mar'!T6/2</f>
        <v>0</v>
      </c>
      <c r="U6" s="7">
        <f>'C-FTE Mar'!U6/2</f>
        <v>0</v>
      </c>
      <c r="V6" s="7">
        <f>'C-FTE Mar'!V6/2</f>
        <v>0</v>
      </c>
      <c r="W6" s="7">
        <f>'C-FTE Mar'!W6/2</f>
        <v>0</v>
      </c>
      <c r="X6" s="7">
        <f>'C-FTE Mar'!X6/2</f>
        <v>0</v>
      </c>
      <c r="Y6" s="7">
        <f>'C-FTE Mar'!Y6/2</f>
        <v>0</v>
      </c>
      <c r="Z6" s="7">
        <f>'C-FTE Mar'!Z6/2</f>
        <v>0</v>
      </c>
      <c r="AA6" s="7">
        <f>'C-FTE Mar'!AA6/2</f>
        <v>0</v>
      </c>
      <c r="AB6" s="7">
        <f>'C-FTE Mar'!AB6/2</f>
        <v>0</v>
      </c>
      <c r="AC6" s="7">
        <f>'C-FTE Mar'!AC6/2</f>
        <v>0</v>
      </c>
      <c r="AD6" s="7">
        <f>'C-FTE Mar'!AD6/2</f>
        <v>0</v>
      </c>
      <c r="AE6" s="7">
        <f>'C-FTE Mar'!AE6/2</f>
        <v>0</v>
      </c>
      <c r="AF6" s="7">
        <f>'C-FTE Mar'!AF6/2</f>
        <v>0</v>
      </c>
    </row>
    <row r="7" spans="1:32" x14ac:dyDescent="0.25">
      <c r="A7" s="3" t="s">
        <v>12</v>
      </c>
      <c r="B7" s="7">
        <f>'C-FTE Mar'!B7/2</f>
        <v>0</v>
      </c>
      <c r="C7" s="7">
        <f>'C-FTE Mar'!C7/2</f>
        <v>0</v>
      </c>
      <c r="D7" s="7">
        <f>'C-FTE Mar'!D7/2</f>
        <v>0</v>
      </c>
      <c r="E7" s="7">
        <f>'C-FTE Mar'!E7/2</f>
        <v>0</v>
      </c>
      <c r="F7" s="7">
        <f>'C-FTE Mar'!F7/2</f>
        <v>0</v>
      </c>
      <c r="G7" s="7">
        <f>'C-FTE Mar'!G7/2</f>
        <v>0</v>
      </c>
      <c r="H7" s="7">
        <f>'C-FTE Mar'!H7/2</f>
        <v>0</v>
      </c>
      <c r="I7" s="7">
        <f>'C-FTE Mar'!I7/2</f>
        <v>0</v>
      </c>
      <c r="J7" s="7">
        <f>'C-FTE Mar'!J7/2</f>
        <v>0</v>
      </c>
      <c r="K7" s="7">
        <f>'C-FTE Mar'!K7/2</f>
        <v>0</v>
      </c>
      <c r="L7" s="7">
        <f>'C-FTE Mar'!L7/2</f>
        <v>0</v>
      </c>
      <c r="M7" s="7">
        <f>'C-FTE Mar'!M7/2</f>
        <v>0</v>
      </c>
      <c r="N7" s="7">
        <f>'C-FTE Mar'!N7/2</f>
        <v>0</v>
      </c>
      <c r="O7" s="7">
        <f>'C-FTE Mar'!O7/2</f>
        <v>0</v>
      </c>
      <c r="P7" s="7">
        <f>'C-FTE Mar'!P7/2</f>
        <v>0</v>
      </c>
      <c r="Q7" s="7">
        <f>'C-FTE Mar'!Q7/2</f>
        <v>0</v>
      </c>
      <c r="R7" s="7">
        <f>'C-FTE Mar'!R7/2</f>
        <v>0</v>
      </c>
      <c r="S7" s="7">
        <f>'C-FTE Mar'!S7/2</f>
        <v>0</v>
      </c>
      <c r="T7" s="7">
        <f>'C-FTE Mar'!T7/2</f>
        <v>0</v>
      </c>
      <c r="U7" s="7">
        <f>'C-FTE Mar'!U7/2</f>
        <v>0</v>
      </c>
      <c r="V7" s="7">
        <f>'C-FTE Mar'!V7/2</f>
        <v>0</v>
      </c>
      <c r="W7" s="7">
        <f>'C-FTE Mar'!W7/2</f>
        <v>0</v>
      </c>
      <c r="X7" s="7">
        <f>'C-FTE Mar'!X7/2</f>
        <v>0</v>
      </c>
      <c r="Y7" s="7">
        <f>'C-FTE Mar'!Y7/2</f>
        <v>0</v>
      </c>
      <c r="Z7" s="7">
        <f>'C-FTE Mar'!Z7/2</f>
        <v>0</v>
      </c>
      <c r="AA7" s="7">
        <f>'C-FTE Mar'!AA7/2</f>
        <v>0</v>
      </c>
      <c r="AB7" s="7">
        <f>'C-FTE Mar'!AB7/2</f>
        <v>0</v>
      </c>
      <c r="AC7" s="7">
        <f>'C-FTE Mar'!AC7/2</f>
        <v>0</v>
      </c>
      <c r="AD7" s="7">
        <f>'C-FTE Mar'!AD7/2</f>
        <v>0</v>
      </c>
      <c r="AE7" s="7">
        <f>'C-FTE Mar'!AE7/2</f>
        <v>0</v>
      </c>
      <c r="AF7" s="7">
        <f>'C-FTE Mar'!AF7/2</f>
        <v>0</v>
      </c>
    </row>
    <row r="8" spans="1:32" x14ac:dyDescent="0.25">
      <c r="A8" s="3" t="s">
        <v>13</v>
      </c>
      <c r="B8" s="7">
        <f>'C-FTE Mar'!B8/2</f>
        <v>0</v>
      </c>
      <c r="C8" s="7">
        <f>'C-FTE Mar'!C8/2</f>
        <v>0</v>
      </c>
      <c r="D8" s="7">
        <f>'C-FTE Mar'!D8/2</f>
        <v>0</v>
      </c>
      <c r="E8" s="7">
        <f>'C-FTE Mar'!E8/2</f>
        <v>0</v>
      </c>
      <c r="F8" s="7">
        <f>'C-FTE Mar'!F8/2</f>
        <v>0</v>
      </c>
      <c r="G8" s="7">
        <f>'C-FTE Mar'!G8/2</f>
        <v>0</v>
      </c>
      <c r="H8" s="7">
        <f>'C-FTE Mar'!H8/2</f>
        <v>0</v>
      </c>
      <c r="I8" s="7">
        <f>'C-FTE Mar'!I8/2</f>
        <v>0</v>
      </c>
      <c r="J8" s="7">
        <f>'C-FTE Mar'!J8/2</f>
        <v>0</v>
      </c>
      <c r="K8" s="7">
        <f>'C-FTE Mar'!K8/2</f>
        <v>0</v>
      </c>
      <c r="L8" s="7">
        <f>'C-FTE Mar'!L8/2</f>
        <v>0</v>
      </c>
      <c r="M8" s="7">
        <f>'C-FTE Mar'!M8/2</f>
        <v>0</v>
      </c>
      <c r="N8" s="7">
        <f>'C-FTE Mar'!N8/2</f>
        <v>0</v>
      </c>
      <c r="O8" s="7">
        <f>'C-FTE Mar'!O8/2</f>
        <v>0</v>
      </c>
      <c r="P8" s="7">
        <f>'C-FTE Mar'!P8/2</f>
        <v>0</v>
      </c>
      <c r="Q8" s="7">
        <f>'C-FTE Mar'!Q8/2</f>
        <v>0</v>
      </c>
      <c r="R8" s="7">
        <f>'C-FTE Mar'!R8/2</f>
        <v>0</v>
      </c>
      <c r="S8" s="7">
        <f>'C-FTE Mar'!S8/2</f>
        <v>0</v>
      </c>
      <c r="T8" s="7">
        <f>'C-FTE Mar'!T8/2</f>
        <v>0</v>
      </c>
      <c r="U8" s="7">
        <f>'C-FTE Mar'!U8/2</f>
        <v>0</v>
      </c>
      <c r="V8" s="7">
        <f>'C-FTE Mar'!V8/2</f>
        <v>0</v>
      </c>
      <c r="W8" s="7">
        <f>'C-FTE Mar'!W8/2</f>
        <v>0</v>
      </c>
      <c r="X8" s="7">
        <f>'C-FTE Mar'!X8/2</f>
        <v>0</v>
      </c>
      <c r="Y8" s="7">
        <f>'C-FTE Mar'!Y8/2</f>
        <v>0</v>
      </c>
      <c r="Z8" s="7">
        <f>'C-FTE Mar'!Z8/2</f>
        <v>0</v>
      </c>
      <c r="AA8" s="7">
        <f>'C-FTE Mar'!AA8/2</f>
        <v>0</v>
      </c>
      <c r="AB8" s="7">
        <f>'C-FTE Mar'!AB8/2</f>
        <v>0</v>
      </c>
      <c r="AC8" s="7">
        <f>'C-FTE Mar'!AC8/2</f>
        <v>0</v>
      </c>
      <c r="AD8" s="7">
        <f>'C-FTE Mar'!AD8/2</f>
        <v>0</v>
      </c>
      <c r="AE8" s="7">
        <f>'C-FTE Mar'!AE8/2</f>
        <v>0</v>
      </c>
      <c r="AF8" s="7">
        <f>'C-FTE Mar'!AF8/2</f>
        <v>0</v>
      </c>
    </row>
    <row r="9" spans="1:32" x14ac:dyDescent="0.25">
      <c r="A9" s="3" t="s">
        <v>14</v>
      </c>
      <c r="B9" s="7">
        <f>'C-FTE Mar'!B9/2</f>
        <v>0</v>
      </c>
      <c r="C9" s="7">
        <f>'C-FTE Mar'!C9/2</f>
        <v>0</v>
      </c>
      <c r="D9" s="7">
        <f>'C-FTE Mar'!D9/2</f>
        <v>0</v>
      </c>
      <c r="E9" s="7">
        <f>'C-FTE Mar'!E9/2</f>
        <v>0</v>
      </c>
      <c r="F9" s="7">
        <f>'C-FTE Mar'!F9/2</f>
        <v>0</v>
      </c>
      <c r="G9" s="7">
        <f>'C-FTE Mar'!G9/2</f>
        <v>0</v>
      </c>
      <c r="H9" s="7">
        <f>'C-FTE Mar'!H9/2</f>
        <v>0</v>
      </c>
      <c r="I9" s="7">
        <f>'C-FTE Mar'!I9/2</f>
        <v>0</v>
      </c>
      <c r="J9" s="7">
        <f>'C-FTE Mar'!J9/2</f>
        <v>0</v>
      </c>
      <c r="K9" s="7">
        <f>'C-FTE Mar'!K9/2</f>
        <v>0</v>
      </c>
      <c r="L9" s="7">
        <f>'C-FTE Mar'!L9/2</f>
        <v>0</v>
      </c>
      <c r="M9" s="7">
        <f>'C-FTE Mar'!M9/2</f>
        <v>0</v>
      </c>
      <c r="N9" s="7">
        <f>'C-FTE Mar'!N9/2</f>
        <v>0</v>
      </c>
      <c r="O9" s="7">
        <f>'C-FTE Mar'!O9/2</f>
        <v>0</v>
      </c>
      <c r="P9" s="7">
        <f>'C-FTE Mar'!P9/2</f>
        <v>0</v>
      </c>
      <c r="Q9" s="7">
        <f>'C-FTE Mar'!Q9/2</f>
        <v>0</v>
      </c>
      <c r="R9" s="7">
        <f>'C-FTE Mar'!R9/2</f>
        <v>0</v>
      </c>
      <c r="S9" s="7">
        <f>'C-FTE Mar'!S9/2</f>
        <v>0</v>
      </c>
      <c r="T9" s="7">
        <f>'C-FTE Mar'!T9/2</f>
        <v>0</v>
      </c>
      <c r="U9" s="7">
        <f>'C-FTE Mar'!U9/2</f>
        <v>0</v>
      </c>
      <c r="V9" s="7">
        <f>'C-FTE Mar'!V9/2</f>
        <v>0</v>
      </c>
      <c r="W9" s="7">
        <f>'C-FTE Mar'!W9/2</f>
        <v>0</v>
      </c>
      <c r="X9" s="7">
        <f>'C-FTE Mar'!X9/2</f>
        <v>0</v>
      </c>
      <c r="Y9" s="7">
        <f>'C-FTE Mar'!Y9/2</f>
        <v>0</v>
      </c>
      <c r="Z9" s="7">
        <f>'C-FTE Mar'!Z9/2</f>
        <v>0</v>
      </c>
      <c r="AA9" s="7">
        <f>'C-FTE Mar'!AA9/2</f>
        <v>0</v>
      </c>
      <c r="AB9" s="7">
        <f>'C-FTE Mar'!AB9/2</f>
        <v>0</v>
      </c>
      <c r="AC9" s="7">
        <f>'C-FTE Mar'!AC9/2</f>
        <v>0</v>
      </c>
      <c r="AD9" s="7">
        <f>'C-FTE Mar'!AD9/2</f>
        <v>0</v>
      </c>
      <c r="AE9" s="7">
        <f>'C-FTE Mar'!AE9/2</f>
        <v>0</v>
      </c>
      <c r="AF9" s="7">
        <f>'C-FTE Mar'!AF9/2</f>
        <v>0</v>
      </c>
    </row>
    <row r="10" spans="1:32" x14ac:dyDescent="0.25">
      <c r="A10" s="3" t="s">
        <v>15</v>
      </c>
      <c r="B10" s="7">
        <f>'C-FTE Mar'!B10/2</f>
        <v>0</v>
      </c>
      <c r="C10" s="7">
        <f>'C-FTE Mar'!C10/2</f>
        <v>0</v>
      </c>
      <c r="D10" s="7">
        <f>'C-FTE Mar'!D10/2</f>
        <v>0</v>
      </c>
      <c r="E10" s="7">
        <f>'C-FTE Mar'!E10/2</f>
        <v>0</v>
      </c>
      <c r="F10" s="7">
        <f>'C-FTE Mar'!F10/2</f>
        <v>0</v>
      </c>
      <c r="G10" s="7">
        <f>'C-FTE Mar'!G10/2</f>
        <v>0</v>
      </c>
      <c r="H10" s="7">
        <f>'C-FTE Mar'!H10/2</f>
        <v>0</v>
      </c>
      <c r="I10" s="7">
        <f>'C-FTE Mar'!I10/2</f>
        <v>0</v>
      </c>
      <c r="J10" s="7">
        <f>'C-FTE Mar'!J10/2</f>
        <v>0</v>
      </c>
      <c r="K10" s="7">
        <f>'C-FTE Mar'!K10/2</f>
        <v>0</v>
      </c>
      <c r="L10" s="7">
        <f>'C-FTE Mar'!L10/2</f>
        <v>0</v>
      </c>
      <c r="M10" s="7">
        <f>'C-FTE Mar'!M10/2</f>
        <v>0</v>
      </c>
      <c r="N10" s="7">
        <f>'C-FTE Mar'!N10/2</f>
        <v>0</v>
      </c>
      <c r="O10" s="7">
        <f>'C-FTE Mar'!O10/2</f>
        <v>0</v>
      </c>
      <c r="P10" s="7">
        <f>'C-FTE Mar'!P10/2</f>
        <v>0</v>
      </c>
      <c r="Q10" s="7">
        <f>'C-FTE Mar'!Q10/2</f>
        <v>0</v>
      </c>
      <c r="R10" s="7">
        <f>'C-FTE Mar'!R10/2</f>
        <v>0</v>
      </c>
      <c r="S10" s="7">
        <f>'C-FTE Mar'!S10/2</f>
        <v>0</v>
      </c>
      <c r="T10" s="7">
        <f>'C-FTE Mar'!T10/2</f>
        <v>0</v>
      </c>
      <c r="U10" s="7">
        <f>'C-FTE Mar'!U10/2</f>
        <v>0</v>
      </c>
      <c r="V10" s="7">
        <f>'C-FTE Mar'!V10/2</f>
        <v>0</v>
      </c>
      <c r="W10" s="7">
        <f>'C-FTE Mar'!W10/2</f>
        <v>0</v>
      </c>
      <c r="X10" s="7">
        <f>'C-FTE Mar'!X10/2</f>
        <v>0</v>
      </c>
      <c r="Y10" s="7">
        <f>'C-FTE Mar'!Y10/2</f>
        <v>0</v>
      </c>
      <c r="Z10" s="7">
        <f>'C-FTE Mar'!Z10/2</f>
        <v>0</v>
      </c>
      <c r="AA10" s="7">
        <f>'C-FTE Mar'!AA10/2</f>
        <v>0</v>
      </c>
      <c r="AB10" s="7">
        <f>'C-FTE Mar'!AB10/2</f>
        <v>0</v>
      </c>
      <c r="AC10" s="7">
        <f>'C-FTE Mar'!AC10/2</f>
        <v>0</v>
      </c>
      <c r="AD10" s="7">
        <f>'C-FTE Mar'!AD10/2</f>
        <v>0</v>
      </c>
      <c r="AE10" s="7">
        <f>'C-FTE Mar'!AE10/2</f>
        <v>0</v>
      </c>
      <c r="AF10" s="7">
        <f>'C-FTE Mar'!AF10/2</f>
        <v>0</v>
      </c>
    </row>
    <row r="11" spans="1:32" x14ac:dyDescent="0.25">
      <c r="A11" s="3" t="s">
        <v>16</v>
      </c>
      <c r="B11" s="7">
        <f>'C-FTE Mar'!B11/2</f>
        <v>0</v>
      </c>
      <c r="C11" s="7">
        <f>'C-FTE Mar'!C11/2</f>
        <v>0</v>
      </c>
      <c r="D11" s="7">
        <f>'C-FTE Mar'!D11/2</f>
        <v>0</v>
      </c>
      <c r="E11" s="7">
        <f>'C-FTE Mar'!E11/2</f>
        <v>0</v>
      </c>
      <c r="F11" s="7">
        <f>'C-FTE Mar'!F11/2</f>
        <v>0</v>
      </c>
      <c r="G11" s="7">
        <f>'C-FTE Mar'!G11/2</f>
        <v>0</v>
      </c>
      <c r="H11" s="7">
        <f>'C-FTE Mar'!H11/2</f>
        <v>0</v>
      </c>
      <c r="I11" s="7">
        <f>'C-FTE Mar'!I11/2</f>
        <v>0</v>
      </c>
      <c r="J11" s="7">
        <f>'C-FTE Mar'!J11/2</f>
        <v>0</v>
      </c>
      <c r="K11" s="7">
        <f>'C-FTE Mar'!K11/2</f>
        <v>0</v>
      </c>
      <c r="L11" s="7">
        <f>'C-FTE Mar'!L11/2</f>
        <v>0</v>
      </c>
      <c r="M11" s="7">
        <f>'C-FTE Mar'!M11/2</f>
        <v>0</v>
      </c>
      <c r="N11" s="7">
        <f>'C-FTE Mar'!N11/2</f>
        <v>0</v>
      </c>
      <c r="O11" s="7">
        <f>'C-FTE Mar'!O11/2</f>
        <v>0</v>
      </c>
      <c r="P11" s="7">
        <f>'C-FTE Mar'!P11/2</f>
        <v>0</v>
      </c>
      <c r="Q11" s="7">
        <f>'C-FTE Mar'!Q11/2</f>
        <v>0</v>
      </c>
      <c r="R11" s="7">
        <f>'C-FTE Mar'!R11/2</f>
        <v>0</v>
      </c>
      <c r="S11" s="7">
        <f>'C-FTE Mar'!S11/2</f>
        <v>0</v>
      </c>
      <c r="T11" s="7">
        <f>'C-FTE Mar'!T11/2</f>
        <v>0</v>
      </c>
      <c r="U11" s="7">
        <f>'C-FTE Mar'!U11/2</f>
        <v>0</v>
      </c>
      <c r="V11" s="7">
        <f>'C-FTE Mar'!V11/2</f>
        <v>0</v>
      </c>
      <c r="W11" s="7">
        <f>'C-FTE Mar'!W11/2</f>
        <v>0</v>
      </c>
      <c r="X11" s="7">
        <f>'C-FTE Mar'!X11/2</f>
        <v>0</v>
      </c>
      <c r="Y11" s="7">
        <f>'C-FTE Mar'!Y11/2</f>
        <v>0</v>
      </c>
      <c r="Z11" s="7">
        <f>'C-FTE Mar'!Z11/2</f>
        <v>0</v>
      </c>
      <c r="AA11" s="7">
        <f>'C-FTE Mar'!AA11/2</f>
        <v>0</v>
      </c>
      <c r="AB11" s="7">
        <f>'C-FTE Mar'!AB11/2</f>
        <v>0</v>
      </c>
      <c r="AC11" s="7">
        <f>'C-FTE Mar'!AC11/2</f>
        <v>0</v>
      </c>
      <c r="AD11" s="7">
        <f>'C-FTE Mar'!AD11/2</f>
        <v>0</v>
      </c>
      <c r="AE11" s="7">
        <f>'C-FTE Mar'!AE11/2</f>
        <v>0</v>
      </c>
      <c r="AF11" s="7">
        <f>'C-FTE Mar'!AF11/2</f>
        <v>0</v>
      </c>
    </row>
    <row r="12" spans="1:32" x14ac:dyDescent="0.25">
      <c r="A12" s="3" t="s">
        <v>17</v>
      </c>
      <c r="B12" s="7">
        <f>'C-FTE Mar'!B12/2</f>
        <v>0</v>
      </c>
      <c r="C12" s="7">
        <f>'C-FTE Mar'!C12/2</f>
        <v>0</v>
      </c>
      <c r="D12" s="7">
        <f>'C-FTE Mar'!D12/2</f>
        <v>0</v>
      </c>
      <c r="E12" s="7">
        <f>'C-FTE Mar'!E12/2</f>
        <v>0</v>
      </c>
      <c r="F12" s="7">
        <f>'C-FTE Mar'!F12/2</f>
        <v>0</v>
      </c>
      <c r="G12" s="7">
        <f>'C-FTE Mar'!G12/2</f>
        <v>0</v>
      </c>
      <c r="H12" s="7">
        <f>'C-FTE Mar'!H12/2</f>
        <v>0</v>
      </c>
      <c r="I12" s="7">
        <f>'C-FTE Mar'!I12/2</f>
        <v>0</v>
      </c>
      <c r="J12" s="7">
        <f>'C-FTE Mar'!J12/2</f>
        <v>0</v>
      </c>
      <c r="K12" s="7">
        <f>'C-FTE Mar'!K12/2</f>
        <v>0</v>
      </c>
      <c r="L12" s="7">
        <f>'C-FTE Mar'!L12/2</f>
        <v>0</v>
      </c>
      <c r="M12" s="7">
        <f>'C-FTE Mar'!M12/2</f>
        <v>0</v>
      </c>
      <c r="N12" s="7">
        <f>'C-FTE Mar'!N12/2</f>
        <v>0</v>
      </c>
      <c r="O12" s="7">
        <f>'C-FTE Mar'!O12/2</f>
        <v>0</v>
      </c>
      <c r="P12" s="7">
        <f>'C-FTE Mar'!P12/2</f>
        <v>0</v>
      </c>
      <c r="Q12" s="7">
        <f>'C-FTE Mar'!Q12/2</f>
        <v>0</v>
      </c>
      <c r="R12" s="7">
        <f>'C-FTE Mar'!R12/2</f>
        <v>0</v>
      </c>
      <c r="S12" s="7">
        <f>'C-FTE Mar'!S12/2</f>
        <v>0</v>
      </c>
      <c r="T12" s="7">
        <f>'C-FTE Mar'!T12/2</f>
        <v>0</v>
      </c>
      <c r="U12" s="7">
        <f>'C-FTE Mar'!U12/2</f>
        <v>0</v>
      </c>
      <c r="V12" s="7">
        <f>'C-FTE Mar'!V12/2</f>
        <v>0</v>
      </c>
      <c r="W12" s="7">
        <f>'C-FTE Mar'!W12/2</f>
        <v>0</v>
      </c>
      <c r="X12" s="7">
        <f>'C-FTE Mar'!X12/2</f>
        <v>0</v>
      </c>
      <c r="Y12" s="7">
        <f>'C-FTE Mar'!Y12/2</f>
        <v>0</v>
      </c>
      <c r="Z12" s="7">
        <f>'C-FTE Mar'!Z12/2</f>
        <v>0</v>
      </c>
      <c r="AA12" s="7">
        <f>'C-FTE Mar'!AA12/2</f>
        <v>0</v>
      </c>
      <c r="AB12" s="7">
        <f>'C-FTE Mar'!AB12/2</f>
        <v>0</v>
      </c>
      <c r="AC12" s="7">
        <f>'C-FTE Mar'!AC12/2</f>
        <v>0</v>
      </c>
      <c r="AD12" s="7">
        <f>'C-FTE Mar'!AD12/2</f>
        <v>0</v>
      </c>
      <c r="AE12" s="7">
        <f>'C-FTE Mar'!AE12/2</f>
        <v>0</v>
      </c>
      <c r="AF12" s="7">
        <f>'C-FTE Mar'!AF12/2</f>
        <v>0</v>
      </c>
    </row>
    <row r="13" spans="1:32" x14ac:dyDescent="0.25">
      <c r="A13" s="3" t="s">
        <v>18</v>
      </c>
      <c r="B13" s="7">
        <f>'C-FTE Mar'!B13/2</f>
        <v>0</v>
      </c>
      <c r="C13" s="7">
        <f>'C-FTE Mar'!C13/2</f>
        <v>0</v>
      </c>
      <c r="D13" s="7">
        <f>'C-FTE Mar'!D13/2</f>
        <v>0</v>
      </c>
      <c r="E13" s="7">
        <f>'C-FTE Mar'!E13/2</f>
        <v>0</v>
      </c>
      <c r="F13" s="7">
        <f>'C-FTE Mar'!F13/2</f>
        <v>0</v>
      </c>
      <c r="G13" s="7">
        <f>'C-FTE Mar'!G13/2</f>
        <v>0</v>
      </c>
      <c r="H13" s="7">
        <f>'C-FTE Mar'!H13/2</f>
        <v>0</v>
      </c>
      <c r="I13" s="7">
        <f>'C-FTE Mar'!I13/2</f>
        <v>0</v>
      </c>
      <c r="J13" s="7">
        <f>'C-FTE Mar'!J13/2</f>
        <v>0</v>
      </c>
      <c r="K13" s="7">
        <f>'C-FTE Mar'!K13/2</f>
        <v>0</v>
      </c>
      <c r="L13" s="7">
        <f>'C-FTE Mar'!L13/2</f>
        <v>0</v>
      </c>
      <c r="M13" s="7">
        <f>'C-FTE Mar'!M13/2</f>
        <v>0</v>
      </c>
      <c r="N13" s="7">
        <f>'C-FTE Mar'!N13/2</f>
        <v>0</v>
      </c>
      <c r="O13" s="7">
        <f>'C-FTE Mar'!O13/2</f>
        <v>0</v>
      </c>
      <c r="P13" s="7">
        <f>'C-FTE Mar'!P13/2</f>
        <v>0</v>
      </c>
      <c r="Q13" s="7">
        <f>'C-FTE Mar'!Q13/2</f>
        <v>0</v>
      </c>
      <c r="R13" s="7">
        <f>'C-FTE Mar'!R13/2</f>
        <v>0</v>
      </c>
      <c r="S13" s="7">
        <f>'C-FTE Mar'!S13/2</f>
        <v>0</v>
      </c>
      <c r="T13" s="7">
        <f>'C-FTE Mar'!T13/2</f>
        <v>0</v>
      </c>
      <c r="U13" s="7">
        <f>'C-FTE Mar'!U13/2</f>
        <v>0</v>
      </c>
      <c r="V13" s="7">
        <f>'C-FTE Mar'!V13/2</f>
        <v>0</v>
      </c>
      <c r="W13" s="7">
        <f>'C-FTE Mar'!W13/2</f>
        <v>0</v>
      </c>
      <c r="X13" s="7">
        <f>'C-FTE Mar'!X13/2</f>
        <v>0</v>
      </c>
      <c r="Y13" s="7">
        <f>'C-FTE Mar'!Y13/2</f>
        <v>0</v>
      </c>
      <c r="Z13" s="7">
        <f>'C-FTE Mar'!Z13/2</f>
        <v>0</v>
      </c>
      <c r="AA13" s="7">
        <f>'C-FTE Mar'!AA13/2</f>
        <v>0</v>
      </c>
      <c r="AB13" s="7">
        <f>'C-FTE Mar'!AB13/2</f>
        <v>0</v>
      </c>
      <c r="AC13" s="7">
        <f>'C-FTE Mar'!AC13/2</f>
        <v>0</v>
      </c>
      <c r="AD13" s="7">
        <f>'C-FTE Mar'!AD13/2</f>
        <v>0</v>
      </c>
      <c r="AE13" s="7">
        <f>'C-FTE Mar'!AE13/2</f>
        <v>0</v>
      </c>
      <c r="AF13" s="7">
        <f>'C-FTE Mar'!AF13/2</f>
        <v>0</v>
      </c>
    </row>
    <row r="14" spans="1:32" x14ac:dyDescent="0.25">
      <c r="A14" s="3" t="s">
        <v>19</v>
      </c>
      <c r="B14" s="7">
        <f>'C-FTE Mar'!B14/2</f>
        <v>0</v>
      </c>
      <c r="C14" s="7">
        <f>'C-FTE Mar'!C14/2</f>
        <v>0</v>
      </c>
      <c r="D14" s="7">
        <f>'C-FTE Mar'!D14/2</f>
        <v>0</v>
      </c>
      <c r="E14" s="7">
        <f>'C-FTE Mar'!E14/2</f>
        <v>0</v>
      </c>
      <c r="F14" s="7">
        <f>'C-FTE Mar'!F14/2</f>
        <v>0</v>
      </c>
      <c r="G14" s="7">
        <f>'C-FTE Mar'!G14/2</f>
        <v>0</v>
      </c>
      <c r="H14" s="7">
        <f>'C-FTE Mar'!H14/2</f>
        <v>0</v>
      </c>
      <c r="I14" s="7">
        <f>'C-FTE Mar'!I14/2</f>
        <v>0</v>
      </c>
      <c r="J14" s="7">
        <f>'C-FTE Mar'!J14/2</f>
        <v>0</v>
      </c>
      <c r="K14" s="7">
        <f>'C-FTE Mar'!K14/2</f>
        <v>0</v>
      </c>
      <c r="L14" s="7">
        <f>'C-FTE Mar'!L14/2</f>
        <v>0</v>
      </c>
      <c r="M14" s="7">
        <f>'C-FTE Mar'!M14/2</f>
        <v>0</v>
      </c>
      <c r="N14" s="7">
        <f>'C-FTE Mar'!N14/2</f>
        <v>0</v>
      </c>
      <c r="O14" s="7">
        <f>'C-FTE Mar'!O14/2</f>
        <v>0</v>
      </c>
      <c r="P14" s="7">
        <f>'C-FTE Mar'!P14/2</f>
        <v>0</v>
      </c>
      <c r="Q14" s="7">
        <f>'C-FTE Mar'!Q14/2</f>
        <v>0</v>
      </c>
      <c r="R14" s="7">
        <f>'C-FTE Mar'!R14/2</f>
        <v>0</v>
      </c>
      <c r="S14" s="7">
        <f>'C-FTE Mar'!S14/2</f>
        <v>0</v>
      </c>
      <c r="T14" s="7">
        <f>'C-FTE Mar'!T14/2</f>
        <v>0</v>
      </c>
      <c r="U14" s="7">
        <f>'C-FTE Mar'!U14/2</f>
        <v>0</v>
      </c>
      <c r="V14" s="7">
        <f>'C-FTE Mar'!V14/2</f>
        <v>0</v>
      </c>
      <c r="W14" s="7">
        <f>'C-FTE Mar'!W14/2</f>
        <v>0</v>
      </c>
      <c r="X14" s="7">
        <f>'C-FTE Mar'!X14/2</f>
        <v>0</v>
      </c>
      <c r="Y14" s="7">
        <f>'C-FTE Mar'!Y14/2</f>
        <v>0</v>
      </c>
      <c r="Z14" s="7">
        <f>'C-FTE Mar'!Z14/2</f>
        <v>0</v>
      </c>
      <c r="AA14" s="7">
        <f>'C-FTE Mar'!AA14/2</f>
        <v>0</v>
      </c>
      <c r="AB14" s="7">
        <f>'C-FTE Mar'!AB14/2</f>
        <v>0</v>
      </c>
      <c r="AC14" s="7">
        <f>'C-FTE Mar'!AC14/2</f>
        <v>0</v>
      </c>
      <c r="AD14" s="7">
        <f>'C-FTE Mar'!AD14/2</f>
        <v>0</v>
      </c>
      <c r="AE14" s="7">
        <f>'C-FTE Mar'!AE14/2</f>
        <v>0</v>
      </c>
      <c r="AF14" s="7">
        <f>'C-FTE Mar'!AF14/2</f>
        <v>0</v>
      </c>
    </row>
    <row r="15" spans="1:32" x14ac:dyDescent="0.25">
      <c r="A15" s="3" t="s">
        <v>20</v>
      </c>
      <c r="B15" s="7">
        <f>'C-FTE Mar'!B15/2</f>
        <v>0</v>
      </c>
      <c r="C15" s="7">
        <f>'C-FTE Mar'!C15/2</f>
        <v>0</v>
      </c>
      <c r="D15" s="7">
        <f>'C-FTE Mar'!D15/2</f>
        <v>0</v>
      </c>
      <c r="E15" s="7">
        <f>'C-FTE Mar'!E15/2</f>
        <v>0</v>
      </c>
      <c r="F15" s="7">
        <f>'C-FTE Mar'!F15/2</f>
        <v>0</v>
      </c>
      <c r="G15" s="7">
        <f>'C-FTE Mar'!G15/2</f>
        <v>0</v>
      </c>
      <c r="H15" s="7">
        <f>'C-FTE Mar'!H15/2</f>
        <v>0</v>
      </c>
      <c r="I15" s="7">
        <f>'C-FTE Mar'!I15/2</f>
        <v>0</v>
      </c>
      <c r="J15" s="7">
        <f>'C-FTE Mar'!J15/2</f>
        <v>0</v>
      </c>
      <c r="K15" s="7">
        <f>'C-FTE Mar'!K15/2</f>
        <v>0</v>
      </c>
      <c r="L15" s="7">
        <f>'C-FTE Mar'!L15/2</f>
        <v>0</v>
      </c>
      <c r="M15" s="7">
        <f>'C-FTE Mar'!M15/2</f>
        <v>0</v>
      </c>
      <c r="N15" s="7">
        <f>'C-FTE Mar'!N15/2</f>
        <v>0</v>
      </c>
      <c r="O15" s="7">
        <f>'C-FTE Mar'!O15/2</f>
        <v>0</v>
      </c>
      <c r="P15" s="7">
        <f>'C-FTE Mar'!P15/2</f>
        <v>0</v>
      </c>
      <c r="Q15" s="7">
        <f>'C-FTE Mar'!Q15/2</f>
        <v>0</v>
      </c>
      <c r="R15" s="7">
        <f>'C-FTE Mar'!R15/2</f>
        <v>0</v>
      </c>
      <c r="S15" s="7">
        <f>'C-FTE Mar'!S15/2</f>
        <v>0</v>
      </c>
      <c r="T15" s="7">
        <f>'C-FTE Mar'!T15/2</f>
        <v>0</v>
      </c>
      <c r="U15" s="7">
        <f>'C-FTE Mar'!U15/2</f>
        <v>0</v>
      </c>
      <c r="V15" s="7">
        <f>'C-FTE Mar'!V15/2</f>
        <v>0</v>
      </c>
      <c r="W15" s="7">
        <f>'C-FTE Mar'!W15/2</f>
        <v>0</v>
      </c>
      <c r="X15" s="7">
        <f>'C-FTE Mar'!X15/2</f>
        <v>0</v>
      </c>
      <c r="Y15" s="7">
        <f>'C-FTE Mar'!Y15/2</f>
        <v>0</v>
      </c>
      <c r="Z15" s="7">
        <f>'C-FTE Mar'!Z15/2</f>
        <v>0</v>
      </c>
      <c r="AA15" s="7">
        <f>'C-FTE Mar'!AA15/2</f>
        <v>0</v>
      </c>
      <c r="AB15" s="7">
        <f>'C-FTE Mar'!AB15/2</f>
        <v>0</v>
      </c>
      <c r="AC15" s="7">
        <f>'C-FTE Mar'!AC15/2</f>
        <v>0</v>
      </c>
      <c r="AD15" s="7">
        <f>'C-FTE Mar'!AD15/2</f>
        <v>0</v>
      </c>
      <c r="AE15" s="7">
        <f>'C-FTE Mar'!AE15/2</f>
        <v>0</v>
      </c>
      <c r="AF15" s="7">
        <f>'C-FTE Mar'!AF15/2</f>
        <v>0</v>
      </c>
    </row>
    <row r="16" spans="1:32" x14ac:dyDescent="0.25">
      <c r="A16" s="3" t="s">
        <v>21</v>
      </c>
      <c r="B16" s="7">
        <f>'C-FTE Mar'!B16/2</f>
        <v>0</v>
      </c>
      <c r="C16" s="7">
        <f>'C-FTE Mar'!C16/2</f>
        <v>0</v>
      </c>
      <c r="D16" s="7">
        <f>'C-FTE Mar'!D16/2</f>
        <v>0</v>
      </c>
      <c r="E16" s="7">
        <f>'C-FTE Mar'!E16/2</f>
        <v>0</v>
      </c>
      <c r="F16" s="7">
        <f>'C-FTE Mar'!F16/2</f>
        <v>0</v>
      </c>
      <c r="G16" s="7">
        <f>'C-FTE Mar'!G16/2</f>
        <v>0</v>
      </c>
      <c r="H16" s="7">
        <f>'C-FTE Mar'!H16/2</f>
        <v>0</v>
      </c>
      <c r="I16" s="7">
        <f>'C-FTE Mar'!I16/2</f>
        <v>0</v>
      </c>
      <c r="J16" s="7">
        <f>'C-FTE Mar'!J16/2</f>
        <v>0</v>
      </c>
      <c r="K16" s="7">
        <f>'C-FTE Mar'!K16/2</f>
        <v>0</v>
      </c>
      <c r="L16" s="7">
        <f>'C-FTE Mar'!L16/2</f>
        <v>0</v>
      </c>
      <c r="M16" s="7">
        <f>'C-FTE Mar'!M16/2</f>
        <v>0</v>
      </c>
      <c r="N16" s="7">
        <f>'C-FTE Mar'!N16/2</f>
        <v>0</v>
      </c>
      <c r="O16" s="7">
        <f>'C-FTE Mar'!O16/2</f>
        <v>0</v>
      </c>
      <c r="P16" s="7">
        <f>'C-FTE Mar'!P16/2</f>
        <v>0</v>
      </c>
      <c r="Q16" s="7">
        <f>'C-FTE Mar'!Q16/2</f>
        <v>0</v>
      </c>
      <c r="R16" s="7">
        <f>'C-FTE Mar'!R16/2</f>
        <v>0</v>
      </c>
      <c r="S16" s="7">
        <f>'C-FTE Mar'!S16/2</f>
        <v>0</v>
      </c>
      <c r="T16" s="7">
        <f>'C-FTE Mar'!T16/2</f>
        <v>0</v>
      </c>
      <c r="U16" s="7">
        <f>'C-FTE Mar'!U16/2</f>
        <v>0</v>
      </c>
      <c r="V16" s="7">
        <f>'C-FTE Mar'!V16/2</f>
        <v>0</v>
      </c>
      <c r="W16" s="7">
        <f>'C-FTE Mar'!W16/2</f>
        <v>0</v>
      </c>
      <c r="X16" s="7">
        <f>'C-FTE Mar'!X16/2</f>
        <v>0</v>
      </c>
      <c r="Y16" s="7">
        <f>'C-FTE Mar'!Y16/2</f>
        <v>0</v>
      </c>
      <c r="Z16" s="7">
        <f>'C-FTE Mar'!Z16/2</f>
        <v>0</v>
      </c>
      <c r="AA16" s="7">
        <f>'C-FTE Mar'!AA16/2</f>
        <v>0</v>
      </c>
      <c r="AB16" s="7">
        <f>'C-FTE Mar'!AB16/2</f>
        <v>0</v>
      </c>
      <c r="AC16" s="7">
        <f>'C-FTE Mar'!AC16/2</f>
        <v>0</v>
      </c>
      <c r="AD16" s="7">
        <f>'C-FTE Mar'!AD16/2</f>
        <v>0</v>
      </c>
      <c r="AE16" s="7">
        <f>'C-FTE Mar'!AE16/2</f>
        <v>0</v>
      </c>
      <c r="AF16" s="7">
        <f>'C-FTE Mar'!AF16/2</f>
        <v>0</v>
      </c>
    </row>
    <row r="17" spans="1:32" x14ac:dyDescent="0.25">
      <c r="A17" s="3" t="s">
        <v>22</v>
      </c>
      <c r="B17" s="7">
        <f>'C-FTE Mar'!B17/2</f>
        <v>0</v>
      </c>
      <c r="C17" s="7">
        <f>'C-FTE Mar'!C17/2</f>
        <v>0</v>
      </c>
      <c r="D17" s="7">
        <f>'C-FTE Mar'!D17/2</f>
        <v>0</v>
      </c>
      <c r="E17" s="7">
        <f>'C-FTE Mar'!E17/2</f>
        <v>0</v>
      </c>
      <c r="F17" s="7">
        <f>'C-FTE Mar'!F17/2</f>
        <v>0</v>
      </c>
      <c r="G17" s="7">
        <f>'C-FTE Mar'!G17/2</f>
        <v>0</v>
      </c>
      <c r="H17" s="7">
        <f>'C-FTE Mar'!H17/2</f>
        <v>0</v>
      </c>
      <c r="I17" s="7">
        <f>'C-FTE Mar'!I17/2</f>
        <v>0</v>
      </c>
      <c r="J17" s="7">
        <f>'C-FTE Mar'!J17/2</f>
        <v>0</v>
      </c>
      <c r="K17" s="7">
        <f>'C-FTE Mar'!K17/2</f>
        <v>0</v>
      </c>
      <c r="L17" s="7">
        <f>'C-FTE Mar'!L17/2</f>
        <v>0</v>
      </c>
      <c r="M17" s="7">
        <f>'C-FTE Mar'!M17/2</f>
        <v>0</v>
      </c>
      <c r="N17" s="7">
        <f>'C-FTE Mar'!N17/2</f>
        <v>0</v>
      </c>
      <c r="O17" s="7">
        <f>'C-FTE Mar'!O17/2</f>
        <v>0</v>
      </c>
      <c r="P17" s="7">
        <f>'C-FTE Mar'!P17/2</f>
        <v>0</v>
      </c>
      <c r="Q17" s="7">
        <f>'C-FTE Mar'!Q17/2</f>
        <v>0</v>
      </c>
      <c r="R17" s="7">
        <f>'C-FTE Mar'!R17/2</f>
        <v>0</v>
      </c>
      <c r="S17" s="7">
        <f>'C-FTE Mar'!S17/2</f>
        <v>0</v>
      </c>
      <c r="T17" s="7">
        <f>'C-FTE Mar'!T17/2</f>
        <v>0</v>
      </c>
      <c r="U17" s="7">
        <f>'C-FTE Mar'!U17/2</f>
        <v>0</v>
      </c>
      <c r="V17" s="7">
        <f>'C-FTE Mar'!V17/2</f>
        <v>0</v>
      </c>
      <c r="W17" s="7">
        <f>'C-FTE Mar'!W17/2</f>
        <v>0</v>
      </c>
      <c r="X17" s="7">
        <f>'C-FTE Mar'!X17/2</f>
        <v>0</v>
      </c>
      <c r="Y17" s="7">
        <f>'C-FTE Mar'!Y17/2</f>
        <v>0</v>
      </c>
      <c r="Z17" s="7">
        <f>'C-FTE Mar'!Z17/2</f>
        <v>0</v>
      </c>
      <c r="AA17" s="7">
        <f>'C-FTE Mar'!AA17/2</f>
        <v>0</v>
      </c>
      <c r="AB17" s="7">
        <f>'C-FTE Mar'!AB17/2</f>
        <v>0</v>
      </c>
      <c r="AC17" s="7">
        <f>'C-FTE Mar'!AC17/2</f>
        <v>0</v>
      </c>
      <c r="AD17" s="7">
        <f>'C-FTE Mar'!AD17/2</f>
        <v>0</v>
      </c>
      <c r="AE17" s="7">
        <f>'C-FTE Mar'!AE17/2</f>
        <v>0</v>
      </c>
      <c r="AF17" s="7">
        <f>'C-FTE Mar'!AF17/2</f>
        <v>0</v>
      </c>
    </row>
    <row r="18" spans="1:32" x14ac:dyDescent="0.25">
      <c r="A18" s="3" t="s">
        <v>23</v>
      </c>
      <c r="B18" s="7">
        <f>'C-FTE Mar'!B18/2</f>
        <v>0</v>
      </c>
      <c r="C18" s="7">
        <f>'C-FTE Mar'!C18/2</f>
        <v>0</v>
      </c>
      <c r="D18" s="7">
        <f>'C-FTE Mar'!D18/2</f>
        <v>0</v>
      </c>
      <c r="E18" s="7">
        <f>'C-FTE Mar'!E18/2</f>
        <v>0</v>
      </c>
      <c r="F18" s="7">
        <f>'C-FTE Mar'!F18/2</f>
        <v>0</v>
      </c>
      <c r="G18" s="7">
        <f>'C-FTE Mar'!G18/2</f>
        <v>0</v>
      </c>
      <c r="H18" s="7">
        <f>'C-FTE Mar'!H18/2</f>
        <v>0</v>
      </c>
      <c r="I18" s="7">
        <f>'C-FTE Mar'!I18/2</f>
        <v>0</v>
      </c>
      <c r="J18" s="7">
        <f>'C-FTE Mar'!J18/2</f>
        <v>0</v>
      </c>
      <c r="K18" s="7">
        <f>'C-FTE Mar'!K18/2</f>
        <v>0</v>
      </c>
      <c r="L18" s="7">
        <f>'C-FTE Mar'!L18/2</f>
        <v>0</v>
      </c>
      <c r="M18" s="7">
        <f>'C-FTE Mar'!M18/2</f>
        <v>0</v>
      </c>
      <c r="N18" s="7">
        <f>'C-FTE Mar'!N18/2</f>
        <v>0</v>
      </c>
      <c r="O18" s="7">
        <f>'C-FTE Mar'!O18/2</f>
        <v>0</v>
      </c>
      <c r="P18" s="7">
        <f>'C-FTE Mar'!P18/2</f>
        <v>0</v>
      </c>
      <c r="Q18" s="7">
        <f>'C-FTE Mar'!Q18/2</f>
        <v>0</v>
      </c>
      <c r="R18" s="7">
        <f>'C-FTE Mar'!R18/2</f>
        <v>0</v>
      </c>
      <c r="S18" s="7">
        <f>'C-FTE Mar'!S18/2</f>
        <v>0</v>
      </c>
      <c r="T18" s="7">
        <f>'C-FTE Mar'!T18/2</f>
        <v>0</v>
      </c>
      <c r="U18" s="7">
        <f>'C-FTE Mar'!U18/2</f>
        <v>0</v>
      </c>
      <c r="V18" s="7">
        <f>'C-FTE Mar'!V18/2</f>
        <v>0</v>
      </c>
      <c r="W18" s="7">
        <f>'C-FTE Mar'!W18/2</f>
        <v>0</v>
      </c>
      <c r="X18" s="7">
        <f>'C-FTE Mar'!X18/2</f>
        <v>0</v>
      </c>
      <c r="Y18" s="7">
        <f>'C-FTE Mar'!Y18/2</f>
        <v>0</v>
      </c>
      <c r="Z18" s="7">
        <f>'C-FTE Mar'!Z18/2</f>
        <v>0</v>
      </c>
      <c r="AA18" s="7">
        <f>'C-FTE Mar'!AA18/2</f>
        <v>0</v>
      </c>
      <c r="AB18" s="7">
        <f>'C-FTE Mar'!AB18/2</f>
        <v>0</v>
      </c>
      <c r="AC18" s="7">
        <f>'C-FTE Mar'!AC18/2</f>
        <v>0</v>
      </c>
      <c r="AD18" s="7">
        <f>'C-FTE Mar'!AD18/2</f>
        <v>0</v>
      </c>
      <c r="AE18" s="7">
        <f>'C-FTE Mar'!AE18/2</f>
        <v>0</v>
      </c>
      <c r="AF18" s="7">
        <f>'C-FTE Mar'!AF18/2</f>
        <v>0</v>
      </c>
    </row>
    <row r="19" spans="1:32" x14ac:dyDescent="0.25">
      <c r="A19" s="3" t="s">
        <v>24</v>
      </c>
      <c r="B19" s="7">
        <f>'B-FTE Mar'!B19/2</f>
        <v>0</v>
      </c>
      <c r="C19" s="7">
        <f>'B-FTE Mar'!C19/2</f>
        <v>0.56414196899746649</v>
      </c>
      <c r="D19" s="7">
        <f>'B-FTE Mar'!D19/2</f>
        <v>0.41455887115722906</v>
      </c>
      <c r="E19" s="7">
        <f>'B-FTE Mar'!E19/2</f>
        <v>0.38891605438461702</v>
      </c>
      <c r="F19" s="7">
        <f>'B-FTE Mar'!F19/2</f>
        <v>0.41883267395266444</v>
      </c>
      <c r="G19" s="7">
        <f>'B-FTE Mar'!G19/2</f>
        <v>0.40601126556635841</v>
      </c>
      <c r="H19" s="7">
        <f>'B-FTE Mar'!H19/2</f>
        <v>0</v>
      </c>
      <c r="I19" s="7">
        <f>'B-FTE Mar'!I19/2</f>
        <v>0</v>
      </c>
      <c r="J19" s="7">
        <f>'B-FTE Mar'!J19/2</f>
        <v>0.55986816620203106</v>
      </c>
      <c r="K19" s="7">
        <f>'B-FTE Mar'!K19/2</f>
        <v>0.32480901245308674</v>
      </c>
      <c r="L19" s="7">
        <f>'B-FTE Mar'!L19/2</f>
        <v>0.38891605438461702</v>
      </c>
      <c r="M19" s="7">
        <f>'B-FTE Mar'!M19/2</f>
        <v>0.41883267395266444</v>
      </c>
      <c r="N19" s="7">
        <f>'B-FTE Mar'!N19/2</f>
        <v>0.32053520965765137</v>
      </c>
      <c r="O19" s="7">
        <f>'B-FTE Mar'!O19/2</f>
        <v>0</v>
      </c>
      <c r="P19" s="7">
        <f>'B-FTE Mar'!P19/2</f>
        <v>0</v>
      </c>
      <c r="Q19" s="7">
        <f>'B-FTE Mar'!Q19/2</f>
        <v>0.56841577179290181</v>
      </c>
      <c r="R19" s="7">
        <f>'B-FTE Mar'!R19/2</f>
        <v>0.41883267395266444</v>
      </c>
      <c r="S19" s="7">
        <f>'B-FTE Mar'!S19/2</f>
        <v>0.30771380127134529</v>
      </c>
      <c r="T19" s="7">
        <f>'B-FTE Mar'!T19/2</f>
        <v>0.42310647674809976</v>
      </c>
      <c r="U19" s="7">
        <f>'B-FTE Mar'!U19/2</f>
        <v>0.41028506836179374</v>
      </c>
      <c r="V19" s="7">
        <f>'B-FTE Mar'!V19/2</f>
        <v>0</v>
      </c>
      <c r="W19" s="7">
        <f>'B-FTE Mar'!W19/2</f>
        <v>0</v>
      </c>
      <c r="X19" s="7">
        <f>'B-FTE Mar'!X19/2</f>
        <v>0.47439211029332407</v>
      </c>
      <c r="Y19" s="7">
        <f>'B-FTE Mar'!Y19/2</f>
        <v>0.40601126556635841</v>
      </c>
      <c r="Z19" s="7">
        <f>'B-FTE Mar'!Z19/2</f>
        <v>0.38036844879374632</v>
      </c>
      <c r="AA19" s="7">
        <f>'B-FTE Mar'!AA19/2</f>
        <v>0.41455887115722906</v>
      </c>
      <c r="AB19" s="7">
        <f>'B-FTE Mar'!AB19/2</f>
        <v>0.39746365997548772</v>
      </c>
      <c r="AC19" s="7">
        <f>'B-FTE Mar'!AC19/2</f>
        <v>0</v>
      </c>
      <c r="AD19" s="7">
        <f>'B-FTE Mar'!AD19/2</f>
        <v>0</v>
      </c>
      <c r="AE19" s="7">
        <f>'B-FTE Mar'!AE19/2</f>
        <v>0.47439211029332407</v>
      </c>
      <c r="AF19" s="7">
        <f>'B-FTE Mar'!AF19/2</f>
        <v>0.40601126556635841</v>
      </c>
    </row>
    <row r="20" spans="1:32" x14ac:dyDescent="0.25">
      <c r="A20" s="3" t="s">
        <v>25</v>
      </c>
      <c r="B20" s="7">
        <f>'B-FTE Mar'!B20/2</f>
        <v>0</v>
      </c>
      <c r="C20" s="7">
        <f>'B-FTE Mar'!C20/2</f>
        <v>0.95305802338208334</v>
      </c>
      <c r="D20" s="7">
        <f>'B-FTE Mar'!D20/2</f>
        <v>0.67953464447422096</v>
      </c>
      <c r="E20" s="7">
        <f>'B-FTE Mar'!E20/2</f>
        <v>0.50430872986137143</v>
      </c>
      <c r="F20" s="7">
        <f>'B-FTE Mar'!F20/2</f>
        <v>0.64534422211073805</v>
      </c>
      <c r="G20" s="7">
        <f>'B-FTE Mar'!G20/2</f>
        <v>0.56414196899746649</v>
      </c>
      <c r="H20" s="7">
        <f>'B-FTE Mar'!H20/2</f>
        <v>0</v>
      </c>
      <c r="I20" s="7">
        <f>'B-FTE Mar'!I20/2</f>
        <v>0</v>
      </c>
      <c r="J20" s="7">
        <f>'B-FTE Mar'!J20/2</f>
        <v>0.85903436188250559</v>
      </c>
      <c r="K20" s="7">
        <f>'B-FTE Mar'!K20/2</f>
        <v>0.51285633545224218</v>
      </c>
      <c r="L20" s="7">
        <f>'B-FTE Mar'!L20/2</f>
        <v>0.50430872986137143</v>
      </c>
      <c r="M20" s="7">
        <f>'B-FTE Mar'!M20/2</f>
        <v>0.55132056061116042</v>
      </c>
      <c r="N20" s="7">
        <f>'B-FTE Mar'!N20/2</f>
        <v>0.48293971588419471</v>
      </c>
      <c r="O20" s="7">
        <f>'B-FTE Mar'!O20/2</f>
        <v>0</v>
      </c>
      <c r="P20" s="7">
        <f>'B-FTE Mar'!P20/2</f>
        <v>0</v>
      </c>
      <c r="Q20" s="7">
        <f>'B-FTE Mar'!Q20/2</f>
        <v>0.86758196747337624</v>
      </c>
      <c r="R20" s="7">
        <f>'B-FTE Mar'!R20/2</f>
        <v>0.52140394104311283</v>
      </c>
      <c r="S20" s="7">
        <f>'B-FTE Mar'!S20/2</f>
        <v>0.51285633545224218</v>
      </c>
      <c r="T20" s="7">
        <f>'B-FTE Mar'!T20/2</f>
        <v>0.55986816620203106</v>
      </c>
      <c r="U20" s="7">
        <f>'B-FTE Mar'!U20/2</f>
        <v>0.48721351867963003</v>
      </c>
      <c r="V20" s="7">
        <f>'B-FTE Mar'!V20/2</f>
        <v>0</v>
      </c>
      <c r="W20" s="7">
        <f>'B-FTE Mar'!W20/2</f>
        <v>0</v>
      </c>
      <c r="X20" s="7">
        <f>'B-FTE Mar'!X20/2</f>
        <v>0.74791548920118645</v>
      </c>
      <c r="Y20" s="7">
        <f>'B-FTE Mar'!Y20/2</f>
        <v>0.50430872986137143</v>
      </c>
      <c r="Z20" s="7">
        <f>'B-FTE Mar'!Z20/2</f>
        <v>0.49148732147506541</v>
      </c>
      <c r="AA20" s="7">
        <f>'B-FTE Mar'!AA20/2</f>
        <v>0.62824901092899665</v>
      </c>
      <c r="AB20" s="7">
        <f>'B-FTE Mar'!AB20/2</f>
        <v>0.47439211029332407</v>
      </c>
      <c r="AC20" s="7">
        <f>'B-FTE Mar'!AC20/2</f>
        <v>0</v>
      </c>
      <c r="AD20" s="7">
        <f>'B-FTE Mar'!AD20/2</f>
        <v>0</v>
      </c>
      <c r="AE20" s="7">
        <f>'B-FTE Mar'!AE20/2</f>
        <v>0.84193915070076419</v>
      </c>
      <c r="AF20" s="7">
        <f>'B-FTE Mar'!AF20/2</f>
        <v>0.58123718017920778</v>
      </c>
    </row>
    <row r="21" spans="1:32" x14ac:dyDescent="0.25">
      <c r="A21" s="3" t="s">
        <v>26</v>
      </c>
      <c r="B21" s="7">
        <f>'B-FTE Mar'!B21/2</f>
        <v>0</v>
      </c>
      <c r="C21" s="7">
        <f>'B-FTE Mar'!C21/2</f>
        <v>1.6667830902197871</v>
      </c>
      <c r="D21" s="7">
        <f>'B-FTE Mar'!D21/2</f>
        <v>1.0727245016542732</v>
      </c>
      <c r="E21" s="7">
        <f>'B-FTE Mar'!E21/2</f>
        <v>0.93596281220034194</v>
      </c>
      <c r="F21" s="7">
        <f>'B-FTE Mar'!F21/2</f>
        <v>0.96587943176838942</v>
      </c>
      <c r="G21" s="7">
        <f>'B-FTE Mar'!G21/2</f>
        <v>0.85048675629163495</v>
      </c>
      <c r="H21" s="7">
        <f>'B-FTE Mar'!H21/2</f>
        <v>0</v>
      </c>
      <c r="I21" s="7">
        <f>'B-FTE Mar'!I21/2</f>
        <v>0</v>
      </c>
      <c r="J21" s="7">
        <f>'B-FTE Mar'!J21/2</f>
        <v>1.5471166119475974</v>
      </c>
      <c r="K21" s="7">
        <f>'B-FTE Mar'!K21/2</f>
        <v>0.89749858704142382</v>
      </c>
      <c r="L21" s="7">
        <f>'B-FTE Mar'!L21/2</f>
        <v>0.84193915070076419</v>
      </c>
      <c r="M21" s="7">
        <f>'B-FTE Mar'!M21/2</f>
        <v>0.87185577026881178</v>
      </c>
      <c r="N21" s="7">
        <f>'B-FTE Mar'!N21/2</f>
        <v>0.76928450317836328</v>
      </c>
      <c r="O21" s="7">
        <f>'B-FTE Mar'!O21/2</f>
        <v>0</v>
      </c>
      <c r="P21" s="7">
        <f>'B-FTE Mar'!P21/2</f>
        <v>0</v>
      </c>
      <c r="Q21" s="7">
        <f>'B-FTE Mar'!Q21/2</f>
        <v>1.5684856259247741</v>
      </c>
      <c r="R21" s="7">
        <f>'B-FTE Mar'!R21/2</f>
        <v>0.8248439395190228</v>
      </c>
      <c r="S21" s="7">
        <f>'B-FTE Mar'!S21/2</f>
        <v>0.85476055908707038</v>
      </c>
      <c r="T21" s="7">
        <f>'B-FTE Mar'!T21/2</f>
        <v>0.88040337585968242</v>
      </c>
      <c r="U21" s="7">
        <f>'B-FTE Mar'!U21/2</f>
        <v>0.77783210876923403</v>
      </c>
      <c r="V21" s="7">
        <f>'B-FTE Mar'!V21/2</f>
        <v>0</v>
      </c>
      <c r="W21" s="7">
        <f>'B-FTE Mar'!W21/2</f>
        <v>0</v>
      </c>
      <c r="X21" s="7">
        <f>'B-FTE Mar'!X21/2</f>
        <v>1.3975335141073599</v>
      </c>
      <c r="Y21" s="7">
        <f>'B-FTE Mar'!Y21/2</f>
        <v>0.79920112274641075</v>
      </c>
      <c r="Z21" s="7">
        <f>'B-FTE Mar'!Z21/2</f>
        <v>0.82911774231445812</v>
      </c>
      <c r="AA21" s="7">
        <f>'B-FTE Mar'!AA21/2</f>
        <v>0.85476055908707038</v>
      </c>
      <c r="AB21" s="7">
        <f>'B-FTE Mar'!AB21/2</f>
        <v>0.75218929199662188</v>
      </c>
      <c r="AC21" s="7">
        <f>'B-FTE Mar'!AC21/2</f>
        <v>0</v>
      </c>
      <c r="AD21" s="7">
        <f>'B-FTE Mar'!AD21/2</f>
        <v>0</v>
      </c>
      <c r="AE21" s="7">
        <f>'B-FTE Mar'!AE21/2</f>
        <v>1.5129261895841146</v>
      </c>
      <c r="AF21" s="7">
        <f>'B-FTE Mar'!AF21/2</f>
        <v>0.88040337585968242</v>
      </c>
    </row>
    <row r="22" spans="1:32" x14ac:dyDescent="0.25">
      <c r="A22" s="3" t="s">
        <v>27</v>
      </c>
      <c r="B22" s="7">
        <f>'B-FTE Mar'!B22/2</f>
        <v>0</v>
      </c>
      <c r="C22" s="7">
        <f>'B-FTE Mar'!C22/2</f>
        <v>2.5813768884429522</v>
      </c>
      <c r="D22" s="7">
        <f>'B-FTE Mar'!D22/2</f>
        <v>1.5898546399019509</v>
      </c>
      <c r="E22" s="7">
        <f>'B-FTE Mar'!E22/2</f>
        <v>1.4787357672206316</v>
      </c>
      <c r="F22" s="7">
        <f>'B-FTE Mar'!F22/2</f>
        <v>1.4359977392662782</v>
      </c>
      <c r="G22" s="7">
        <f>'B-FTE Mar'!G22/2</f>
        <v>1.2351290078808166</v>
      </c>
      <c r="H22" s="7">
        <f>'B-FTE Mar'!H22/2</f>
        <v>0</v>
      </c>
      <c r="I22" s="7">
        <f>'B-FTE Mar'!I22/2</f>
        <v>0</v>
      </c>
      <c r="J22" s="7">
        <f>'B-FTE Mar'!J22/2</f>
        <v>2.3249487207168311</v>
      </c>
      <c r="K22" s="7">
        <f>'B-FTE Mar'!K22/2</f>
        <v>1.3975335141073599</v>
      </c>
      <c r="L22" s="7">
        <f>'B-FTE Mar'!L22/2</f>
        <v>1.3761645001301832</v>
      </c>
      <c r="M22" s="7">
        <f>'B-FTE Mar'!M22/2</f>
        <v>1.2394028106762518</v>
      </c>
      <c r="N22" s="7">
        <f>'B-FTE Mar'!N22/2</f>
        <v>1.1411053463812388</v>
      </c>
      <c r="O22" s="7">
        <f>'B-FTE Mar'!O22/2</f>
        <v>0</v>
      </c>
      <c r="P22" s="7">
        <f>'B-FTE Mar'!P22/2</f>
        <v>0</v>
      </c>
      <c r="Q22" s="7">
        <f>'B-FTE Mar'!Q22/2</f>
        <v>2.2351988620126892</v>
      </c>
      <c r="R22" s="7">
        <f>'B-FTE Mar'!R22/2</f>
        <v>1.3206050637895235</v>
      </c>
      <c r="S22" s="7">
        <f>'B-FTE Mar'!S22/2</f>
        <v>1.3975335141073599</v>
      </c>
      <c r="T22" s="7">
        <f>'B-FTE Mar'!T22/2</f>
        <v>1.2564980218579933</v>
      </c>
      <c r="U22" s="7">
        <f>'B-FTE Mar'!U22/2</f>
        <v>1.1582005575629803</v>
      </c>
      <c r="V22" s="7">
        <f>'B-FTE Mar'!V22/2</f>
        <v>0</v>
      </c>
      <c r="W22" s="7">
        <f>'B-FTE Mar'!W22/2</f>
        <v>0</v>
      </c>
      <c r="X22" s="7">
        <f>'B-FTE Mar'!X22/2</f>
        <v>2.1497228061039819</v>
      </c>
      <c r="Y22" s="7">
        <f>'B-FTE Mar'!Y22/2</f>
        <v>1.2735932330397346</v>
      </c>
      <c r="Z22" s="7">
        <f>'B-FTE Mar'!Z22/2</f>
        <v>1.3419740777667004</v>
      </c>
      <c r="AA22" s="7">
        <f>'B-FTE Mar'!AA22/2</f>
        <v>1.2137599939036399</v>
      </c>
      <c r="AB22" s="7">
        <f>'B-FTE Mar'!AB22/2</f>
        <v>1.1154625296086267</v>
      </c>
      <c r="AC22" s="7">
        <f>'B-FTE Mar'!AC22/2</f>
        <v>0</v>
      </c>
      <c r="AD22" s="7">
        <f>'B-FTE Mar'!AD22/2</f>
        <v>0</v>
      </c>
      <c r="AE22" s="7">
        <f>'B-FTE Mar'!AE22/2</f>
        <v>2.2736630871716073</v>
      </c>
      <c r="AF22" s="7">
        <f>'B-FTE Mar'!AF22/2</f>
        <v>1.3676168945393126</v>
      </c>
    </row>
    <row r="23" spans="1:32" x14ac:dyDescent="0.25">
      <c r="A23" s="3" t="s">
        <v>28</v>
      </c>
      <c r="B23" s="7">
        <f>'B-FTE Mar'!B23/2</f>
        <v>0</v>
      </c>
      <c r="C23" s="7">
        <f>'B-FTE Mar'!C23/2</f>
        <v>2.9104597036914743</v>
      </c>
      <c r="D23" s="7">
        <f>'B-FTE Mar'!D23/2</f>
        <v>2.2266512564218184</v>
      </c>
      <c r="E23" s="7">
        <f>'B-FTE Mar'!E23/2</f>
        <v>1.9274850607413434</v>
      </c>
      <c r="F23" s="7">
        <f>'B-FTE Mar'!F23/2</f>
        <v>1.7907233712874124</v>
      </c>
      <c r="G23" s="7">
        <f>'B-FTE Mar'!G23/2</f>
        <v>1.7009735125832699</v>
      </c>
      <c r="H23" s="7">
        <f>'B-FTE Mar'!H23/2</f>
        <v>0</v>
      </c>
      <c r="I23" s="7">
        <f>'B-FTE Mar'!I23/2</f>
        <v>0</v>
      </c>
      <c r="J23" s="7">
        <f>'B-FTE Mar'!J23/2</f>
        <v>2.6839481555334008</v>
      </c>
      <c r="K23" s="7">
        <f>'B-FTE Mar'!K23/2</f>
        <v>1.8206399908554598</v>
      </c>
      <c r="L23" s="7">
        <f>'B-FTE Mar'!L23/2</f>
        <v>1.7137949209695758</v>
      </c>
      <c r="M23" s="7">
        <f>'B-FTE Mar'!M23/2</f>
        <v>1.58130703431108</v>
      </c>
      <c r="N23" s="7">
        <f>'B-FTE Mar'!N23/2</f>
        <v>1.508652386788679</v>
      </c>
      <c r="O23" s="7">
        <f>'B-FTE Mar'!O23/2</f>
        <v>0</v>
      </c>
      <c r="P23" s="7">
        <f>'B-FTE Mar'!P23/2</f>
        <v>0</v>
      </c>
      <c r="Q23" s="7">
        <f>'B-FTE Mar'!Q23/2</f>
        <v>2.7266861834877543</v>
      </c>
      <c r="R23" s="7">
        <f>'B-FTE Mar'!R23/2</f>
        <v>1.846282807628072</v>
      </c>
      <c r="S23" s="7">
        <f>'B-FTE Mar'!S23/2</f>
        <v>1.846282807628072</v>
      </c>
      <c r="T23" s="7">
        <f>'B-FTE Mar'!T23/2</f>
        <v>1.6069498510836921</v>
      </c>
      <c r="U23" s="7">
        <f>'B-FTE Mar'!U23/2</f>
        <v>1.5300214007658559</v>
      </c>
      <c r="V23" s="7">
        <f>'B-FTE Mar'!V23/2</f>
        <v>0</v>
      </c>
      <c r="W23" s="7">
        <f>'B-FTE Mar'!W23/2</f>
        <v>0</v>
      </c>
      <c r="X23" s="7">
        <f>'B-FTE Mar'!X23/2</f>
        <v>2.4018771710346676</v>
      </c>
      <c r="Y23" s="7">
        <f>'B-FTE Mar'!Y23/2</f>
        <v>1.6796044986060934</v>
      </c>
      <c r="Z23" s="7">
        <f>'B-FTE Mar'!Z23/2</f>
        <v>1.6796044986060934</v>
      </c>
      <c r="AA23" s="7">
        <f>'B-FTE Mar'!AA23/2</f>
        <v>1.5471166119475974</v>
      </c>
      <c r="AB23" s="7">
        <f>'B-FTE Mar'!AB23/2</f>
        <v>1.470188161629761</v>
      </c>
      <c r="AC23" s="7">
        <f>'B-FTE Mar'!AC23/2</f>
        <v>0</v>
      </c>
      <c r="AD23" s="7">
        <f>'B-FTE Mar'!AD23/2</f>
        <v>0</v>
      </c>
      <c r="AE23" s="7">
        <f>'B-FTE Mar'!AE23/2</f>
        <v>2.6198411136018702</v>
      </c>
      <c r="AF23" s="7">
        <f>'B-FTE Mar'!AF23/2</f>
        <v>1.8761994271961193</v>
      </c>
    </row>
    <row r="24" spans="1:32" x14ac:dyDescent="0.25">
      <c r="A24" s="3" t="s">
        <v>29</v>
      </c>
      <c r="B24" s="7">
        <f>'B-FTE Mar'!B24/2</f>
        <v>0</v>
      </c>
      <c r="C24" s="7">
        <f>'B-FTE Mar'!C24/2</f>
        <v>3.6583751928926613</v>
      </c>
      <c r="D24" s="7">
        <f>'B-FTE Mar'!D24/2</f>
        <v>2.8805430841234267</v>
      </c>
      <c r="E24" s="7">
        <f>'B-FTE Mar'!E24/2</f>
        <v>2.6112935080109998</v>
      </c>
      <c r="F24" s="7">
        <f>'B-FTE Mar'!F24/2</f>
        <v>2.2394726648081242</v>
      </c>
      <c r="G24" s="7">
        <f>'B-FTE Mar'!G24/2</f>
        <v>2.2693892843761714</v>
      </c>
      <c r="H24" s="7">
        <f>'B-FTE Mar'!H24/2</f>
        <v>0</v>
      </c>
      <c r="I24" s="7">
        <f>'B-FTE Mar'!I24/2</f>
        <v>0</v>
      </c>
      <c r="J24" s="7">
        <f>'B-FTE Mar'!J24/2</f>
        <v>3.307923363666962</v>
      </c>
      <c r="K24" s="7">
        <f>'B-FTE Mar'!K24/2</f>
        <v>2.4531628045798919</v>
      </c>
      <c r="L24" s="7">
        <f>'B-FTE Mar'!L24/2</f>
        <v>2.3890557626483617</v>
      </c>
      <c r="M24" s="7">
        <f>'B-FTE Mar'!M24/2</f>
        <v>2.030056327831792</v>
      </c>
      <c r="N24" s="7">
        <f>'B-FTE Mar'!N24/2</f>
        <v>1.9744968914911325</v>
      </c>
      <c r="O24" s="7">
        <f>'B-FTE Mar'!O24/2</f>
        <v>0</v>
      </c>
      <c r="P24" s="7">
        <f>'B-FTE Mar'!P24/2</f>
        <v>0</v>
      </c>
      <c r="Q24" s="7">
        <f>'B-FTE Mar'!Q24/2</f>
        <v>3.2480901245308673</v>
      </c>
      <c r="R24" s="7">
        <f>'B-FTE Mar'!R24/2</f>
        <v>2.3847819598529263</v>
      </c>
      <c r="S24" s="7">
        <f>'B-FTE Mar'!S24/2</f>
        <v>2.4232461850118443</v>
      </c>
      <c r="T24" s="7">
        <f>'B-FTE Mar'!T24/2</f>
        <v>1.957401680309391</v>
      </c>
      <c r="U24" s="7">
        <f>'B-FTE Mar'!U24/2</f>
        <v>2.0001397082637444</v>
      </c>
      <c r="V24" s="7">
        <f>'B-FTE Mar'!V24/2</f>
        <v>0</v>
      </c>
      <c r="W24" s="7">
        <f>'B-FTE Mar'!W24/2</f>
        <v>0</v>
      </c>
      <c r="X24" s="7">
        <f>'B-FTE Mar'!X24/2</f>
        <v>3.0087571679864875</v>
      </c>
      <c r="Y24" s="7">
        <f>'B-FTE Mar'!Y24/2</f>
        <v>2.1881870312629004</v>
      </c>
      <c r="Z24" s="7">
        <f>'B-FTE Mar'!Z24/2</f>
        <v>2.3292225235122666</v>
      </c>
      <c r="AA24" s="7">
        <f>'B-FTE Mar'!AA24/2</f>
        <v>1.9830444970820031</v>
      </c>
      <c r="AB24" s="7">
        <f>'B-FTE Mar'!AB24/2</f>
        <v>1.9274850607413434</v>
      </c>
      <c r="AC24" s="7">
        <f>'B-FTE Mar'!AC24/2</f>
        <v>0</v>
      </c>
      <c r="AD24" s="7">
        <f>'B-FTE Mar'!AD24/2</f>
        <v>0</v>
      </c>
      <c r="AE24" s="7">
        <f>'B-FTE Mar'!AE24/2</f>
        <v>3.1198760406678065</v>
      </c>
      <c r="AF24" s="7">
        <f>'B-FTE Mar'!AF24/2</f>
        <v>2.5001746353296808</v>
      </c>
    </row>
    <row r="25" spans="1:32" x14ac:dyDescent="0.25">
      <c r="A25" s="3" t="s">
        <v>30</v>
      </c>
      <c r="B25" s="7">
        <f>'B-FTE Mar'!B25/2</f>
        <v>0</v>
      </c>
      <c r="C25" s="7">
        <f>'B-FTE Mar'!C25/2</f>
        <v>4.9832540594776198</v>
      </c>
      <c r="D25" s="7">
        <f>'B-FTE Mar'!D25/2</f>
        <v>3.7652202627785449</v>
      </c>
      <c r="E25" s="7">
        <f>'B-FTE Mar'!E25/2</f>
        <v>4.7652901169104176</v>
      </c>
      <c r="F25" s="7">
        <f>'B-FTE Mar'!F25/2</f>
        <v>3.0856856183043235</v>
      </c>
      <c r="G25" s="7">
        <f>'B-FTE Mar'!G25/2</f>
        <v>3.0173047735773579</v>
      </c>
      <c r="H25" s="7">
        <f>'B-FTE Mar'!H25/2</f>
        <v>0</v>
      </c>
      <c r="I25" s="7">
        <f>'B-FTE Mar'!I25/2</f>
        <v>0</v>
      </c>
      <c r="J25" s="7">
        <f>'B-FTE Mar'!J25/2</f>
        <v>4.3379098373668823</v>
      </c>
      <c r="K25" s="7">
        <f>'B-FTE Mar'!K25/2</f>
        <v>3.1070546322815003</v>
      </c>
      <c r="L25" s="7">
        <f>'B-FTE Mar'!L25/2</f>
        <v>4.2567075842536104</v>
      </c>
      <c r="M25" s="7">
        <f>'B-FTE Mar'!M25/2</f>
        <v>2.6412101275790469</v>
      </c>
      <c r="N25" s="7">
        <f>'B-FTE Mar'!N25/2</f>
        <v>2.5856506912383876</v>
      </c>
      <c r="O25" s="7">
        <f>'B-FTE Mar'!O25/2</f>
        <v>0</v>
      </c>
      <c r="P25" s="7">
        <f>'B-FTE Mar'!P25/2</f>
        <v>0</v>
      </c>
      <c r="Q25" s="7">
        <f>'B-FTE Mar'!Q25/2</f>
        <v>4.4105644848892833</v>
      </c>
      <c r="R25" s="7">
        <f>'B-FTE Mar'!R25/2</f>
        <v>3.0429475903499705</v>
      </c>
      <c r="S25" s="7">
        <f>'B-FTE Mar'!S25/2</f>
        <v>4.4960405407979893</v>
      </c>
      <c r="T25" s="7">
        <f>'B-FTE Mar'!T25/2</f>
        <v>2.6839481555334008</v>
      </c>
      <c r="U25" s="7">
        <f>'B-FTE Mar'!U25/2</f>
        <v>2.7352337890786251</v>
      </c>
      <c r="V25" s="7">
        <f>'B-FTE Mar'!V25/2</f>
        <v>0</v>
      </c>
      <c r="W25" s="7">
        <f>'B-FTE Mar'!W25/2</f>
        <v>0</v>
      </c>
      <c r="X25" s="7">
        <f>'B-FTE Mar'!X25/2</f>
        <v>3.9874580081411835</v>
      </c>
      <c r="Y25" s="7">
        <f>'B-FTE Mar'!Y25/2</f>
        <v>2.8164360421918966</v>
      </c>
      <c r="Z25" s="7">
        <f>'B-FTE Mar'!Z25/2</f>
        <v>4.3165408233897047</v>
      </c>
      <c r="AA25" s="7">
        <f>'B-FTE Mar'!AA25/2</f>
        <v>2.6839481555334008</v>
      </c>
      <c r="AB25" s="7">
        <f>'B-FTE Mar'!AB25/2</f>
        <v>2.6283887191927415</v>
      </c>
      <c r="AC25" s="7">
        <f>'B-FTE Mar'!AC25/2</f>
        <v>0</v>
      </c>
      <c r="AD25" s="7">
        <f>'B-FTE Mar'!AD25/2</f>
        <v>0</v>
      </c>
      <c r="AE25" s="7">
        <f>'B-FTE Mar'!AE25/2</f>
        <v>4.2353385702764337</v>
      </c>
      <c r="AF25" s="7">
        <f>'B-FTE Mar'!AF25/2</f>
        <v>3.1369712518495483</v>
      </c>
    </row>
    <row r="26" spans="1:32" x14ac:dyDescent="0.25">
      <c r="A26" s="3" t="s">
        <v>31</v>
      </c>
      <c r="B26" s="7">
        <f>'B-FTE Mar'!B26/2</f>
        <v>0</v>
      </c>
      <c r="C26" s="7">
        <f>'B-FTE Mar'!C26/2</f>
        <v>6.026061941563845</v>
      </c>
      <c r="D26" s="7">
        <f>'B-FTE Mar'!D26/2</f>
        <v>4.3079932177988338</v>
      </c>
      <c r="E26" s="7">
        <f>'B-FTE Mar'!E26/2</f>
        <v>7.4663334836255588</v>
      </c>
      <c r="F26" s="7">
        <f>'B-FTE Mar'!F26/2</f>
        <v>3.6840180096652726</v>
      </c>
      <c r="G26" s="7">
        <f>'B-FTE Mar'!G26/2</f>
        <v>3.577172939779389</v>
      </c>
      <c r="H26" s="7">
        <f>'B-FTE Mar'!H26/2</f>
        <v>0</v>
      </c>
      <c r="I26" s="7">
        <f>'B-FTE Mar'!I26/2</f>
        <v>0</v>
      </c>
      <c r="J26" s="7">
        <f>'B-FTE Mar'!J26/2</f>
        <v>5.3123368747261415</v>
      </c>
      <c r="K26" s="7">
        <f>'B-FTE Mar'!K26/2</f>
        <v>3.6241847705291779</v>
      </c>
      <c r="L26" s="7">
        <f>'B-FTE Mar'!L26/2</f>
        <v>6.7269656000152436</v>
      </c>
      <c r="M26" s="7">
        <f>'B-FTE Mar'!M26/2</f>
        <v>3.1070546322815003</v>
      </c>
      <c r="N26" s="7">
        <f>'B-FTE Mar'!N26/2</f>
        <v>3.1156022378723716</v>
      </c>
      <c r="O26" s="7">
        <f>'B-FTE Mar'!O26/2</f>
        <v>0</v>
      </c>
      <c r="P26" s="7">
        <f>'B-FTE Mar'!P26/2</f>
        <v>0</v>
      </c>
      <c r="Q26" s="7">
        <f>'B-FTE Mar'!Q26/2</f>
        <v>5.261051241180918</v>
      </c>
      <c r="R26" s="7">
        <f>'B-FTE Mar'!R26/2</f>
        <v>3.4575064615071995</v>
      </c>
      <c r="S26" s="7">
        <f>'B-FTE Mar'!S26/2</f>
        <v>7.081691232036377</v>
      </c>
      <c r="T26" s="7">
        <f>'B-FTE Mar'!T26/2</f>
        <v>3.158340265826725</v>
      </c>
      <c r="U26" s="7">
        <f>'B-FTE Mar'!U26/2</f>
        <v>3.2780067440989145</v>
      </c>
      <c r="V26" s="7">
        <f>'B-FTE Mar'!V26/2</f>
        <v>0</v>
      </c>
      <c r="W26" s="7">
        <f>'B-FTE Mar'!W26/2</f>
        <v>0</v>
      </c>
      <c r="X26" s="7">
        <f>'B-FTE Mar'!X26/2</f>
        <v>4.9191470175460896</v>
      </c>
      <c r="Y26" s="7">
        <f>'B-FTE Mar'!Y26/2</f>
        <v>3.3207447720532679</v>
      </c>
      <c r="Z26" s="7">
        <f>'B-FTE Mar'!Z26/2</f>
        <v>6.5645610937886998</v>
      </c>
      <c r="AA26" s="7">
        <f>'B-FTE Mar'!AA26/2</f>
        <v>3.1455188574404187</v>
      </c>
      <c r="AB26" s="7">
        <f>'B-FTE Mar'!AB26/2</f>
        <v>3.0386737875545351</v>
      </c>
      <c r="AC26" s="7">
        <f>'B-FTE Mar'!AC26/2</f>
        <v>0</v>
      </c>
      <c r="AD26" s="7">
        <f>'B-FTE Mar'!AD26/2</f>
        <v>0</v>
      </c>
      <c r="AE26" s="7">
        <f>'B-FTE Mar'!AE26/2</f>
        <v>5.1841227908630811</v>
      </c>
      <c r="AF26" s="7">
        <f>'B-FTE Mar'!AF26/2</f>
        <v>3.6498275873017896</v>
      </c>
    </row>
    <row r="27" spans="1:32" x14ac:dyDescent="0.25">
      <c r="A27" s="3" t="s">
        <v>32</v>
      </c>
      <c r="B27" s="7">
        <f>'B-FTE Mar'!B27/2</f>
        <v>0</v>
      </c>
      <c r="C27" s="7">
        <f>'B-FTE Mar'!C27/2</f>
        <v>6.7483346139924203</v>
      </c>
      <c r="D27" s="7">
        <f>'B-FTE Mar'!D27/2</f>
        <v>4.6370760330473564</v>
      </c>
      <c r="E27" s="7">
        <f>'B-FTE Mar'!E27/2</f>
        <v>5.419181944612026</v>
      </c>
      <c r="F27" s="7">
        <f>'B-FTE Mar'!F27/2</f>
        <v>3.5728991369839536</v>
      </c>
      <c r="G27" s="7">
        <f>'B-FTE Mar'!G27/2</f>
        <v>3.5985419537565662</v>
      </c>
      <c r="H27" s="7">
        <f>'B-FTE Mar'!H27/2</f>
        <v>0</v>
      </c>
      <c r="I27" s="7">
        <f>'B-FTE Mar'!I27/2</f>
        <v>0</v>
      </c>
      <c r="J27" s="7">
        <f>'B-FTE Mar'!J27/2</f>
        <v>5.9705025052231857</v>
      </c>
      <c r="K27" s="7">
        <f>'B-FTE Mar'!K27/2</f>
        <v>3.8036844879374629</v>
      </c>
      <c r="L27" s="7">
        <f>'B-FTE Mar'!L27/2</f>
        <v>4.74392110293324</v>
      </c>
      <c r="M27" s="7">
        <f>'B-FTE Mar'!M27/2</f>
        <v>3.1241498434632415</v>
      </c>
      <c r="N27" s="7">
        <f>'B-FTE Mar'!N27/2</f>
        <v>3.1326974490541128</v>
      </c>
      <c r="O27" s="7">
        <f>'B-FTE Mar'!O27/2</f>
        <v>0</v>
      </c>
      <c r="P27" s="7">
        <f>'B-FTE Mar'!P27/2</f>
        <v>0</v>
      </c>
      <c r="Q27" s="7">
        <f>'B-FTE Mar'!Q27/2</f>
        <v>5.9149430688825264</v>
      </c>
      <c r="R27" s="7">
        <f>'B-FTE Mar'!R27/2</f>
        <v>3.7438512488013678</v>
      </c>
      <c r="S27" s="7">
        <f>'B-FTE Mar'!S27/2</f>
        <v>4.9875278622730557</v>
      </c>
      <c r="T27" s="7">
        <f>'B-FTE Mar'!T27/2</f>
        <v>3.0600428015317118</v>
      </c>
      <c r="U27" s="7">
        <f>'B-FTE Mar'!U27/2</f>
        <v>3.1797092798039017</v>
      </c>
      <c r="V27" s="7">
        <f>'B-FTE Mar'!V27/2</f>
        <v>0</v>
      </c>
      <c r="W27" s="7">
        <f>'B-FTE Mar'!W27/2</f>
        <v>0</v>
      </c>
      <c r="X27" s="7">
        <f>'B-FTE Mar'!X27/2</f>
        <v>5.5260270144979096</v>
      </c>
      <c r="Y27" s="7">
        <f>'B-FTE Mar'!Y27/2</f>
        <v>3.4831492782798117</v>
      </c>
      <c r="Z27" s="7">
        <f>'B-FTE Mar'!Z27/2</f>
        <v>4.7909329336830293</v>
      </c>
      <c r="AA27" s="7">
        <f>'B-FTE Mar'!AA27/2</f>
        <v>3.047221393145406</v>
      </c>
      <c r="AB27" s="7">
        <f>'B-FTE Mar'!AB27/2</f>
        <v>3.0557689987362764</v>
      </c>
      <c r="AC27" s="7">
        <f>'B-FTE Mar'!AC27/2</f>
        <v>0</v>
      </c>
      <c r="AD27" s="7">
        <f>'B-FTE Mar'!AD27/2</f>
        <v>0</v>
      </c>
      <c r="AE27" s="7">
        <f>'B-FTE Mar'!AE27/2</f>
        <v>5.8251932101783845</v>
      </c>
      <c r="AF27" s="7">
        <f>'B-FTE Mar'!AF27/2</f>
        <v>3.8293273047100751</v>
      </c>
    </row>
    <row r="28" spans="1:32" x14ac:dyDescent="0.25">
      <c r="A28" s="3" t="s">
        <v>33</v>
      </c>
      <c r="B28" s="7">
        <f>'B-FTE Mar'!B28/2</f>
        <v>0</v>
      </c>
      <c r="C28" s="7">
        <f>'B-FTE Mar'!C28/2</f>
        <v>6.8509058810828689</v>
      </c>
      <c r="D28" s="7">
        <f>'B-FTE Mar'!D28/2</f>
        <v>4.6883616665925816</v>
      </c>
      <c r="E28" s="7">
        <f>'B-FTE Mar'!E28/2</f>
        <v>4.2652551898444813</v>
      </c>
      <c r="F28" s="7">
        <f>'B-FTE Mar'!F28/2</f>
        <v>3.5301611090296006</v>
      </c>
      <c r="G28" s="7">
        <f>'B-FTE Mar'!G28/2</f>
        <v>3.6370061789154842</v>
      </c>
      <c r="H28" s="7">
        <f>'B-FTE Mar'!H28/2</f>
        <v>0</v>
      </c>
      <c r="I28" s="7">
        <f>'B-FTE Mar'!I28/2</f>
        <v>0</v>
      </c>
      <c r="J28" s="7">
        <f>'B-FTE Mar'!J28/2</f>
        <v>6.1927402505858238</v>
      </c>
      <c r="K28" s="7">
        <f>'B-FTE Mar'!K28/2</f>
        <v>3.8250535019146392</v>
      </c>
      <c r="L28" s="7">
        <f>'B-FTE Mar'!L28/2</f>
        <v>3.8549701214826868</v>
      </c>
      <c r="M28" s="7">
        <f>'B-FTE Mar'!M28/2</f>
        <v>3.1797092798039017</v>
      </c>
      <c r="N28" s="7">
        <f>'B-FTE Mar'!N28/2</f>
        <v>3.1455188574404187</v>
      </c>
      <c r="O28" s="7">
        <f>'B-FTE Mar'!O28/2</f>
        <v>0</v>
      </c>
      <c r="P28" s="7">
        <f>'B-FTE Mar'!P28/2</f>
        <v>0</v>
      </c>
      <c r="Q28" s="7">
        <f>'B-FTE Mar'!Q28/2</f>
        <v>6.1371808142451645</v>
      </c>
      <c r="R28" s="7">
        <f>'B-FTE Mar'!R28/2</f>
        <v>3.6370061789154842</v>
      </c>
      <c r="S28" s="7">
        <f>'B-FTE Mar'!S28/2</f>
        <v>4.0515650500727132</v>
      </c>
      <c r="T28" s="7">
        <f>'B-FTE Mar'!T28/2</f>
        <v>3.1198760406678065</v>
      </c>
      <c r="U28" s="7">
        <f>'B-FTE Mar'!U28/2</f>
        <v>3.3164709692578325</v>
      </c>
      <c r="V28" s="7">
        <f>'B-FTE Mar'!V28/2</f>
        <v>0</v>
      </c>
      <c r="W28" s="7">
        <f>'B-FTE Mar'!W28/2</f>
        <v>0</v>
      </c>
      <c r="X28" s="7">
        <f>'B-FTE Mar'!X28/2</f>
        <v>5.7354433514742418</v>
      </c>
      <c r="Y28" s="7">
        <f>'B-FTE Mar'!Y28/2</f>
        <v>3.4959706866661171</v>
      </c>
      <c r="Z28" s="7">
        <f>'B-FTE Mar'!Z28/2</f>
        <v>3.7609464599831095</v>
      </c>
      <c r="AA28" s="7">
        <f>'B-FTE Mar'!AA28/2</f>
        <v>3.1070546322815003</v>
      </c>
      <c r="AB28" s="7">
        <f>'B-FTE Mar'!AB28/2</f>
        <v>3.0728642099180181</v>
      </c>
      <c r="AC28" s="7">
        <f>'B-FTE Mar'!AC28/2</f>
        <v>0</v>
      </c>
      <c r="AD28" s="7">
        <f>'B-FTE Mar'!AD28/2</f>
        <v>0</v>
      </c>
      <c r="AE28" s="7">
        <f>'B-FTE Mar'!AE28/2</f>
        <v>5.8893002521099138</v>
      </c>
      <c r="AF28" s="7">
        <f>'B-FTE Mar'!AF28/2</f>
        <v>3.8506963186872514</v>
      </c>
    </row>
    <row r="29" spans="1:32" x14ac:dyDescent="0.25">
      <c r="A29" s="3" t="s">
        <v>34</v>
      </c>
      <c r="B29" s="7">
        <f>'B-FTE Mar'!B29/2</f>
        <v>0</v>
      </c>
      <c r="C29" s="7">
        <f>'B-FTE Mar'!C29/2</f>
        <v>6.8081678531285146</v>
      </c>
      <c r="D29" s="7">
        <f>'B-FTE Mar'!D29/2</f>
        <v>4.9618850455004422</v>
      </c>
      <c r="E29" s="7">
        <f>'B-FTE Mar'!E29/2</f>
        <v>4.73537349734237</v>
      </c>
      <c r="F29" s="7">
        <f>'B-FTE Mar'!F29/2</f>
        <v>3.8250535019146392</v>
      </c>
      <c r="G29" s="7">
        <f>'B-FTE Mar'!G29/2</f>
        <v>4.1840529367312085</v>
      </c>
      <c r="H29" s="7">
        <f>'B-FTE Mar'!H29/2</f>
        <v>0</v>
      </c>
      <c r="I29" s="7">
        <f>'B-FTE Mar'!I29/2</f>
        <v>0</v>
      </c>
      <c r="J29" s="7">
        <f>'B-FTE Mar'!J29/2</f>
        <v>6.017514335972975</v>
      </c>
      <c r="K29" s="7">
        <f>'B-FTE Mar'!K29/2</f>
        <v>4.0430174444818423</v>
      </c>
      <c r="L29" s="7">
        <f>'B-FTE Mar'!L29/2</f>
        <v>4.2780765982307871</v>
      </c>
      <c r="M29" s="7">
        <f>'B-FTE Mar'!M29/2</f>
        <v>3.3378399832350092</v>
      </c>
      <c r="N29" s="7">
        <f>'B-FTE Mar'!N29/2</f>
        <v>3.6370061789154842</v>
      </c>
      <c r="O29" s="7">
        <f>'B-FTE Mar'!O29/2</f>
        <v>0</v>
      </c>
      <c r="P29" s="7">
        <f>'B-FTE Mar'!P29/2</f>
        <v>0</v>
      </c>
      <c r="Q29" s="7">
        <f>'B-FTE Mar'!Q29/2</f>
        <v>5.9619548996323157</v>
      </c>
      <c r="R29" s="7">
        <f>'B-FTE Mar'!R29/2</f>
        <v>3.8464225158918164</v>
      </c>
      <c r="S29" s="7">
        <f>'B-FTE Mar'!S29/2</f>
        <v>4.5003143435934252</v>
      </c>
      <c r="T29" s="7">
        <f>'B-FTE Mar'!T29/2</f>
        <v>3.273732941303479</v>
      </c>
      <c r="U29" s="7">
        <f>'B-FTE Mar'!U29/2</f>
        <v>3.6925656152561439</v>
      </c>
      <c r="V29" s="7">
        <f>'B-FTE Mar'!V29/2</f>
        <v>0</v>
      </c>
      <c r="W29" s="7">
        <f>'B-FTE Mar'!W29/2</f>
        <v>0</v>
      </c>
      <c r="X29" s="7">
        <f>'B-FTE Mar'!X29/2</f>
        <v>5.5730388452476989</v>
      </c>
      <c r="Y29" s="7">
        <f>'B-FTE Mar'!Y29/2</f>
        <v>3.6925656152561439</v>
      </c>
      <c r="Z29" s="7">
        <f>'B-FTE Mar'!Z29/2</f>
        <v>4.3165408233897047</v>
      </c>
      <c r="AA29" s="7">
        <f>'B-FTE Mar'!AA29/2</f>
        <v>3.2609115329171732</v>
      </c>
      <c r="AB29" s="7">
        <f>'B-FTE Mar'!AB29/2</f>
        <v>3.5472563202113423</v>
      </c>
      <c r="AC29" s="7">
        <f>'B-FTE Mar'!AC29/2</f>
        <v>0</v>
      </c>
      <c r="AD29" s="7">
        <f>'B-FTE Mar'!AD29/2</f>
        <v>0</v>
      </c>
      <c r="AE29" s="7">
        <f>'B-FTE Mar'!AE29/2</f>
        <v>5.7226219430879359</v>
      </c>
      <c r="AF29" s="7">
        <f>'B-FTE Mar'!AF29/2</f>
        <v>4.0729340640498899</v>
      </c>
    </row>
    <row r="30" spans="1:32" x14ac:dyDescent="0.25">
      <c r="A30" s="3" t="s">
        <v>35</v>
      </c>
      <c r="B30" s="7">
        <f>'B-FTE Mar'!B30/2</f>
        <v>0</v>
      </c>
      <c r="C30" s="7">
        <f>'B-FTE Mar'!C30/2</f>
        <v>6.7697036279695961</v>
      </c>
      <c r="D30" s="7">
        <f>'B-FTE Mar'!D30/2</f>
        <v>5.04736110140915</v>
      </c>
      <c r="E30" s="7">
        <f>'B-FTE Mar'!E30/2</f>
        <v>4.9533374399095731</v>
      </c>
      <c r="F30" s="7">
        <f>'B-FTE Mar'!F30/2</f>
        <v>3.9361723745959591</v>
      </c>
      <c r="G30" s="7">
        <f>'B-FTE Mar'!G30/2</f>
        <v>4.6413498358427923</v>
      </c>
      <c r="H30" s="7">
        <f>'B-FTE Mar'!H30/2</f>
        <v>0</v>
      </c>
      <c r="I30" s="7">
        <f>'B-FTE Mar'!I30/2</f>
        <v>0</v>
      </c>
      <c r="J30" s="7">
        <f>'B-FTE Mar'!J30/2</f>
        <v>6.1371808142451645</v>
      </c>
      <c r="K30" s="7">
        <f>'B-FTE Mar'!K30/2</f>
        <v>4.0900292752316316</v>
      </c>
      <c r="L30" s="7">
        <f>'B-FTE Mar'!L30/2</f>
        <v>4.3379098373668823</v>
      </c>
      <c r="M30" s="7">
        <f>'B-FTE Mar'!M30/2</f>
        <v>3.4361374475300224</v>
      </c>
      <c r="N30" s="7">
        <f>'B-FTE Mar'!N30/2</f>
        <v>4.0430174444818423</v>
      </c>
      <c r="O30" s="7">
        <f>'B-FTE Mar'!O30/2</f>
        <v>0</v>
      </c>
      <c r="P30" s="7">
        <f>'B-FTE Mar'!P30/2</f>
        <v>0</v>
      </c>
      <c r="Q30" s="7">
        <f>'B-FTE Mar'!Q30/2</f>
        <v>5.9277644772688323</v>
      </c>
      <c r="R30" s="7">
        <f>'B-FTE Mar'!R30/2</f>
        <v>4.0131008249137956</v>
      </c>
      <c r="S30" s="7">
        <f>'B-FTE Mar'!S30/2</f>
        <v>4.5601475827295204</v>
      </c>
      <c r="T30" s="7">
        <f>'B-FTE Mar'!T30/2</f>
        <v>3.4959706866661171</v>
      </c>
      <c r="U30" s="7">
        <f>'B-FTE Mar'!U30/2</f>
        <v>4.1113982892088083</v>
      </c>
      <c r="V30" s="7">
        <f>'B-FTE Mar'!V30/2</f>
        <v>0</v>
      </c>
      <c r="W30" s="7">
        <f>'B-FTE Mar'!W30/2</f>
        <v>0</v>
      </c>
      <c r="X30" s="7">
        <f>'B-FTE Mar'!X30/2</f>
        <v>5.5388484228842154</v>
      </c>
      <c r="Y30" s="7">
        <f>'B-FTE Mar'!Y30/2</f>
        <v>3.7224822348241915</v>
      </c>
      <c r="Z30" s="7">
        <f>'B-FTE Mar'!Z30/2</f>
        <v>4.3806478653212357</v>
      </c>
      <c r="AA30" s="7">
        <f>'B-FTE Mar'!AA30/2</f>
        <v>3.4746016726889408</v>
      </c>
      <c r="AB30" s="7">
        <f>'B-FTE Mar'!AB30/2</f>
        <v>3.948993782982265</v>
      </c>
      <c r="AC30" s="7">
        <f>'B-FTE Mar'!AC30/2</f>
        <v>0</v>
      </c>
      <c r="AD30" s="7">
        <f>'B-FTE Mar'!AD30/2</f>
        <v>0</v>
      </c>
      <c r="AE30" s="7">
        <f>'B-FTE Mar'!AE30/2</f>
        <v>5.8380146185646904</v>
      </c>
      <c r="AF30" s="7">
        <f>'B-FTE Mar'!AF30/2</f>
        <v>4.1199458947996783</v>
      </c>
    </row>
    <row r="31" spans="1:32" x14ac:dyDescent="0.25">
      <c r="A31" s="3" t="s">
        <v>36</v>
      </c>
      <c r="B31" s="7">
        <f>'B-FTE Mar'!B31/2</f>
        <v>0</v>
      </c>
      <c r="C31" s="7">
        <f>'B-FTE Mar'!C31/2</f>
        <v>7.5689047507160074</v>
      </c>
      <c r="D31" s="7">
        <f>'B-FTE Mar'!D31/2</f>
        <v>5.4533723669755085</v>
      </c>
      <c r="E31" s="7">
        <f>'B-FTE Mar'!E31/2</f>
        <v>4.7182782861606274</v>
      </c>
      <c r="F31" s="7">
        <f>'B-FTE Mar'!F31/2</f>
        <v>4.0430174444818423</v>
      </c>
      <c r="G31" s="7">
        <f>'B-FTE Mar'!G31/2</f>
        <v>5.0345396930228441</v>
      </c>
      <c r="H31" s="7">
        <f>'B-FTE Mar'!H31/2</f>
        <v>0</v>
      </c>
      <c r="I31" s="7">
        <f>'B-FTE Mar'!I31/2</f>
        <v>0</v>
      </c>
      <c r="J31" s="7">
        <f>'B-FTE Mar'!J31/2</f>
        <v>6.7098703888335018</v>
      </c>
      <c r="K31" s="7">
        <f>'B-FTE Mar'!K31/2</f>
        <v>4.4105644848892833</v>
      </c>
      <c r="L31" s="7">
        <f>'B-FTE Mar'!L31/2</f>
        <v>4.2652551898444813</v>
      </c>
      <c r="M31" s="7">
        <f>'B-FTE Mar'!M31/2</f>
        <v>3.5344349118250356</v>
      </c>
      <c r="N31" s="7">
        <f>'B-FTE Mar'!N31/2</f>
        <v>4.3891954709121057</v>
      </c>
      <c r="O31" s="7">
        <f>'B-FTE Mar'!O31/2</f>
        <v>0</v>
      </c>
      <c r="P31" s="7">
        <f>'B-FTE Mar'!P31/2</f>
        <v>0</v>
      </c>
      <c r="Q31" s="7">
        <f>'B-FTE Mar'!Q31/2</f>
        <v>6.6500371496974076</v>
      </c>
      <c r="R31" s="7">
        <f>'B-FTE Mar'!R31/2</f>
        <v>4.3293622317760114</v>
      </c>
      <c r="S31" s="7">
        <f>'B-FTE Mar'!S31/2</f>
        <v>4.4789453296162485</v>
      </c>
      <c r="T31" s="7">
        <f>'B-FTE Mar'!T31/2</f>
        <v>3.5899943481656953</v>
      </c>
      <c r="U31" s="7">
        <f>'B-FTE Mar'!U31/2</f>
        <v>4.6199808218656155</v>
      </c>
      <c r="V31" s="7">
        <f>'B-FTE Mar'!V31/2</f>
        <v>0</v>
      </c>
      <c r="W31" s="7">
        <f>'B-FTE Mar'!W31/2</f>
        <v>0</v>
      </c>
      <c r="X31" s="7">
        <f>'B-FTE Mar'!X31/2</f>
        <v>6.2183830673584373</v>
      </c>
      <c r="Y31" s="7">
        <f>'B-FTE Mar'!Y31/2</f>
        <v>4.0131008249137956</v>
      </c>
      <c r="Z31" s="7">
        <f>'B-FTE Mar'!Z31/2</f>
        <v>4.3037194150033988</v>
      </c>
      <c r="AA31" s="7">
        <f>'B-FTE Mar'!AA31/2</f>
        <v>3.5728991369839536</v>
      </c>
      <c r="AB31" s="7">
        <f>'B-FTE Mar'!AB31/2</f>
        <v>4.2823504010262221</v>
      </c>
      <c r="AC31" s="7">
        <f>'B-FTE Mar'!AC31/2</f>
        <v>0</v>
      </c>
      <c r="AD31" s="7">
        <f>'B-FTE Mar'!AD31/2</f>
        <v>0</v>
      </c>
      <c r="AE31" s="7">
        <f>'B-FTE Mar'!AE31/2</f>
        <v>6.5474658826069581</v>
      </c>
      <c r="AF31" s="7">
        <f>'B-FTE Mar'!AF31/2</f>
        <v>4.590064202297568</v>
      </c>
    </row>
    <row r="32" spans="1:32" x14ac:dyDescent="0.25">
      <c r="A32" s="3" t="s">
        <v>37</v>
      </c>
      <c r="B32" s="7">
        <f>'B-FTE Mar'!B32/2</f>
        <v>0</v>
      </c>
      <c r="C32" s="7">
        <f>'B-FTE Mar'!C32/2</f>
        <v>9.0390929123457671</v>
      </c>
      <c r="D32" s="7">
        <f>'B-FTE Mar'!D32/2</f>
        <v>5.641419689974664</v>
      </c>
      <c r="E32" s="7">
        <f>'B-FTE Mar'!E32/2</f>
        <v>4.4276596960710242</v>
      </c>
      <c r="F32" s="7">
        <f>'B-FTE Mar'!F32/2</f>
        <v>4.0943030780270666</v>
      </c>
      <c r="G32" s="7">
        <f>'B-FTE Mar'!G32/2</f>
        <v>5.04736110140915</v>
      </c>
      <c r="H32" s="7">
        <f>'B-FTE Mar'!H32/2</f>
        <v>0</v>
      </c>
      <c r="I32" s="7">
        <f>'B-FTE Mar'!I32/2</f>
        <v>0</v>
      </c>
      <c r="J32" s="7">
        <f>'B-FTE Mar'!J32/2</f>
        <v>8.0048326358504127</v>
      </c>
      <c r="K32" s="7">
        <f>'B-FTE Mar'!K32/2</f>
        <v>4.6840878637971457</v>
      </c>
      <c r="L32" s="7">
        <f>'B-FTE Mar'!L32/2</f>
        <v>3.8421487130963814</v>
      </c>
      <c r="M32" s="7">
        <f>'B-FTE Mar'!M32/2</f>
        <v>3.5728991369839536</v>
      </c>
      <c r="N32" s="7">
        <f>'B-FTE Mar'!N32/2</f>
        <v>4.3806478653212357</v>
      </c>
      <c r="O32" s="7">
        <f>'B-FTE Mar'!O32/2</f>
        <v>0</v>
      </c>
      <c r="P32" s="7">
        <f>'B-FTE Mar'!P32/2</f>
        <v>0</v>
      </c>
      <c r="Q32" s="7">
        <f>'B-FTE Mar'!Q32/2</f>
        <v>7.9321779883280126</v>
      </c>
      <c r="R32" s="7">
        <f>'B-FTE Mar'!R32/2</f>
        <v>4.436207301661895</v>
      </c>
      <c r="S32" s="7">
        <f>'B-FTE Mar'!S32/2</f>
        <v>4.1926005423220802</v>
      </c>
      <c r="T32" s="7">
        <f>'B-FTE Mar'!T32/2</f>
        <v>3.504518292256988</v>
      </c>
      <c r="U32" s="7">
        <f>'B-FTE Mar'!U32/2</f>
        <v>4.6157070190701797</v>
      </c>
      <c r="V32" s="7">
        <f>'B-FTE Mar'!V32/2</f>
        <v>0</v>
      </c>
      <c r="W32" s="7">
        <f>'B-FTE Mar'!W32/2</f>
        <v>0</v>
      </c>
      <c r="X32" s="7">
        <f>'B-FTE Mar'!X32/2</f>
        <v>7.218452921490309</v>
      </c>
      <c r="Y32" s="7">
        <f>'B-FTE Mar'!Y32/2</f>
        <v>4.2609813870490454</v>
      </c>
      <c r="Z32" s="7">
        <f>'B-FTE Mar'!Z32/2</f>
        <v>3.8891605438461694</v>
      </c>
      <c r="AA32" s="7">
        <f>'B-FTE Mar'!AA32/2</f>
        <v>3.4874230810752471</v>
      </c>
      <c r="AB32" s="7">
        <f>'B-FTE Mar'!AB32/2</f>
        <v>4.2738027954353512</v>
      </c>
      <c r="AC32" s="7">
        <f>'B-FTE Mar'!AC32/2</f>
        <v>0</v>
      </c>
      <c r="AD32" s="7">
        <f>'B-FTE Mar'!AD32/2</f>
        <v>0</v>
      </c>
      <c r="AE32" s="7">
        <f>'B-FTE Mar'!AE32/2</f>
        <v>7.61164277867036</v>
      </c>
      <c r="AF32" s="7">
        <f>'B-FTE Mar'!AF32/2</f>
        <v>4.7225520889560642</v>
      </c>
    </row>
    <row r="33" spans="1:32" x14ac:dyDescent="0.25">
      <c r="A33" s="3" t="s">
        <v>38</v>
      </c>
      <c r="B33" s="7">
        <f>'B-FTE Mar'!B33/2</f>
        <v>0</v>
      </c>
      <c r="C33" s="7">
        <f>'B-FTE Mar'!C33/2</f>
        <v>9.7399965707971656</v>
      </c>
      <c r="D33" s="7">
        <f>'B-FTE Mar'!D33/2</f>
        <v>5.7397171542696777</v>
      </c>
      <c r="E33" s="7">
        <f>'B-FTE Mar'!E33/2</f>
        <v>4.3849216681166698</v>
      </c>
      <c r="F33" s="7">
        <f>'B-FTE Mar'!F33/2</f>
        <v>4.2652551898444813</v>
      </c>
      <c r="G33" s="7">
        <f>'B-FTE Mar'!G33/2</f>
        <v>4.9875278622730557</v>
      </c>
      <c r="H33" s="7">
        <f>'B-FTE Mar'!H33/2</f>
        <v>0</v>
      </c>
      <c r="I33" s="7">
        <f>'B-FTE Mar'!I33/2</f>
        <v>0</v>
      </c>
      <c r="J33" s="7">
        <f>'B-FTE Mar'!J33/2</f>
        <v>8.5946174216204909</v>
      </c>
      <c r="K33" s="7">
        <f>'B-FTE Mar'!K33/2</f>
        <v>4.6028856106838738</v>
      </c>
      <c r="L33" s="7">
        <f>'B-FTE Mar'!L33/2</f>
        <v>3.7609464599831095</v>
      </c>
      <c r="M33" s="7">
        <f>'B-FTE Mar'!M33/2</f>
        <v>3.5643515313930831</v>
      </c>
      <c r="N33" s="7">
        <f>'B-FTE Mar'!N33/2</f>
        <v>4.4490287100482009</v>
      </c>
      <c r="O33" s="7">
        <f>'B-FTE Mar'!O33/2</f>
        <v>0</v>
      </c>
      <c r="P33" s="7">
        <f>'B-FTE Mar'!P33/2</f>
        <v>0</v>
      </c>
      <c r="Q33" s="7">
        <f>'B-FTE Mar'!Q33/2</f>
        <v>8.5134151685072208</v>
      </c>
      <c r="R33" s="7">
        <f>'B-FTE Mar'!R33/2</f>
        <v>4.517409554775166</v>
      </c>
      <c r="S33" s="7">
        <f>'B-FTE Mar'!S33/2</f>
        <v>4.1327673031859851</v>
      </c>
      <c r="T33" s="7">
        <f>'B-FTE Mar'!T33/2</f>
        <v>3.6199109677337433</v>
      </c>
      <c r="U33" s="7">
        <f>'B-FTE Mar'!U33/2</f>
        <v>4.5216833575706019</v>
      </c>
      <c r="V33" s="7">
        <f>'B-FTE Mar'!V33/2</f>
        <v>0</v>
      </c>
      <c r="W33" s="7">
        <f>'B-FTE Mar'!W33/2</f>
        <v>0</v>
      </c>
      <c r="X33" s="7">
        <f>'B-FTE Mar'!X33/2</f>
        <v>7.9492731995097543</v>
      </c>
      <c r="Y33" s="7">
        <f>'B-FTE Mar'!Y33/2</f>
        <v>4.1797791339357735</v>
      </c>
      <c r="Z33" s="7">
        <f>'B-FTE Mar'!Z33/2</f>
        <v>3.8250535019146392</v>
      </c>
      <c r="AA33" s="7">
        <f>'B-FTE Mar'!AA33/2</f>
        <v>3.6156371649383079</v>
      </c>
      <c r="AB33" s="7">
        <f>'B-FTE Mar'!AB33/2</f>
        <v>4.3421836401623164</v>
      </c>
      <c r="AC33" s="7">
        <f>'B-FTE Mar'!AC33/2</f>
        <v>0</v>
      </c>
      <c r="AD33" s="7">
        <f>'B-FTE Mar'!AD33/2</f>
        <v>0</v>
      </c>
      <c r="AE33" s="7">
        <f>'B-FTE Mar'!AE33/2</f>
        <v>8.3852010846441605</v>
      </c>
      <c r="AF33" s="7">
        <f>'B-FTE Mar'!AF33/2</f>
        <v>4.808028144864771</v>
      </c>
    </row>
    <row r="34" spans="1:32" x14ac:dyDescent="0.25">
      <c r="A34" s="3" t="s">
        <v>39</v>
      </c>
      <c r="B34" s="7">
        <f>'B-FTE Mar'!B34/2</f>
        <v>0</v>
      </c>
      <c r="C34" s="7">
        <f>'B-FTE Mar'!C34/2</f>
        <v>9.6716157260702005</v>
      </c>
      <c r="D34" s="7">
        <f>'B-FTE Mar'!D34/2</f>
        <v>5.3337058887033191</v>
      </c>
      <c r="E34" s="7">
        <f>'B-FTE Mar'!E34/2</f>
        <v>4.6242546246610505</v>
      </c>
      <c r="F34" s="7">
        <f>'B-FTE Mar'!F34/2</f>
        <v>3.7823154739602858</v>
      </c>
      <c r="G34" s="7">
        <f>'B-FTE Mar'!G34/2</f>
        <v>4.7652901169104176</v>
      </c>
      <c r="H34" s="7">
        <f>'B-FTE Mar'!H34/2</f>
        <v>0</v>
      </c>
      <c r="I34" s="7">
        <f>'B-FTE Mar'!I34/2</f>
        <v>0</v>
      </c>
      <c r="J34" s="7">
        <f>'B-FTE Mar'!J34/2</f>
        <v>8.7100100970972463</v>
      </c>
      <c r="K34" s="7">
        <f>'B-FTE Mar'!K34/2</f>
        <v>4.4062906820938474</v>
      </c>
      <c r="L34" s="7">
        <f>'B-FTE Mar'!L34/2</f>
        <v>4.0900292752316316</v>
      </c>
      <c r="M34" s="7">
        <f>'B-FTE Mar'!M34/2</f>
        <v>3.2523639273263023</v>
      </c>
      <c r="N34" s="7">
        <f>'B-FTE Mar'!N34/2</f>
        <v>4.2353385702764337</v>
      </c>
      <c r="O34" s="7">
        <f>'B-FTE Mar'!O34/2</f>
        <v>0</v>
      </c>
      <c r="P34" s="7">
        <f>'B-FTE Mar'!P34/2</f>
        <v>0</v>
      </c>
      <c r="Q34" s="7">
        <f>'B-FTE Mar'!Q34/2</f>
        <v>8.6159864355976676</v>
      </c>
      <c r="R34" s="7">
        <f>'B-FTE Mar'!R34/2</f>
        <v>4.3208146261851406</v>
      </c>
      <c r="S34" s="7">
        <f>'B-FTE Mar'!S34/2</f>
        <v>4.3293622317760114</v>
      </c>
      <c r="T34" s="7">
        <f>'B-FTE Mar'!T34/2</f>
        <v>3.3036495608715271</v>
      </c>
      <c r="U34" s="7">
        <f>'B-FTE Mar'!U34/2</f>
        <v>4.4746715268208126</v>
      </c>
      <c r="V34" s="7">
        <f>'B-FTE Mar'!V34/2</f>
        <v>0</v>
      </c>
      <c r="W34" s="7">
        <f>'B-FTE Mar'!W34/2</f>
        <v>0</v>
      </c>
      <c r="X34" s="7">
        <f>'B-FTE Mar'!X34/2</f>
        <v>8.0390230582138962</v>
      </c>
      <c r="Y34" s="7">
        <f>'B-FTE Mar'!Y34/2</f>
        <v>4.0002794165274889</v>
      </c>
      <c r="Z34" s="7">
        <f>'B-FTE Mar'!Z34/2</f>
        <v>4.1626839227540327</v>
      </c>
      <c r="AA34" s="7">
        <f>'B-FTE Mar'!AA34/2</f>
        <v>3.1711616742130309</v>
      </c>
      <c r="AB34" s="7">
        <f>'B-FTE Mar'!AB34/2</f>
        <v>4.1327673031859851</v>
      </c>
      <c r="AC34" s="7">
        <f>'B-FTE Mar'!AC34/2</f>
        <v>0</v>
      </c>
      <c r="AD34" s="7">
        <f>'B-FTE Mar'!AD34/2</f>
        <v>0</v>
      </c>
      <c r="AE34" s="7">
        <f>'B-FTE Mar'!AE34/2</f>
        <v>8.4963199573254791</v>
      </c>
      <c r="AF34" s="7">
        <f>'B-FTE Mar'!AF34/2</f>
        <v>4.4490287100482009</v>
      </c>
    </row>
    <row r="35" spans="1:32" x14ac:dyDescent="0.25">
      <c r="A35" s="3" t="s">
        <v>40</v>
      </c>
      <c r="B35" s="7">
        <f>'B-FTE Mar'!B35/2</f>
        <v>0</v>
      </c>
      <c r="C35" s="7">
        <f>'B-FTE Mar'!C35/2</f>
        <v>9.9494129077734978</v>
      </c>
      <c r="D35" s="7">
        <f>'B-FTE Mar'!D35/2</f>
        <v>5.3208844803170123</v>
      </c>
      <c r="E35" s="7">
        <f>'B-FTE Mar'!E35/2</f>
        <v>4.7952067364784643</v>
      </c>
      <c r="F35" s="7">
        <f>'B-FTE Mar'!F35/2</f>
        <v>3.3164709692578325</v>
      </c>
      <c r="G35" s="7">
        <f>'B-FTE Mar'!G35/2</f>
        <v>5.2311346216128705</v>
      </c>
      <c r="H35" s="7">
        <f>'B-FTE Mar'!H35/2</f>
        <v>0</v>
      </c>
      <c r="I35" s="7">
        <f>'B-FTE Mar'!I35/2</f>
        <v>0</v>
      </c>
      <c r="J35" s="7">
        <f>'B-FTE Mar'!J35/2</f>
        <v>8.9835334760051087</v>
      </c>
      <c r="K35" s="7">
        <f>'B-FTE Mar'!K35/2</f>
        <v>4.3037194150033988</v>
      </c>
      <c r="L35" s="7">
        <f>'B-FTE Mar'!L35/2</f>
        <v>4.2567075842536104</v>
      </c>
      <c r="M35" s="7">
        <f>'B-FTE Mar'!M35/2</f>
        <v>2.9574715344412632</v>
      </c>
      <c r="N35" s="7">
        <f>'B-FTE Mar'!N35/2</f>
        <v>4.5088619491842961</v>
      </c>
      <c r="O35" s="7">
        <f>'B-FTE Mar'!O35/2</f>
        <v>0</v>
      </c>
      <c r="P35" s="7">
        <f>'B-FTE Mar'!P35/2</f>
        <v>0</v>
      </c>
      <c r="Q35" s="7">
        <f>'B-FTE Mar'!Q35/2</f>
        <v>8.6544506607565879</v>
      </c>
      <c r="R35" s="7">
        <f>'B-FTE Mar'!R35/2</f>
        <v>4.2310647674809978</v>
      </c>
      <c r="S35" s="7">
        <f>'B-FTE Mar'!S35/2</f>
        <v>4.5045881463888602</v>
      </c>
      <c r="T35" s="7">
        <f>'B-FTE Mar'!T35/2</f>
        <v>2.8805430841234267</v>
      </c>
      <c r="U35" s="7">
        <f>'B-FTE Mar'!U35/2</f>
        <v>4.7567425113195467</v>
      </c>
      <c r="V35" s="7">
        <f>'B-FTE Mar'!V35/2</f>
        <v>0</v>
      </c>
      <c r="W35" s="7">
        <f>'B-FTE Mar'!W35/2</f>
        <v>0</v>
      </c>
      <c r="X35" s="7">
        <f>'B-FTE Mar'!X35/2</f>
        <v>8.0774872833728129</v>
      </c>
      <c r="Y35" s="7">
        <f>'B-FTE Mar'!Y35/2</f>
        <v>3.9233509662096528</v>
      </c>
      <c r="Z35" s="7">
        <f>'B-FTE Mar'!Z35/2</f>
        <v>4.3250884289805756</v>
      </c>
      <c r="AA35" s="7">
        <f>'B-FTE Mar'!AA35/2</f>
        <v>2.8848168869188622</v>
      </c>
      <c r="AB35" s="7">
        <f>'B-FTE Mar'!AB35/2</f>
        <v>4.4020168792984125</v>
      </c>
      <c r="AC35" s="7">
        <f>'B-FTE Mar'!AC35/2</f>
        <v>0</v>
      </c>
      <c r="AD35" s="7">
        <f>'B-FTE Mar'!AD35/2</f>
        <v>0</v>
      </c>
      <c r="AE35" s="7">
        <f>'B-FTE Mar'!AE35/2</f>
        <v>8.5347841824843957</v>
      </c>
      <c r="AF35" s="7">
        <f>'B-FTE Mar'!AF35/2</f>
        <v>4.3421836401623164</v>
      </c>
    </row>
    <row r="36" spans="1:32" x14ac:dyDescent="0.25">
      <c r="A36" s="3" t="s">
        <v>41</v>
      </c>
      <c r="B36" s="7">
        <f>'B-FTE Mar'!B36/2</f>
        <v>0</v>
      </c>
      <c r="C36" s="7">
        <f>'B-FTE Mar'!C36/2</f>
        <v>10.308412342590069</v>
      </c>
      <c r="D36" s="7">
        <f>'B-FTE Mar'!D36/2</f>
        <v>5.3550749026804949</v>
      </c>
      <c r="E36" s="7">
        <f>'B-FTE Mar'!E36/2</f>
        <v>5.1413847629087277</v>
      </c>
      <c r="F36" s="7">
        <f>'B-FTE Mar'!F36/2</f>
        <v>3.2309949133491256</v>
      </c>
      <c r="G36" s="7">
        <f>'B-FTE Mar'!G36/2</f>
        <v>5.867931238132738</v>
      </c>
      <c r="H36" s="7">
        <f>'B-FTE Mar'!H36/2</f>
        <v>0</v>
      </c>
      <c r="I36" s="7">
        <f>'B-FTE Mar'!I36/2</f>
        <v>0</v>
      </c>
      <c r="J36" s="7">
        <f>'B-FTE Mar'!J36/2</f>
        <v>9.1202951654590407</v>
      </c>
      <c r="K36" s="7">
        <f>'B-FTE Mar'!K36/2</f>
        <v>4.3592788513440581</v>
      </c>
      <c r="L36" s="7">
        <f>'B-FTE Mar'!L36/2</f>
        <v>4.6028856106838738</v>
      </c>
      <c r="M36" s="7">
        <f>'B-FTE Mar'!M36/2</f>
        <v>2.8762692813279918</v>
      </c>
      <c r="N36" s="7">
        <f>'B-FTE Mar'!N36/2</f>
        <v>5.0815515237726334</v>
      </c>
      <c r="O36" s="7">
        <f>'B-FTE Mar'!O36/2</f>
        <v>0</v>
      </c>
      <c r="P36" s="7">
        <f>'B-FTE Mar'!P36/2</f>
        <v>0</v>
      </c>
      <c r="Q36" s="7">
        <f>'B-FTE Mar'!Q36/2</f>
        <v>9.0348191095503321</v>
      </c>
      <c r="R36" s="7">
        <f>'B-FTE Mar'!R36/2</f>
        <v>4.141314908776855</v>
      </c>
      <c r="S36" s="7">
        <f>'B-FTE Mar'!S36/2</f>
        <v>4.8550399756145595</v>
      </c>
      <c r="T36" s="7">
        <f>'B-FTE Mar'!T36/2</f>
        <v>2.9275549148732156</v>
      </c>
      <c r="U36" s="7">
        <f>'B-FTE Mar'!U36/2</f>
        <v>5.3636225082713667</v>
      </c>
      <c r="V36" s="7">
        <f>'B-FTE Mar'!V36/2</f>
        <v>0</v>
      </c>
      <c r="W36" s="7">
        <f>'B-FTE Mar'!W36/2</f>
        <v>0</v>
      </c>
      <c r="X36" s="7">
        <f>'B-FTE Mar'!X36/2</f>
        <v>8.2227965784176167</v>
      </c>
      <c r="Y36" s="7">
        <f>'B-FTE Mar'!Y36/2</f>
        <v>3.9789104025503126</v>
      </c>
      <c r="Z36" s="7">
        <f>'B-FTE Mar'!Z36/2</f>
        <v>4.6627188498199681</v>
      </c>
      <c r="AA36" s="7">
        <f>'B-FTE Mar'!AA36/2</f>
        <v>2.8121622393964611</v>
      </c>
      <c r="AB36" s="7">
        <f>'B-FTE Mar'!AB36/2</f>
        <v>4.9618850455004422</v>
      </c>
      <c r="AC36" s="7">
        <f>'B-FTE Mar'!AC36/2</f>
        <v>0</v>
      </c>
      <c r="AD36" s="7">
        <f>'B-FTE Mar'!AD36/2</f>
        <v>0</v>
      </c>
      <c r="AE36" s="7">
        <f>'B-FTE Mar'!AE36/2</f>
        <v>8.6715458719383278</v>
      </c>
      <c r="AF36" s="7">
        <f>'B-FTE Mar'!AF36/2</f>
        <v>4.3891954709121057</v>
      </c>
    </row>
    <row r="37" spans="1:32" x14ac:dyDescent="0.25">
      <c r="A37" s="3" t="s">
        <v>42</v>
      </c>
      <c r="B37" s="7">
        <f>'B-FTE Mar'!B37/2</f>
        <v>0</v>
      </c>
      <c r="C37" s="7">
        <f>'B-FTE Mar'!C37/2</f>
        <v>9.8724844574556627</v>
      </c>
      <c r="D37" s="7">
        <f>'B-FTE Mar'!D37/2</f>
        <v>5.4619199725663794</v>
      </c>
      <c r="E37" s="7">
        <f>'B-FTE Mar'!E37/2</f>
        <v>5.0687301153863267</v>
      </c>
      <c r="F37" s="7">
        <f>'B-FTE Mar'!F37/2</f>
        <v>3.5942681509611307</v>
      </c>
      <c r="G37" s="7">
        <f>'B-FTE Mar'!G37/2</f>
        <v>6.3636923624032393</v>
      </c>
      <c r="H37" s="7">
        <f>'B-FTE Mar'!H37/2</f>
        <v>0</v>
      </c>
      <c r="I37" s="7">
        <f>'B-FTE Mar'!I37/2</f>
        <v>0</v>
      </c>
      <c r="J37" s="7">
        <f>'B-FTE Mar'!J37/2</f>
        <v>8.7100100970972463</v>
      </c>
      <c r="K37" s="7">
        <f>'B-FTE Mar'!K37/2</f>
        <v>4.3678264569349299</v>
      </c>
      <c r="L37" s="7">
        <f>'B-FTE Mar'!L37/2</f>
        <v>4.5729689911158253</v>
      </c>
      <c r="M37" s="7">
        <f>'B-FTE Mar'!M37/2</f>
        <v>3.2181735049628197</v>
      </c>
      <c r="N37" s="7">
        <f>'B-FTE Mar'!N37/2</f>
        <v>5.5345746200887795</v>
      </c>
      <c r="O37" s="7">
        <f>'B-FTE Mar'!O37/2</f>
        <v>0</v>
      </c>
      <c r="P37" s="7">
        <f>'B-FTE Mar'!P37/2</f>
        <v>0</v>
      </c>
      <c r="Q37" s="7">
        <f>'B-FTE Mar'!Q37/2</f>
        <v>8.8553193921420483</v>
      </c>
      <c r="R37" s="7">
        <f>'B-FTE Mar'!R37/2</f>
        <v>4.2994456122079638</v>
      </c>
      <c r="S37" s="7">
        <f>'B-FTE Mar'!S37/2</f>
        <v>4.812301947660206</v>
      </c>
      <c r="T37" s="7">
        <f>'B-FTE Mar'!T37/2</f>
        <v>3.2651853357126086</v>
      </c>
      <c r="U37" s="7">
        <f>'B-FTE Mar'!U37/2</f>
        <v>5.8294670129738204</v>
      </c>
      <c r="V37" s="7">
        <f>'B-FTE Mar'!V37/2</f>
        <v>0</v>
      </c>
      <c r="W37" s="7">
        <f>'B-FTE Mar'!W37/2</f>
        <v>0</v>
      </c>
      <c r="X37" s="7">
        <f>'B-FTE Mar'!X37/2</f>
        <v>8.2783560147582769</v>
      </c>
      <c r="Y37" s="7">
        <f>'B-FTE Mar'!Y37/2</f>
        <v>3.9960056137320534</v>
      </c>
      <c r="Z37" s="7">
        <f>'B-FTE Mar'!Z37/2</f>
        <v>4.4618501184345067</v>
      </c>
      <c r="AA37" s="7">
        <f>'B-FTE Mar'!AA37/2</f>
        <v>3.1369712518495483</v>
      </c>
      <c r="AB37" s="7">
        <f>'B-FTE Mar'!AB37/2</f>
        <v>5.5944078592248747</v>
      </c>
      <c r="AC37" s="7">
        <f>'B-FTE Mar'!AC37/2</f>
        <v>0</v>
      </c>
      <c r="AD37" s="7">
        <f>'B-FTE Mar'!AD37/2</f>
        <v>0</v>
      </c>
      <c r="AE37" s="7">
        <f>'B-FTE Mar'!AE37/2</f>
        <v>8.5005937601209158</v>
      </c>
      <c r="AF37" s="7">
        <f>'B-FTE Mar'!AF37/2</f>
        <v>4.5259571603660369</v>
      </c>
    </row>
    <row r="38" spans="1:32" x14ac:dyDescent="0.25">
      <c r="A38" s="3" t="s">
        <v>43</v>
      </c>
      <c r="B38" s="7">
        <f>'B-FTE Mar'!B38/2</f>
        <v>0</v>
      </c>
      <c r="C38" s="7">
        <f>'B-FTE Mar'!C38/2</f>
        <v>8.4364867181893821</v>
      </c>
      <c r="D38" s="7">
        <f>'B-FTE Mar'!D38/2</f>
        <v>5.3037892691352715</v>
      </c>
      <c r="E38" s="7">
        <f>'B-FTE Mar'!E38/2</f>
        <v>4.6883616665925816</v>
      </c>
      <c r="F38" s="7">
        <f>'B-FTE Mar'!F38/2</f>
        <v>3.6626489956880963</v>
      </c>
      <c r="G38" s="7">
        <f>'B-FTE Mar'!G38/2</f>
        <v>5.9063954632916564</v>
      </c>
      <c r="H38" s="7">
        <f>'B-FTE Mar'!H38/2</f>
        <v>0</v>
      </c>
      <c r="I38" s="7">
        <f>'B-FTE Mar'!I38/2</f>
        <v>0</v>
      </c>
      <c r="J38" s="7">
        <f>'B-FTE Mar'!J38/2</f>
        <v>7.60309517307949</v>
      </c>
      <c r="K38" s="7">
        <f>'B-FTE Mar'!K38/2</f>
        <v>4.3721002597303649</v>
      </c>
      <c r="L38" s="7">
        <f>'B-FTE Mar'!L38/2</f>
        <v>4.0900292752316316</v>
      </c>
      <c r="M38" s="7">
        <f>'B-FTE Mar'!M38/2</f>
        <v>3.1668878714175954</v>
      </c>
      <c r="N38" s="7">
        <f>'B-FTE Mar'!N38/2</f>
        <v>5.1413847629087277</v>
      </c>
      <c r="O38" s="7">
        <f>'B-FTE Mar'!O38/2</f>
        <v>0</v>
      </c>
      <c r="P38" s="7">
        <f>'B-FTE Mar'!P38/2</f>
        <v>0</v>
      </c>
      <c r="Q38" s="7">
        <f>'B-FTE Mar'!Q38/2</f>
        <v>7.3167503857853227</v>
      </c>
      <c r="R38" s="7">
        <f>'B-FTE Mar'!R38/2</f>
        <v>4.3079932177988338</v>
      </c>
      <c r="S38" s="7">
        <f>'B-FTE Mar'!S38/2</f>
        <v>4.3037194150033988</v>
      </c>
      <c r="T38" s="7">
        <f>'B-FTE Mar'!T38/2</f>
        <v>3.0942332238951948</v>
      </c>
      <c r="U38" s="7">
        <f>'B-FTE Mar'!U38/2</f>
        <v>5.4149081418165901</v>
      </c>
      <c r="V38" s="7">
        <f>'B-FTE Mar'!V38/2</f>
        <v>0</v>
      </c>
      <c r="W38" s="7">
        <f>'B-FTE Mar'!W38/2</f>
        <v>0</v>
      </c>
      <c r="X38" s="7">
        <f>'B-FTE Mar'!X38/2</f>
        <v>6.8252630643102563</v>
      </c>
      <c r="Y38" s="7">
        <f>'B-FTE Mar'!Y38/2</f>
        <v>4.0088270221183597</v>
      </c>
      <c r="Z38" s="7">
        <f>'B-FTE Mar'!Z38/2</f>
        <v>4.1327673031859851</v>
      </c>
      <c r="AA38" s="7">
        <f>'B-FTE Mar'!AA38/2</f>
        <v>3.0942332238951948</v>
      </c>
      <c r="AB38" s="7">
        <f>'B-FTE Mar'!AB38/2</f>
        <v>5.1969441992493879</v>
      </c>
      <c r="AC38" s="7">
        <f>'B-FTE Mar'!AC38/2</f>
        <v>0</v>
      </c>
      <c r="AD38" s="7">
        <f>'B-FTE Mar'!AD38/2</f>
        <v>0</v>
      </c>
      <c r="AE38" s="7">
        <f>'B-FTE Mar'!AE38/2</f>
        <v>7.2227267242857431</v>
      </c>
      <c r="AF38" s="7">
        <f>'B-FTE Mar'!AF38/2</f>
        <v>4.3934692737075407</v>
      </c>
    </row>
    <row r="39" spans="1:32" x14ac:dyDescent="0.25">
      <c r="A39" s="3" t="s">
        <v>44</v>
      </c>
      <c r="B39" s="7">
        <f>'B-FTE Mar'!B39/2</f>
        <v>0</v>
      </c>
      <c r="C39" s="7">
        <f>'B-FTE Mar'!C39/2</f>
        <v>7.1116078516044254</v>
      </c>
      <c r="D39" s="7">
        <f>'B-FTE Mar'!D39/2</f>
        <v>4.5259571603660369</v>
      </c>
      <c r="E39" s="7">
        <f>'B-FTE Mar'!E39/2</f>
        <v>3.914803360618782</v>
      </c>
      <c r="F39" s="7">
        <f>'B-FTE Mar'!F39/2</f>
        <v>3.2438163217354319</v>
      </c>
      <c r="G39" s="7">
        <f>'B-FTE Mar'!G39/2</f>
        <v>4.7866591308875934</v>
      </c>
      <c r="H39" s="7">
        <f>'B-FTE Mar'!H39/2</f>
        <v>0</v>
      </c>
      <c r="I39" s="7">
        <f>'B-FTE Mar'!I39/2</f>
        <v>0</v>
      </c>
      <c r="J39" s="7">
        <f>'B-FTE Mar'!J39/2</f>
        <v>6.3337757428351908</v>
      </c>
      <c r="K39" s="7">
        <f>'B-FTE Mar'!K39/2</f>
        <v>3.7908630795511566</v>
      </c>
      <c r="L39" s="7">
        <f>'B-FTE Mar'!L39/2</f>
        <v>3.5002444894615525</v>
      </c>
      <c r="M39" s="7">
        <f>'B-FTE Mar'!M39/2</f>
        <v>2.7736980142375431</v>
      </c>
      <c r="N39" s="7">
        <f>'B-FTE Mar'!N39/2</f>
        <v>4.1284935003905492</v>
      </c>
      <c r="O39" s="7">
        <f>'B-FTE Mar'!O39/2</f>
        <v>0</v>
      </c>
      <c r="P39" s="7">
        <f>'B-FTE Mar'!P39/2</f>
        <v>0</v>
      </c>
      <c r="Q39" s="7">
        <f>'B-FTE Mar'!Q39/2</f>
        <v>6.2482996869264831</v>
      </c>
      <c r="R39" s="7">
        <f>'B-FTE Mar'!R39/2</f>
        <v>3.6028157565520011</v>
      </c>
      <c r="S39" s="7">
        <f>'B-FTE Mar'!S39/2</f>
        <v>3.6925656152561439</v>
      </c>
      <c r="T39" s="7">
        <f>'B-FTE Mar'!T39/2</f>
        <v>2.820709844987332</v>
      </c>
      <c r="U39" s="7">
        <f>'B-FTE Mar'!U39/2</f>
        <v>4.3592788513440581</v>
      </c>
      <c r="V39" s="7">
        <f>'B-FTE Mar'!V39/2</f>
        <v>0</v>
      </c>
      <c r="W39" s="7">
        <f>'B-FTE Mar'!W39/2</f>
        <v>0</v>
      </c>
      <c r="X39" s="7">
        <f>'B-FTE Mar'!X39/2</f>
        <v>5.8166456045875128</v>
      </c>
      <c r="Y39" s="7">
        <f>'B-FTE Mar'!Y39/2</f>
        <v>3.3421137860304451</v>
      </c>
      <c r="Z39" s="7">
        <f>'B-FTE Mar'!Z39/2</f>
        <v>3.4190422363482815</v>
      </c>
      <c r="AA39" s="7">
        <f>'B-FTE Mar'!AA39/2</f>
        <v>2.709590972306013</v>
      </c>
      <c r="AB39" s="7">
        <f>'B-FTE Mar'!AB39/2</f>
        <v>4.1840529367312085</v>
      </c>
      <c r="AC39" s="7">
        <f>'B-FTE Mar'!AC39/2</f>
        <v>0</v>
      </c>
      <c r="AD39" s="7">
        <f>'B-FTE Mar'!AD39/2</f>
        <v>0</v>
      </c>
      <c r="AE39" s="7">
        <f>'B-FTE Mar'!AE39/2</f>
        <v>6.0004191247912333</v>
      </c>
      <c r="AF39" s="7">
        <f>'B-FTE Mar'!AF39/2</f>
        <v>3.8165058963237688</v>
      </c>
    </row>
    <row r="40" spans="1:32" x14ac:dyDescent="0.25">
      <c r="A40" s="3" t="s">
        <v>45</v>
      </c>
      <c r="B40" s="7">
        <f>'B-FTE Mar'!B40/2</f>
        <v>0</v>
      </c>
      <c r="C40" s="7">
        <f>'B-FTE Mar'!C40/2</f>
        <v>5.7525385626559835</v>
      </c>
      <c r="D40" s="7">
        <f>'B-FTE Mar'!D40/2</f>
        <v>3.3421137860304451</v>
      </c>
      <c r="E40" s="7">
        <f>'B-FTE Mar'!E40/2</f>
        <v>3.0215785763727938</v>
      </c>
      <c r="F40" s="7">
        <f>'B-FTE Mar'!F40/2</f>
        <v>2.5557340716703405</v>
      </c>
      <c r="G40" s="7">
        <f>'B-FTE Mar'!G40/2</f>
        <v>3.8506963186872514</v>
      </c>
      <c r="H40" s="7">
        <f>'B-FTE Mar'!H40/2</f>
        <v>0</v>
      </c>
      <c r="I40" s="7">
        <f>'B-FTE Mar'!I40/2</f>
        <v>0</v>
      </c>
      <c r="J40" s="7">
        <f>'B-FTE Mar'!J40/2</f>
        <v>5.188396593658517</v>
      </c>
      <c r="K40" s="7">
        <f>'B-FTE Mar'!K40/2</f>
        <v>2.7865194226238494</v>
      </c>
      <c r="L40" s="7">
        <f>'B-FTE Mar'!L40/2</f>
        <v>2.6540315359653537</v>
      </c>
      <c r="M40" s="7">
        <f>'B-FTE Mar'!M40/2</f>
        <v>2.2181036508309475</v>
      </c>
      <c r="N40" s="7">
        <f>'B-FTE Mar'!N40/2</f>
        <v>3.3891256167802335</v>
      </c>
      <c r="O40" s="7">
        <f>'B-FTE Mar'!O40/2</f>
        <v>0</v>
      </c>
      <c r="P40" s="7">
        <f>'B-FTE Mar'!P40/2</f>
        <v>0</v>
      </c>
      <c r="Q40" s="7">
        <f>'B-FTE Mar'!Q40/2</f>
        <v>5.0900991293635034</v>
      </c>
      <c r="R40" s="7">
        <f>'B-FTE Mar'!R40/2</f>
        <v>2.7181385778968838</v>
      </c>
      <c r="S40" s="7">
        <f>'B-FTE Mar'!S40/2</f>
        <v>2.820709844987332</v>
      </c>
      <c r="T40" s="7">
        <f>'B-FTE Mar'!T40/2</f>
        <v>2.2522940731944301</v>
      </c>
      <c r="U40" s="7">
        <f>'B-FTE Mar'!U40/2</f>
        <v>3.4404112503254582</v>
      </c>
      <c r="V40" s="7">
        <f>'B-FTE Mar'!V40/2</f>
        <v>0</v>
      </c>
      <c r="W40" s="7">
        <f>'B-FTE Mar'!W40/2</f>
        <v>0</v>
      </c>
      <c r="X40" s="7">
        <f>'B-FTE Mar'!X40/2</f>
        <v>4.7097306805697574</v>
      </c>
      <c r="Y40" s="7">
        <f>'B-FTE Mar'!Y40/2</f>
        <v>2.5044484381251162</v>
      </c>
      <c r="Z40" s="7">
        <f>'B-FTE Mar'!Z40/2</f>
        <v>2.709590972306013</v>
      </c>
      <c r="AA40" s="7">
        <f>'B-FTE Mar'!AA40/2</f>
        <v>2.2736630871716073</v>
      </c>
      <c r="AB40" s="7">
        <f>'B-FTE Mar'!AB40/2</f>
        <v>3.307923363666962</v>
      </c>
      <c r="AC40" s="7">
        <f>'B-FTE Mar'!AC40/2</f>
        <v>0</v>
      </c>
      <c r="AD40" s="7">
        <f>'B-FTE Mar'!AD40/2</f>
        <v>0</v>
      </c>
      <c r="AE40" s="7">
        <f>'B-FTE Mar'!AE40/2</f>
        <v>5.0687301153863267</v>
      </c>
      <c r="AF40" s="7">
        <f>'B-FTE Mar'!AF40/2</f>
        <v>2.8292574505782029</v>
      </c>
    </row>
    <row r="41" spans="1:32" x14ac:dyDescent="0.25">
      <c r="A41" s="3" t="s">
        <v>46</v>
      </c>
      <c r="B41" s="7">
        <f>'B-FTE Mar'!B41/2</f>
        <v>0</v>
      </c>
      <c r="C41" s="7">
        <f>'B-FTE Mar'!C41/2</f>
        <v>4.5857903995021321</v>
      </c>
      <c r="D41" s="7">
        <f>'B-FTE Mar'!D41/2</f>
        <v>2.7523290002603664</v>
      </c>
      <c r="E41" s="7">
        <f>'B-FTE Mar'!E41/2</f>
        <v>2.4275199878072797</v>
      </c>
      <c r="F41" s="7">
        <f>'B-FTE Mar'!F41/2</f>
        <v>2.1283537921268052</v>
      </c>
      <c r="G41" s="7">
        <f>'B-FTE Mar'!G41/2</f>
        <v>3.3036495608715271</v>
      </c>
      <c r="H41" s="7">
        <f>'B-FTE Mar'!H41/2</f>
        <v>0</v>
      </c>
      <c r="I41" s="7">
        <f>'B-FTE Mar'!I41/2</f>
        <v>0</v>
      </c>
      <c r="J41" s="7">
        <f>'B-FTE Mar'!J41/2</f>
        <v>4.0772078668453249</v>
      </c>
      <c r="K41" s="7">
        <f>'B-FTE Mar'!K41/2</f>
        <v>2.1967346368537704</v>
      </c>
      <c r="L41" s="7">
        <f>'B-FTE Mar'!L41/2</f>
        <v>2.1753656228765936</v>
      </c>
      <c r="M41" s="7">
        <f>'B-FTE Mar'!M41/2</f>
        <v>1.7864495684919768</v>
      </c>
      <c r="N41" s="7">
        <f>'B-FTE Mar'!N41/2</f>
        <v>2.9702929428275695</v>
      </c>
      <c r="O41" s="7">
        <f>'B-FTE Mar'!O41/2</f>
        <v>0</v>
      </c>
      <c r="P41" s="7">
        <f>'B-FTE Mar'!P41/2</f>
        <v>0</v>
      </c>
      <c r="Q41" s="7">
        <f>'B-FTE Mar'!Q41/2</f>
        <v>3.9703627969594413</v>
      </c>
      <c r="R41" s="7">
        <f>'B-FTE Mar'!R41/2</f>
        <v>2.1198061865359343</v>
      </c>
      <c r="S41" s="7">
        <f>'B-FTE Mar'!S41/2</f>
        <v>2.333496326307702</v>
      </c>
      <c r="T41" s="7">
        <f>'B-FTE Mar'!T41/2</f>
        <v>1.8120923852645889</v>
      </c>
      <c r="U41" s="7">
        <f>'B-FTE Mar'!U41/2</f>
        <v>3.0173047735773579</v>
      </c>
      <c r="V41" s="7">
        <f>'B-FTE Mar'!V41/2</f>
        <v>0</v>
      </c>
      <c r="W41" s="7">
        <f>'B-FTE Mar'!W41/2</f>
        <v>0</v>
      </c>
      <c r="X41" s="7">
        <f>'B-FTE Mar'!X41/2</f>
        <v>3.6541013900972259</v>
      </c>
      <c r="Y41" s="7">
        <f>'B-FTE Mar'!Y41/2</f>
        <v>2.0386039334226624</v>
      </c>
      <c r="Z41" s="7">
        <f>'B-FTE Mar'!Z41/2</f>
        <v>2.2480202703989947</v>
      </c>
      <c r="AA41" s="7">
        <f>'B-FTE Mar'!AA41/2</f>
        <v>1.7394377377421881</v>
      </c>
      <c r="AB41" s="7">
        <f>'B-FTE Mar'!AB41/2</f>
        <v>2.897638295305168</v>
      </c>
      <c r="AC41" s="7">
        <f>'B-FTE Mar'!AC41/2</f>
        <v>0</v>
      </c>
      <c r="AD41" s="7">
        <f>'B-FTE Mar'!AD41/2</f>
        <v>0</v>
      </c>
      <c r="AE41" s="7">
        <f>'B-FTE Mar'!AE41/2</f>
        <v>3.8165058963237688</v>
      </c>
      <c r="AF41" s="7">
        <f>'B-FTE Mar'!AF41/2</f>
        <v>2.256567875989866</v>
      </c>
    </row>
    <row r="42" spans="1:32" x14ac:dyDescent="0.25">
      <c r="A42" s="3" t="s">
        <v>47</v>
      </c>
      <c r="B42" s="7">
        <f>'B-FTE Mar'!B42/2</f>
        <v>0</v>
      </c>
      <c r="C42" s="7">
        <f>'B-FTE Mar'!C42/2</f>
        <v>3.6968394180515793</v>
      </c>
      <c r="D42" s="7">
        <f>'B-FTE Mar'!D42/2</f>
        <v>2.3420439318985729</v>
      </c>
      <c r="E42" s="7">
        <f>'B-FTE Mar'!E42/2</f>
        <v>2.0898895669678867</v>
      </c>
      <c r="F42" s="7">
        <f>'B-FTE Mar'!F42/2</f>
        <v>1.6325926678563043</v>
      </c>
      <c r="G42" s="7">
        <f>'B-FTE Mar'!G42/2</f>
        <v>2.7865194226238494</v>
      </c>
      <c r="H42" s="7">
        <f>'B-FTE Mar'!H42/2</f>
        <v>0</v>
      </c>
      <c r="I42" s="7">
        <f>'B-FTE Mar'!I42/2</f>
        <v>0</v>
      </c>
      <c r="J42" s="7">
        <f>'B-FTE Mar'!J42/2</f>
        <v>3.1882568853947721</v>
      </c>
      <c r="K42" s="7">
        <f>'B-FTE Mar'!K42/2</f>
        <v>1.8847470327869902</v>
      </c>
      <c r="L42" s="7">
        <f>'B-FTE Mar'!L42/2</f>
        <v>1.8291875964463307</v>
      </c>
      <c r="M42" s="7">
        <f>'B-FTE Mar'!M42/2</f>
        <v>1.5171999923795496</v>
      </c>
      <c r="N42" s="7">
        <f>'B-FTE Mar'!N42/2</f>
        <v>2.4275199878072797</v>
      </c>
      <c r="O42" s="7">
        <f>'B-FTE Mar'!O42/2</f>
        <v>0</v>
      </c>
      <c r="P42" s="7">
        <f>'B-FTE Mar'!P42/2</f>
        <v>0</v>
      </c>
      <c r="Q42" s="7">
        <f>'B-FTE Mar'!Q42/2</f>
        <v>3.2395425189399965</v>
      </c>
      <c r="R42" s="7">
        <f>'B-FTE Mar'!R42/2</f>
        <v>1.8035447796737183</v>
      </c>
      <c r="S42" s="7">
        <f>'B-FTE Mar'!S42/2</f>
        <v>1.9873182998774386</v>
      </c>
      <c r="T42" s="7">
        <f>'B-FTE Mar'!T42/2</f>
        <v>1.4231763308799721</v>
      </c>
      <c r="U42" s="7">
        <f>'B-FTE Mar'!U42/2</f>
        <v>2.4659842129661977</v>
      </c>
      <c r="V42" s="7">
        <f>'B-FTE Mar'!V42/2</f>
        <v>0</v>
      </c>
      <c r="W42" s="7">
        <f>'B-FTE Mar'!W42/2</f>
        <v>0</v>
      </c>
      <c r="X42" s="7">
        <f>'B-FTE Mar'!X42/2</f>
        <v>2.9531977316458282</v>
      </c>
      <c r="Y42" s="7">
        <f>'B-FTE Mar'!Y42/2</f>
        <v>1.7308901321513173</v>
      </c>
      <c r="Z42" s="7">
        <f>'B-FTE Mar'!Z42/2</f>
        <v>1.7907233712874124</v>
      </c>
      <c r="AA42" s="7">
        <f>'B-FTE Mar'!AA42/2</f>
        <v>1.4787357672206316</v>
      </c>
      <c r="AB42" s="7">
        <f>'B-FTE Mar'!AB42/2</f>
        <v>2.3762343542620554</v>
      </c>
      <c r="AC42" s="7">
        <f>'B-FTE Mar'!AC42/2</f>
        <v>0</v>
      </c>
      <c r="AD42" s="7">
        <f>'B-FTE Mar'!AD42/2</f>
        <v>0</v>
      </c>
      <c r="AE42" s="7">
        <f>'B-FTE Mar'!AE42/2</f>
        <v>3.1156022378723716</v>
      </c>
      <c r="AF42" s="7">
        <f>'B-FTE Mar'!AF42/2</f>
        <v>1.9531278775139558</v>
      </c>
    </row>
    <row r="43" spans="1:32" x14ac:dyDescent="0.25">
      <c r="A43" s="3" t="s">
        <v>48</v>
      </c>
      <c r="B43" s="7">
        <f>'B-FTE Mar'!B43/2</f>
        <v>0</v>
      </c>
      <c r="C43" s="7">
        <f>'B-FTE Mar'!C43/2</f>
        <v>3.3421137860304451</v>
      </c>
      <c r="D43" s="7">
        <f>'B-FTE Mar'!D43/2</f>
        <v>1.9873182998774386</v>
      </c>
      <c r="E43" s="7">
        <f>'B-FTE Mar'!E43/2</f>
        <v>1.7992709768782831</v>
      </c>
      <c r="F43" s="7">
        <f>'B-FTE Mar'!F43/2</f>
        <v>1.5129261895841146</v>
      </c>
      <c r="G43" s="7">
        <f>'B-FTE Mar'!G43/2</f>
        <v>2.2223774536263829</v>
      </c>
      <c r="H43" s="7">
        <f>'B-FTE Mar'!H43/2</f>
        <v>0</v>
      </c>
      <c r="I43" s="7">
        <f>'B-FTE Mar'!I43/2</f>
        <v>0</v>
      </c>
      <c r="J43" s="7">
        <f>'B-FTE Mar'!J43/2</f>
        <v>2.9660191400321341</v>
      </c>
      <c r="K43" s="7">
        <f>'B-FTE Mar'!K43/2</f>
        <v>1.6454140762426104</v>
      </c>
      <c r="L43" s="7">
        <f>'B-FTE Mar'!L43/2</f>
        <v>1.6582354846289162</v>
      </c>
      <c r="M43" s="7">
        <f>'B-FTE Mar'!M43/2</f>
        <v>1.3847121057210539</v>
      </c>
      <c r="N43" s="7">
        <f>'B-FTE Mar'!N43/2</f>
        <v>2.0386039334226624</v>
      </c>
      <c r="O43" s="7">
        <f>'B-FTE Mar'!O43/2</f>
        <v>0</v>
      </c>
      <c r="P43" s="7">
        <f>'B-FTE Mar'!P43/2</f>
        <v>0</v>
      </c>
      <c r="Q43" s="7">
        <f>'B-FTE Mar'!Q43/2</f>
        <v>3.0087571679864875</v>
      </c>
      <c r="R43" s="7">
        <f>'B-FTE Mar'!R43/2</f>
        <v>1.5513904147430326</v>
      </c>
      <c r="S43" s="7">
        <f>'B-FTE Mar'!S43/2</f>
        <v>1.6838783014015284</v>
      </c>
      <c r="T43" s="7">
        <f>'B-FTE Mar'!T43/2</f>
        <v>1.4060811196982306</v>
      </c>
      <c r="U43" s="7">
        <f>'B-FTE Mar'!U43/2</f>
        <v>2.0727943557861455</v>
      </c>
      <c r="V43" s="7">
        <f>'B-FTE Mar'!V43/2</f>
        <v>0</v>
      </c>
      <c r="W43" s="7">
        <f>'B-FTE Mar'!W43/2</f>
        <v>0</v>
      </c>
      <c r="X43" s="7">
        <f>'B-FTE Mar'!X43/2</f>
        <v>2.713864775101448</v>
      </c>
      <c r="Y43" s="7">
        <f>'B-FTE Mar'!Y43/2</f>
        <v>1.4915571756069379</v>
      </c>
      <c r="Z43" s="7">
        <f>'B-FTE Mar'!Z43/2</f>
        <v>1.6197712594699982</v>
      </c>
      <c r="AA43" s="7">
        <f>'B-FTE Mar'!AA43/2</f>
        <v>1.3505216833575711</v>
      </c>
      <c r="AB43" s="7">
        <f>'B-FTE Mar'!AB43/2</f>
        <v>1.9958659054683092</v>
      </c>
      <c r="AC43" s="7">
        <f>'B-FTE Mar'!AC43/2</f>
        <v>0</v>
      </c>
      <c r="AD43" s="7">
        <f>'B-FTE Mar'!AD43/2</f>
        <v>0</v>
      </c>
      <c r="AE43" s="7">
        <f>'B-FTE Mar'!AE43/2</f>
        <v>2.897638295305168</v>
      </c>
      <c r="AF43" s="7">
        <f>'B-FTE Mar'!AF43/2</f>
        <v>1.7180687237650112</v>
      </c>
    </row>
    <row r="44" spans="1:32" x14ac:dyDescent="0.25">
      <c r="A44" s="3" t="s">
        <v>49</v>
      </c>
      <c r="B44" s="7">
        <f>'B-FTE Mar'!B44/2</f>
        <v>0</v>
      </c>
      <c r="C44" s="7">
        <f>'B-FTE Mar'!C44/2</f>
        <v>2.4617104101707623</v>
      </c>
      <c r="D44" s="7">
        <f>'B-FTE Mar'!D44/2</f>
        <v>1.7992709768782831</v>
      </c>
      <c r="E44" s="7">
        <f>'B-FTE Mar'!E44/2</f>
        <v>1.6582354846289162</v>
      </c>
      <c r="F44" s="7">
        <f>'B-FTE Mar'!F44/2</f>
        <v>1.3718906973347478</v>
      </c>
      <c r="G44" s="7">
        <f>'B-FTE Mar'!G44/2</f>
        <v>1.9958659054683092</v>
      </c>
      <c r="H44" s="7">
        <f>'B-FTE Mar'!H44/2</f>
        <v>0</v>
      </c>
      <c r="I44" s="7">
        <f>'B-FTE Mar'!I44/2</f>
        <v>0</v>
      </c>
      <c r="J44" s="7">
        <f>'B-FTE Mar'!J44/2</f>
        <v>2.2907582983533485</v>
      </c>
      <c r="K44" s="7">
        <f>'B-FTE Mar'!K44/2</f>
        <v>1.4445453448571488</v>
      </c>
      <c r="L44" s="7">
        <f>'B-FTE Mar'!L44/2</f>
        <v>1.5171999923795496</v>
      </c>
      <c r="M44" s="7">
        <f>'B-FTE Mar'!M44/2</f>
        <v>1.2436766134716872</v>
      </c>
      <c r="N44" s="7">
        <f>'B-FTE Mar'!N44/2</f>
        <v>1.653961681833481</v>
      </c>
      <c r="O44" s="7">
        <f>'B-FTE Mar'!O44/2</f>
        <v>0</v>
      </c>
      <c r="P44" s="7">
        <f>'B-FTE Mar'!P44/2</f>
        <v>0</v>
      </c>
      <c r="Q44" s="7">
        <f>'B-FTE Mar'!Q44/2</f>
        <v>2.1582704116948523</v>
      </c>
      <c r="R44" s="7">
        <f>'B-FTE Mar'!R44/2</f>
        <v>1.4659143588343257</v>
      </c>
      <c r="S44" s="7">
        <f>'B-FTE Mar'!S44/2</f>
        <v>1.5385690063567266</v>
      </c>
      <c r="T44" s="7">
        <f>'B-FTE Mar'!T44/2</f>
        <v>1.260771824653429</v>
      </c>
      <c r="U44" s="7">
        <f>'B-FTE Mar'!U44/2</f>
        <v>1.846282807628072</v>
      </c>
      <c r="V44" s="7">
        <f>'B-FTE Mar'!V44/2</f>
        <v>0</v>
      </c>
      <c r="W44" s="7">
        <f>'B-FTE Mar'!W44/2</f>
        <v>0</v>
      </c>
      <c r="X44" s="7">
        <f>'B-FTE Mar'!X44/2</f>
        <v>2.0813419613770163</v>
      </c>
      <c r="Y44" s="7">
        <f>'B-FTE Mar'!Y44/2</f>
        <v>1.4146287252891014</v>
      </c>
      <c r="Z44" s="7">
        <f>'B-FTE Mar'!Z44/2</f>
        <v>1.483009570016067</v>
      </c>
      <c r="AA44" s="7">
        <f>'B-FTE Mar'!AA44/2</f>
        <v>1.2180337966990751</v>
      </c>
      <c r="AB44" s="7">
        <f>'B-FTE Mar'!AB44/2</f>
        <v>1.7779019629011064</v>
      </c>
      <c r="AC44" s="7">
        <f>'B-FTE Mar'!AC44/2</f>
        <v>0</v>
      </c>
      <c r="AD44" s="7">
        <f>'B-FTE Mar'!AD44/2</f>
        <v>0</v>
      </c>
      <c r="AE44" s="7">
        <f>'B-FTE Mar'!AE44/2</f>
        <v>2.2437464676035597</v>
      </c>
      <c r="AF44" s="7">
        <f>'B-FTE Mar'!AF44/2</f>
        <v>1.5257475979704203</v>
      </c>
    </row>
    <row r="45" spans="1:32" x14ac:dyDescent="0.25">
      <c r="A45" s="3" t="s">
        <v>50</v>
      </c>
      <c r="B45" s="7">
        <f>'B-FTE Mar'!B45/2</f>
        <v>0</v>
      </c>
      <c r="C45" s="7">
        <f>'B-FTE Mar'!C45/2</f>
        <v>0</v>
      </c>
      <c r="D45" s="7">
        <f>'B-FTE Mar'!D45/2</f>
        <v>0</v>
      </c>
      <c r="E45" s="7">
        <f>'B-FTE Mar'!E45/2</f>
        <v>0</v>
      </c>
      <c r="F45" s="7">
        <f>'B-FTE Mar'!F45/2</f>
        <v>0</v>
      </c>
      <c r="G45" s="7">
        <f>'B-FTE Mar'!G45/2</f>
        <v>0</v>
      </c>
      <c r="H45" s="7">
        <f>'B-FTE Mar'!H45/2</f>
        <v>0</v>
      </c>
      <c r="I45" s="7">
        <f>'B-FTE Mar'!I45/2</f>
        <v>0</v>
      </c>
      <c r="J45" s="7">
        <f>'B-FTE Mar'!J45/2</f>
        <v>0</v>
      </c>
      <c r="K45" s="7">
        <f>'B-FTE Mar'!K45/2</f>
        <v>0</v>
      </c>
      <c r="L45" s="7">
        <f>'B-FTE Mar'!L45/2</f>
        <v>0</v>
      </c>
      <c r="M45" s="7">
        <f>'B-FTE Mar'!M45/2</f>
        <v>0</v>
      </c>
      <c r="N45" s="7">
        <f>'B-FTE Mar'!N45/2</f>
        <v>0</v>
      </c>
      <c r="O45" s="7">
        <f>'B-FTE Mar'!O45/2</f>
        <v>0</v>
      </c>
      <c r="P45" s="7">
        <f>'B-FTE Mar'!P45/2</f>
        <v>0</v>
      </c>
      <c r="Q45" s="7">
        <f>'B-FTE Mar'!Q45/2</f>
        <v>0</v>
      </c>
      <c r="R45" s="7">
        <f>'B-FTE Mar'!R45/2</f>
        <v>0</v>
      </c>
      <c r="S45" s="7">
        <f>'B-FTE Mar'!S45/2</f>
        <v>0</v>
      </c>
      <c r="T45" s="7">
        <f>'B-FTE Mar'!T45/2</f>
        <v>0</v>
      </c>
      <c r="U45" s="7">
        <f>'B-FTE Mar'!U45/2</f>
        <v>0</v>
      </c>
      <c r="V45" s="7">
        <f>'B-FTE Mar'!V45/2</f>
        <v>0</v>
      </c>
      <c r="W45" s="7">
        <f>'B-FTE Mar'!W45/2</f>
        <v>0</v>
      </c>
      <c r="X45" s="7">
        <f>'B-FTE Mar'!X45/2</f>
        <v>0</v>
      </c>
      <c r="Y45" s="7">
        <f>'B-FTE Mar'!Y45/2</f>
        <v>0</v>
      </c>
      <c r="Z45" s="7">
        <f>'B-FTE Mar'!Z45/2</f>
        <v>0</v>
      </c>
      <c r="AA45" s="7">
        <f>'B-FTE Mar'!AA45/2</f>
        <v>0</v>
      </c>
      <c r="AB45" s="7">
        <f>'B-FTE Mar'!AB45/2</f>
        <v>0</v>
      </c>
      <c r="AC45" s="7">
        <f>'B-FTE Mar'!AC45/2</f>
        <v>0</v>
      </c>
      <c r="AD45" s="7">
        <f>'B-FTE Mar'!AD45/2</f>
        <v>0</v>
      </c>
      <c r="AE45" s="7">
        <f>'B-FTE Mar'!AE45/2</f>
        <v>0</v>
      </c>
      <c r="AF45" s="7">
        <f>'B-FTE Mar'!AF45/2</f>
        <v>0</v>
      </c>
    </row>
    <row r="46" spans="1:32" x14ac:dyDescent="0.25">
      <c r="A46" s="3" t="s">
        <v>51</v>
      </c>
      <c r="B46" s="7">
        <f>'B-FTE Mar'!B46/2</f>
        <v>0</v>
      </c>
      <c r="C46" s="7">
        <f>'B-FTE Mar'!C46/2</f>
        <v>0</v>
      </c>
      <c r="D46" s="7">
        <f>'B-FTE Mar'!D46/2</f>
        <v>0</v>
      </c>
      <c r="E46" s="7">
        <f>'B-FTE Mar'!E46/2</f>
        <v>0</v>
      </c>
      <c r="F46" s="7">
        <f>'B-FTE Mar'!F46/2</f>
        <v>0</v>
      </c>
      <c r="G46" s="7">
        <f>'B-FTE Mar'!G46/2</f>
        <v>0</v>
      </c>
      <c r="H46" s="7">
        <f>'B-FTE Mar'!H46/2</f>
        <v>0</v>
      </c>
      <c r="I46" s="7">
        <f>'B-FTE Mar'!I46/2</f>
        <v>0</v>
      </c>
      <c r="J46" s="7">
        <f>'B-FTE Mar'!J46/2</f>
        <v>0</v>
      </c>
      <c r="K46" s="7">
        <f>'B-FTE Mar'!K46/2</f>
        <v>0</v>
      </c>
      <c r="L46" s="7">
        <f>'B-FTE Mar'!L46/2</f>
        <v>0</v>
      </c>
      <c r="M46" s="7">
        <f>'B-FTE Mar'!M46/2</f>
        <v>0</v>
      </c>
      <c r="N46" s="7">
        <f>'B-FTE Mar'!N46/2</f>
        <v>0</v>
      </c>
      <c r="O46" s="7">
        <f>'B-FTE Mar'!O46/2</f>
        <v>0</v>
      </c>
      <c r="P46" s="7">
        <f>'B-FTE Mar'!P46/2</f>
        <v>0</v>
      </c>
      <c r="Q46" s="7">
        <f>'B-FTE Mar'!Q46/2</f>
        <v>0</v>
      </c>
      <c r="R46" s="7">
        <f>'B-FTE Mar'!R46/2</f>
        <v>0</v>
      </c>
      <c r="S46" s="7">
        <f>'B-FTE Mar'!S46/2</f>
        <v>0</v>
      </c>
      <c r="T46" s="7">
        <f>'B-FTE Mar'!T46/2</f>
        <v>0</v>
      </c>
      <c r="U46" s="7">
        <f>'B-FTE Mar'!U46/2</f>
        <v>0</v>
      </c>
      <c r="V46" s="7">
        <f>'B-FTE Mar'!V46/2</f>
        <v>0</v>
      </c>
      <c r="W46" s="7">
        <f>'B-FTE Mar'!W46/2</f>
        <v>0</v>
      </c>
      <c r="X46" s="7">
        <f>'B-FTE Mar'!X46/2</f>
        <v>0</v>
      </c>
      <c r="Y46" s="7">
        <f>'B-FTE Mar'!Y46/2</f>
        <v>0</v>
      </c>
      <c r="Z46" s="7">
        <f>'B-FTE Mar'!Z46/2</f>
        <v>0</v>
      </c>
      <c r="AA46" s="7">
        <f>'B-FTE Mar'!AA46/2</f>
        <v>0</v>
      </c>
      <c r="AB46" s="7">
        <f>'B-FTE Mar'!AB46/2</f>
        <v>0</v>
      </c>
      <c r="AC46" s="7">
        <f>'B-FTE Mar'!AC46/2</f>
        <v>0</v>
      </c>
      <c r="AD46" s="7">
        <f>'B-FTE Mar'!AD46/2</f>
        <v>0</v>
      </c>
      <c r="AE46" s="7">
        <f>'B-FTE Mar'!AE46/2</f>
        <v>0</v>
      </c>
      <c r="AF46" s="7">
        <f>'B-FTE Mar'!AF46/2</f>
        <v>0</v>
      </c>
    </row>
    <row r="47" spans="1:32" x14ac:dyDescent="0.25">
      <c r="A47" s="3" t="s">
        <v>52</v>
      </c>
      <c r="B47" s="7">
        <f>'B-FTE Mar'!B47/2</f>
        <v>0</v>
      </c>
      <c r="C47" s="7">
        <f>'B-FTE Mar'!C47/2</f>
        <v>0</v>
      </c>
      <c r="D47" s="7">
        <f>'B-FTE Mar'!D47/2</f>
        <v>0</v>
      </c>
      <c r="E47" s="7">
        <f>'B-FTE Mar'!E47/2</f>
        <v>0</v>
      </c>
      <c r="F47" s="7">
        <f>'B-FTE Mar'!F47/2</f>
        <v>0</v>
      </c>
      <c r="G47" s="7">
        <f>'B-FTE Mar'!G47/2</f>
        <v>0</v>
      </c>
      <c r="H47" s="7">
        <f>'B-FTE Mar'!H47/2</f>
        <v>0</v>
      </c>
      <c r="I47" s="7">
        <f>'B-FTE Mar'!I47/2</f>
        <v>0</v>
      </c>
      <c r="J47" s="7">
        <f>'B-FTE Mar'!J47/2</f>
        <v>0</v>
      </c>
      <c r="K47" s="7">
        <f>'B-FTE Mar'!K47/2</f>
        <v>0</v>
      </c>
      <c r="L47" s="7">
        <f>'B-FTE Mar'!L47/2</f>
        <v>0</v>
      </c>
      <c r="M47" s="7">
        <f>'B-FTE Mar'!M47/2</f>
        <v>0</v>
      </c>
      <c r="N47" s="7">
        <f>'B-FTE Mar'!N47/2</f>
        <v>0</v>
      </c>
      <c r="O47" s="7">
        <f>'B-FTE Mar'!O47/2</f>
        <v>0</v>
      </c>
      <c r="P47" s="7">
        <f>'B-FTE Mar'!P47/2</f>
        <v>0</v>
      </c>
      <c r="Q47" s="7">
        <f>'B-FTE Mar'!Q47/2</f>
        <v>0</v>
      </c>
      <c r="R47" s="7">
        <f>'B-FTE Mar'!R47/2</f>
        <v>0</v>
      </c>
      <c r="S47" s="7">
        <f>'B-FTE Mar'!S47/2</f>
        <v>0</v>
      </c>
      <c r="T47" s="7">
        <f>'B-FTE Mar'!T47/2</f>
        <v>0</v>
      </c>
      <c r="U47" s="7">
        <f>'B-FTE Mar'!U47/2</f>
        <v>0</v>
      </c>
      <c r="V47" s="7">
        <f>'B-FTE Mar'!V47/2</f>
        <v>0</v>
      </c>
      <c r="W47" s="7">
        <f>'B-FTE Mar'!W47/2</f>
        <v>0</v>
      </c>
      <c r="X47" s="7">
        <f>'B-FTE Mar'!X47/2</f>
        <v>0</v>
      </c>
      <c r="Y47" s="7">
        <f>'B-FTE Mar'!Y47/2</f>
        <v>0</v>
      </c>
      <c r="Z47" s="7">
        <f>'B-FTE Mar'!Z47/2</f>
        <v>0</v>
      </c>
      <c r="AA47" s="7">
        <f>'B-FTE Mar'!AA47/2</f>
        <v>0</v>
      </c>
      <c r="AB47" s="7">
        <f>'B-FTE Mar'!AB47/2</f>
        <v>0</v>
      </c>
      <c r="AC47" s="7">
        <f>'B-FTE Mar'!AC47/2</f>
        <v>0</v>
      </c>
      <c r="AD47" s="7">
        <f>'B-FTE Mar'!AD47/2</f>
        <v>0</v>
      </c>
      <c r="AE47" s="7">
        <f>'B-FTE Mar'!AE47/2</f>
        <v>0</v>
      </c>
      <c r="AF47" s="7">
        <f>'B-FTE Mar'!AF47/2</f>
        <v>0</v>
      </c>
    </row>
    <row r="48" spans="1:32" x14ac:dyDescent="0.25">
      <c r="A48" s="3" t="s">
        <v>53</v>
      </c>
      <c r="B48" s="7">
        <f>'B-FTE Mar'!B48/2</f>
        <v>0</v>
      </c>
      <c r="C48" s="7">
        <f>'B-FTE Mar'!C48/2</f>
        <v>0</v>
      </c>
      <c r="D48" s="7">
        <f>'B-FTE Mar'!D48/2</f>
        <v>0</v>
      </c>
      <c r="E48" s="7">
        <f>'B-FTE Mar'!E48/2</f>
        <v>0</v>
      </c>
      <c r="F48" s="7">
        <f>'B-FTE Mar'!F48/2</f>
        <v>0</v>
      </c>
      <c r="G48" s="7">
        <f>'B-FTE Mar'!G48/2</f>
        <v>0</v>
      </c>
      <c r="H48" s="7">
        <f>'B-FTE Mar'!H48/2</f>
        <v>0</v>
      </c>
      <c r="I48" s="7">
        <f>'B-FTE Mar'!I48/2</f>
        <v>0</v>
      </c>
      <c r="J48" s="7">
        <f>'B-FTE Mar'!J48/2</f>
        <v>0</v>
      </c>
      <c r="K48" s="7">
        <f>'B-FTE Mar'!K48/2</f>
        <v>0</v>
      </c>
      <c r="L48" s="7">
        <f>'B-FTE Mar'!L48/2</f>
        <v>0</v>
      </c>
      <c r="M48" s="7">
        <f>'B-FTE Mar'!M48/2</f>
        <v>0</v>
      </c>
      <c r="N48" s="7">
        <f>'B-FTE Mar'!N48/2</f>
        <v>0</v>
      </c>
      <c r="O48" s="7">
        <f>'B-FTE Mar'!O48/2</f>
        <v>0</v>
      </c>
      <c r="P48" s="7">
        <f>'B-FTE Mar'!P48/2</f>
        <v>0</v>
      </c>
      <c r="Q48" s="7">
        <f>'B-FTE Mar'!Q48/2</f>
        <v>0</v>
      </c>
      <c r="R48" s="7">
        <f>'B-FTE Mar'!R48/2</f>
        <v>0</v>
      </c>
      <c r="S48" s="7">
        <f>'B-FTE Mar'!S48/2</f>
        <v>0</v>
      </c>
      <c r="T48" s="7">
        <f>'B-FTE Mar'!T48/2</f>
        <v>0</v>
      </c>
      <c r="U48" s="7">
        <f>'B-FTE Mar'!U48/2</f>
        <v>0</v>
      </c>
      <c r="V48" s="7">
        <f>'B-FTE Mar'!V48/2</f>
        <v>0</v>
      </c>
      <c r="W48" s="7">
        <f>'B-FTE Mar'!W48/2</f>
        <v>0</v>
      </c>
      <c r="X48" s="7">
        <f>'B-FTE Mar'!X48/2</f>
        <v>0</v>
      </c>
      <c r="Y48" s="7">
        <f>'B-FTE Mar'!Y48/2</f>
        <v>0</v>
      </c>
      <c r="Z48" s="7">
        <f>'B-FTE Mar'!Z48/2</f>
        <v>0</v>
      </c>
      <c r="AA48" s="7">
        <f>'B-FTE Mar'!AA48/2</f>
        <v>0</v>
      </c>
      <c r="AB48" s="7">
        <f>'B-FTE Mar'!AB48/2</f>
        <v>0</v>
      </c>
      <c r="AC48" s="7">
        <f>'B-FTE Mar'!AC48/2</f>
        <v>0</v>
      </c>
      <c r="AD48" s="7">
        <f>'B-FTE Mar'!AD48/2</f>
        <v>0</v>
      </c>
      <c r="AE48" s="7">
        <f>'B-FTE Mar'!AE48/2</f>
        <v>0</v>
      </c>
      <c r="AF48" s="7">
        <f>'B-FTE Mar'!AF48/2</f>
        <v>0</v>
      </c>
    </row>
    <row r="49" spans="1:33" x14ac:dyDescent="0.25">
      <c r="A49" s="3" t="s">
        <v>54</v>
      </c>
      <c r="B49" s="7">
        <f>'B-FTE Mar'!B49/2</f>
        <v>0</v>
      </c>
      <c r="C49" s="7">
        <f>'B-FTE Mar'!C49/2</f>
        <v>0</v>
      </c>
      <c r="D49" s="7">
        <f>'B-FTE Mar'!D49/2</f>
        <v>0</v>
      </c>
      <c r="E49" s="7">
        <f>'B-FTE Mar'!E49/2</f>
        <v>0</v>
      </c>
      <c r="F49" s="7">
        <f>'B-FTE Mar'!F49/2</f>
        <v>0</v>
      </c>
      <c r="G49" s="7">
        <f>'B-FTE Mar'!G49/2</f>
        <v>0</v>
      </c>
      <c r="H49" s="7">
        <f>'B-FTE Mar'!H49/2</f>
        <v>0</v>
      </c>
      <c r="I49" s="7">
        <f>'B-FTE Mar'!I49/2</f>
        <v>0</v>
      </c>
      <c r="J49" s="7">
        <f>'B-FTE Mar'!J49/2</f>
        <v>0</v>
      </c>
      <c r="K49" s="7">
        <f>'B-FTE Mar'!K49/2</f>
        <v>0</v>
      </c>
      <c r="L49" s="7">
        <f>'B-FTE Mar'!L49/2</f>
        <v>0</v>
      </c>
      <c r="M49" s="7">
        <f>'B-FTE Mar'!M49/2</f>
        <v>0</v>
      </c>
      <c r="N49" s="7">
        <f>'B-FTE Mar'!N49/2</f>
        <v>0</v>
      </c>
      <c r="O49" s="7">
        <f>'B-FTE Mar'!O49/2</f>
        <v>0</v>
      </c>
      <c r="P49" s="7">
        <f>'B-FTE Mar'!P49/2</f>
        <v>0</v>
      </c>
      <c r="Q49" s="7">
        <f>'B-FTE Mar'!Q49/2</f>
        <v>0</v>
      </c>
      <c r="R49" s="7">
        <f>'B-FTE Mar'!R49/2</f>
        <v>0</v>
      </c>
      <c r="S49" s="7">
        <f>'B-FTE Mar'!S49/2</f>
        <v>0</v>
      </c>
      <c r="T49" s="7">
        <f>'B-FTE Mar'!T49/2</f>
        <v>0</v>
      </c>
      <c r="U49" s="7">
        <f>'B-FTE Mar'!U49/2</f>
        <v>0</v>
      </c>
      <c r="V49" s="7">
        <f>'B-FTE Mar'!V49/2</f>
        <v>0</v>
      </c>
      <c r="W49" s="7">
        <f>'B-FTE Mar'!W49/2</f>
        <v>0</v>
      </c>
      <c r="X49" s="7">
        <f>'B-FTE Mar'!X49/2</f>
        <v>0</v>
      </c>
      <c r="Y49" s="7">
        <f>'B-FTE Mar'!Y49/2</f>
        <v>0</v>
      </c>
      <c r="Z49" s="7">
        <f>'B-FTE Mar'!Z49/2</f>
        <v>0</v>
      </c>
      <c r="AA49" s="7">
        <f>'B-FTE Mar'!AA49/2</f>
        <v>0</v>
      </c>
      <c r="AB49" s="7">
        <f>'B-FTE Mar'!AB49/2</f>
        <v>0</v>
      </c>
      <c r="AC49" s="7">
        <f>'B-FTE Mar'!AC49/2</f>
        <v>0</v>
      </c>
      <c r="AD49" s="7">
        <f>'B-FTE Mar'!AD49/2</f>
        <v>0</v>
      </c>
      <c r="AE49" s="7">
        <f>'B-FTE Mar'!AE49/2</f>
        <v>0</v>
      </c>
      <c r="AF49" s="7">
        <f>'B-FTE Mar'!AF49/2</f>
        <v>0</v>
      </c>
    </row>
    <row r="50" spans="1:33" x14ac:dyDescent="0.25">
      <c r="A50" s="3" t="s">
        <v>55</v>
      </c>
      <c r="B50" s="7">
        <f>'B-FTE Mar'!B50/2</f>
        <v>0</v>
      </c>
      <c r="C50" s="7">
        <f>'B-FTE Mar'!C50/2</f>
        <v>0</v>
      </c>
      <c r="D50" s="7">
        <f>'B-FTE Mar'!D50/2</f>
        <v>0</v>
      </c>
      <c r="E50" s="7">
        <f>'B-FTE Mar'!E50/2</f>
        <v>0</v>
      </c>
      <c r="F50" s="7">
        <f>'B-FTE Mar'!F50/2</f>
        <v>0</v>
      </c>
      <c r="G50" s="7">
        <f>'B-FTE Mar'!G50/2</f>
        <v>0</v>
      </c>
      <c r="H50" s="7">
        <f>'B-FTE Mar'!H50/2</f>
        <v>0</v>
      </c>
      <c r="I50" s="7">
        <f>'B-FTE Mar'!I50/2</f>
        <v>0</v>
      </c>
      <c r="J50" s="7">
        <f>'B-FTE Mar'!J50/2</f>
        <v>0</v>
      </c>
      <c r="K50" s="7">
        <f>'B-FTE Mar'!K50/2</f>
        <v>0</v>
      </c>
      <c r="L50" s="7">
        <f>'B-FTE Mar'!L50/2</f>
        <v>0</v>
      </c>
      <c r="M50" s="7">
        <f>'B-FTE Mar'!M50/2</f>
        <v>0</v>
      </c>
      <c r="N50" s="7">
        <f>'B-FTE Mar'!N50/2</f>
        <v>0</v>
      </c>
      <c r="O50" s="7">
        <f>'B-FTE Mar'!O50/2</f>
        <v>0</v>
      </c>
      <c r="P50" s="7">
        <f>'B-FTE Mar'!P50/2</f>
        <v>0</v>
      </c>
      <c r="Q50" s="7">
        <f>'B-FTE Mar'!Q50/2</f>
        <v>0</v>
      </c>
      <c r="R50" s="7">
        <f>'B-FTE Mar'!R50/2</f>
        <v>0</v>
      </c>
      <c r="S50" s="7">
        <f>'B-FTE Mar'!S50/2</f>
        <v>0</v>
      </c>
      <c r="T50" s="7">
        <f>'B-FTE Mar'!T50/2</f>
        <v>0</v>
      </c>
      <c r="U50" s="7">
        <f>'B-FTE Mar'!U50/2</f>
        <v>0</v>
      </c>
      <c r="V50" s="7">
        <f>'B-FTE Mar'!V50/2</f>
        <v>0</v>
      </c>
      <c r="W50" s="7">
        <f>'B-FTE Mar'!W50/2</f>
        <v>0</v>
      </c>
      <c r="X50" s="7">
        <f>'B-FTE Mar'!X50/2</f>
        <v>0</v>
      </c>
      <c r="Y50" s="7">
        <f>'B-FTE Mar'!Y50/2</f>
        <v>0</v>
      </c>
      <c r="Z50" s="7">
        <f>'B-FTE Mar'!Z50/2</f>
        <v>0</v>
      </c>
      <c r="AA50" s="7">
        <f>'B-FTE Mar'!AA50/2</f>
        <v>0</v>
      </c>
      <c r="AB50" s="7">
        <f>'B-FTE Mar'!AB50/2</f>
        <v>0</v>
      </c>
      <c r="AC50" s="7">
        <f>'B-FTE Mar'!AC50/2</f>
        <v>0</v>
      </c>
      <c r="AD50" s="7">
        <f>'B-FTE Mar'!AD50/2</f>
        <v>0</v>
      </c>
      <c r="AE50" s="7">
        <f>'B-FTE Mar'!AE50/2</f>
        <v>0</v>
      </c>
      <c r="AF50" s="7">
        <f>'B-FTE Mar'!AF50/2</f>
        <v>0</v>
      </c>
    </row>
    <row r="51" spans="1:33" s="12" customFormat="1" x14ac:dyDescent="0.25">
      <c r="A51" s="12" t="s">
        <v>59</v>
      </c>
      <c r="B51" s="13">
        <f t="shared" ref="B51:AF51" si="1">SUM(B3:B50)</f>
        <v>0</v>
      </c>
      <c r="C51" s="13">
        <f t="shared" si="1"/>
        <v>152.05762965879438</v>
      </c>
      <c r="D51" s="13">
        <f t="shared" si="1"/>
        <v>96.630681204793291</v>
      </c>
      <c r="E51" s="13">
        <f t="shared" si="1"/>
        <v>92.21156911431315</v>
      </c>
      <c r="F51" s="13">
        <f t="shared" si="1"/>
        <v>71.56482780956496</v>
      </c>
      <c r="G51" s="13">
        <f t="shared" si="1"/>
        <v>91.831200665519418</v>
      </c>
      <c r="H51" s="13">
        <f t="shared" si="1"/>
        <v>0</v>
      </c>
      <c r="I51" s="13">
        <f t="shared" si="1"/>
        <v>0</v>
      </c>
      <c r="J51" s="13">
        <f t="shared" si="1"/>
        <v>135.73170298023132</v>
      </c>
      <c r="K51" s="13">
        <f t="shared" si="1"/>
        <v>79.155101574258154</v>
      </c>
      <c r="L51" s="13">
        <f t="shared" si="1"/>
        <v>82.227965784176163</v>
      </c>
      <c r="M51" s="13">
        <f t="shared" si="1"/>
        <v>62.585568136355292</v>
      </c>
      <c r="N51" s="13">
        <f t="shared" si="1"/>
        <v>80.185088047958061</v>
      </c>
      <c r="O51" s="13">
        <f t="shared" si="1"/>
        <v>0</v>
      </c>
      <c r="P51" s="13">
        <f t="shared" si="1"/>
        <v>0</v>
      </c>
      <c r="Q51" s="13">
        <f t="shared" si="1"/>
        <v>134.11620552355674</v>
      </c>
      <c r="R51" s="13">
        <f t="shared" si="1"/>
        <v>76.90280750106372</v>
      </c>
      <c r="S51" s="13">
        <f t="shared" si="1"/>
        <v>86.685542099815237</v>
      </c>
      <c r="T51" s="13">
        <f t="shared" si="1"/>
        <v>62.636853769900512</v>
      </c>
      <c r="U51" s="13">
        <f t="shared" si="1"/>
        <v>83.475916200443265</v>
      </c>
      <c r="V51" s="13">
        <f t="shared" si="1"/>
        <v>0</v>
      </c>
      <c r="W51" s="13">
        <f t="shared" si="1"/>
        <v>0</v>
      </c>
      <c r="X51" s="13">
        <f t="shared" si="1"/>
        <v>124.2180782493285</v>
      </c>
      <c r="Y51" s="13">
        <f t="shared" si="1"/>
        <v>72.265731468016369</v>
      </c>
      <c r="Z51" s="13">
        <f t="shared" si="1"/>
        <v>82.215144375789862</v>
      </c>
      <c r="AA51" s="13">
        <f t="shared" si="1"/>
        <v>61.906033491881068</v>
      </c>
      <c r="AB51" s="13">
        <f t="shared" si="1"/>
        <v>79.155101574258154</v>
      </c>
      <c r="AC51" s="13">
        <f t="shared" si="1"/>
        <v>0</v>
      </c>
      <c r="AD51" s="13">
        <f t="shared" si="1"/>
        <v>0</v>
      </c>
      <c r="AE51" s="13">
        <f t="shared" si="1"/>
        <v>130.65015145645873</v>
      </c>
      <c r="AF51" s="13">
        <f t="shared" si="1"/>
        <v>80.591099313524424</v>
      </c>
      <c r="AG51" s="13">
        <f>SUM(B51:AF51)</f>
        <v>2019.0000000000005</v>
      </c>
    </row>
    <row r="54" spans="1:33" x14ac:dyDescent="0.25">
      <c r="B54" s="3">
        <v>450.21283670190905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01AE-1043-47EC-83D7-B43691E6D2B6}">
  <sheetPr>
    <tabColor rgb="FF7030A0"/>
  </sheetPr>
  <dimension ref="A1:AO51"/>
  <sheetViews>
    <sheetView zoomScale="75" zoomScaleNormal="75" workbookViewId="0">
      <pane xSplit="1" ySplit="1" topLeftCell="B2" activePane="bottomRight" state="frozen"/>
      <selection activeCell="I28" sqref="I28"/>
      <selection pane="topRight" activeCell="I28" sqref="I28"/>
      <selection pane="bottomLeft" activeCell="I28" sqref="I28"/>
      <selection pane="bottomRight" activeCell="AC28" sqref="AC28"/>
    </sheetView>
  </sheetViews>
  <sheetFormatPr defaultColWidth="9.140625" defaultRowHeight="15" x14ac:dyDescent="0.25"/>
  <cols>
    <col min="1" max="1" width="12" style="3" bestFit="1" customWidth="1"/>
    <col min="2" max="10" width="7.7109375" style="3" bestFit="1" customWidth="1"/>
    <col min="11" max="31" width="8.85546875" style="3" bestFit="1" customWidth="1"/>
    <col min="32" max="32" width="7.7109375" style="3" bestFit="1" customWidth="1"/>
    <col min="33" max="34" width="9.140625" style="3"/>
    <col min="35" max="35" width="5.42578125" style="3" bestFit="1" customWidth="1"/>
    <col min="36" max="36" width="4.5703125" style="3" bestFit="1" customWidth="1"/>
    <col min="37" max="37" width="5.42578125" style="3" bestFit="1" customWidth="1"/>
    <col min="38" max="38" width="4.5703125" style="3" bestFit="1" customWidth="1"/>
    <col min="39" max="39" width="3.5703125" style="3" bestFit="1" customWidth="1"/>
    <col min="40" max="40" width="4" style="3" bestFit="1" customWidth="1"/>
    <col min="41" max="41" width="4.5703125" style="3" bestFit="1" customWidth="1"/>
    <col min="42" max="16384" width="9.140625" style="3"/>
  </cols>
  <sheetData>
    <row r="1" spans="1:41" x14ac:dyDescent="0.25">
      <c r="A1" s="14" t="s">
        <v>56</v>
      </c>
      <c r="B1" s="2">
        <f>'V-FTE Apr'!B1</f>
        <v>46113</v>
      </c>
      <c r="C1" s="2">
        <f>B1+1</f>
        <v>46114</v>
      </c>
      <c r="D1" s="2">
        <f t="shared" ref="D1:AF1" si="0">C1+1</f>
        <v>46115</v>
      </c>
      <c r="E1" s="2">
        <f t="shared" si="0"/>
        <v>46116</v>
      </c>
      <c r="F1" s="2">
        <f t="shared" si="0"/>
        <v>46117</v>
      </c>
      <c r="G1" s="2">
        <f t="shared" si="0"/>
        <v>46118</v>
      </c>
      <c r="H1" s="2">
        <f t="shared" si="0"/>
        <v>46119</v>
      </c>
      <c r="I1" s="2">
        <f t="shared" si="0"/>
        <v>46120</v>
      </c>
      <c r="J1" s="2">
        <f t="shared" si="0"/>
        <v>46121</v>
      </c>
      <c r="K1" s="2">
        <f t="shared" si="0"/>
        <v>46122</v>
      </c>
      <c r="L1" s="2">
        <f t="shared" si="0"/>
        <v>46123</v>
      </c>
      <c r="M1" s="2">
        <f t="shared" si="0"/>
        <v>46124</v>
      </c>
      <c r="N1" s="2">
        <f t="shared" si="0"/>
        <v>46125</v>
      </c>
      <c r="O1" s="2">
        <f t="shared" si="0"/>
        <v>46126</v>
      </c>
      <c r="P1" s="2">
        <f t="shared" si="0"/>
        <v>46127</v>
      </c>
      <c r="Q1" s="2">
        <f t="shared" si="0"/>
        <v>46128</v>
      </c>
      <c r="R1" s="2">
        <f t="shared" si="0"/>
        <v>46129</v>
      </c>
      <c r="S1" s="2">
        <f t="shared" si="0"/>
        <v>46130</v>
      </c>
      <c r="T1" s="2">
        <f t="shared" si="0"/>
        <v>46131</v>
      </c>
      <c r="U1" s="2">
        <f t="shared" si="0"/>
        <v>46132</v>
      </c>
      <c r="V1" s="2">
        <f t="shared" si="0"/>
        <v>46133</v>
      </c>
      <c r="W1" s="2">
        <f t="shared" si="0"/>
        <v>46134</v>
      </c>
      <c r="X1" s="2">
        <f t="shared" si="0"/>
        <v>46135</v>
      </c>
      <c r="Y1" s="2">
        <f t="shared" si="0"/>
        <v>46136</v>
      </c>
      <c r="Z1" s="2">
        <f t="shared" si="0"/>
        <v>46137</v>
      </c>
      <c r="AA1" s="2">
        <f t="shared" si="0"/>
        <v>46138</v>
      </c>
      <c r="AB1" s="2">
        <f t="shared" si="0"/>
        <v>46139</v>
      </c>
      <c r="AC1" s="2">
        <f t="shared" si="0"/>
        <v>46140</v>
      </c>
      <c r="AD1" s="2">
        <f t="shared" si="0"/>
        <v>46141</v>
      </c>
      <c r="AE1" s="2">
        <f t="shared" si="0"/>
        <v>46142</v>
      </c>
      <c r="AF1" s="2">
        <f t="shared" si="0"/>
        <v>46143</v>
      </c>
      <c r="AI1" s="22" t="s">
        <v>61</v>
      </c>
      <c r="AJ1" s="22"/>
      <c r="AK1" s="22"/>
      <c r="AL1" s="22"/>
      <c r="AM1" s="22"/>
      <c r="AN1" s="22"/>
      <c r="AO1" s="22"/>
    </row>
    <row r="2" spans="1:41" x14ac:dyDescent="0.25">
      <c r="A2" s="15"/>
      <c r="B2" s="5" t="str">
        <f>TEXT(B1,"ddd")</f>
        <v>Wed</v>
      </c>
      <c r="C2" s="5" t="str">
        <f t="shared" ref="C2:AF2" si="1">TEXT(C1,"ddd")</f>
        <v>Thu</v>
      </c>
      <c r="D2" s="5" t="str">
        <f t="shared" si="1"/>
        <v>Fri</v>
      </c>
      <c r="E2" s="5" t="str">
        <f t="shared" si="1"/>
        <v>Sat</v>
      </c>
      <c r="F2" s="5" t="str">
        <f t="shared" si="1"/>
        <v>Sun</v>
      </c>
      <c r="G2" s="5" t="str">
        <f t="shared" si="1"/>
        <v>Mon</v>
      </c>
      <c r="H2" s="5" t="str">
        <f t="shared" si="1"/>
        <v>Tue</v>
      </c>
      <c r="I2" s="5" t="str">
        <f t="shared" si="1"/>
        <v>Wed</v>
      </c>
      <c r="J2" s="5" t="str">
        <f t="shared" si="1"/>
        <v>Thu</v>
      </c>
      <c r="K2" s="5" t="str">
        <f t="shared" si="1"/>
        <v>Fri</v>
      </c>
      <c r="L2" s="5" t="str">
        <f t="shared" si="1"/>
        <v>Sat</v>
      </c>
      <c r="M2" s="5" t="str">
        <f t="shared" si="1"/>
        <v>Sun</v>
      </c>
      <c r="N2" s="5" t="str">
        <f t="shared" si="1"/>
        <v>Mon</v>
      </c>
      <c r="O2" s="5" t="str">
        <f t="shared" si="1"/>
        <v>Tue</v>
      </c>
      <c r="P2" s="5" t="str">
        <f t="shared" si="1"/>
        <v>Wed</v>
      </c>
      <c r="Q2" s="5" t="str">
        <f t="shared" si="1"/>
        <v>Thu</v>
      </c>
      <c r="R2" s="5" t="str">
        <f t="shared" si="1"/>
        <v>Fri</v>
      </c>
      <c r="S2" s="5" t="str">
        <f t="shared" si="1"/>
        <v>Sat</v>
      </c>
      <c r="T2" s="5" t="str">
        <f t="shared" si="1"/>
        <v>Sun</v>
      </c>
      <c r="U2" s="5" t="str">
        <f t="shared" si="1"/>
        <v>Mon</v>
      </c>
      <c r="V2" s="5" t="str">
        <f t="shared" si="1"/>
        <v>Tue</v>
      </c>
      <c r="W2" s="5" t="str">
        <f t="shared" si="1"/>
        <v>Wed</v>
      </c>
      <c r="X2" s="5" t="str">
        <f t="shared" si="1"/>
        <v>Thu</v>
      </c>
      <c r="Y2" s="5" t="str">
        <f t="shared" si="1"/>
        <v>Fri</v>
      </c>
      <c r="Z2" s="5" t="str">
        <f t="shared" si="1"/>
        <v>Sat</v>
      </c>
      <c r="AA2" s="5" t="str">
        <f t="shared" si="1"/>
        <v>Sun</v>
      </c>
      <c r="AB2" s="5" t="str">
        <f t="shared" si="1"/>
        <v>Mon</v>
      </c>
      <c r="AC2" s="5" t="str">
        <f t="shared" si="1"/>
        <v>Tue</v>
      </c>
      <c r="AD2" s="5" t="str">
        <f t="shared" si="1"/>
        <v>Wed</v>
      </c>
      <c r="AE2" s="5" t="str">
        <f t="shared" si="1"/>
        <v>Thu</v>
      </c>
      <c r="AF2" s="5" t="str">
        <f t="shared" si="1"/>
        <v>Fri</v>
      </c>
      <c r="AI2" s="6" t="s">
        <v>1</v>
      </c>
      <c r="AJ2" s="6" t="s">
        <v>2</v>
      </c>
      <c r="AK2" s="6" t="s">
        <v>3</v>
      </c>
      <c r="AL2" s="6" t="s">
        <v>4</v>
      </c>
      <c r="AM2" s="6" t="s">
        <v>5</v>
      </c>
      <c r="AN2" s="6" t="s">
        <v>6</v>
      </c>
      <c r="AO2" s="6" t="s">
        <v>7</v>
      </c>
    </row>
    <row r="3" spans="1:41" x14ac:dyDescent="0.25">
      <c r="A3" s="3" t="s">
        <v>8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/>
      <c r="AI3" s="8"/>
      <c r="AJ3" s="8"/>
      <c r="AK3" s="8"/>
      <c r="AL3" s="8"/>
      <c r="AM3" s="8"/>
      <c r="AN3" s="8"/>
      <c r="AO3" s="8"/>
    </row>
    <row r="4" spans="1:41" x14ac:dyDescent="0.25">
      <c r="A4" s="3" t="s">
        <v>9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/>
      <c r="AI4" s="8"/>
      <c r="AJ4" s="8"/>
      <c r="AK4" s="8"/>
      <c r="AL4" s="8"/>
      <c r="AM4" s="8"/>
      <c r="AN4" s="8"/>
      <c r="AO4" s="8"/>
    </row>
    <row r="5" spans="1:41" x14ac:dyDescent="0.25">
      <c r="A5" s="3" t="s">
        <v>10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/>
      <c r="AI5" s="8"/>
      <c r="AJ5" s="8"/>
      <c r="AK5" s="8"/>
      <c r="AL5" s="8"/>
      <c r="AM5" s="8"/>
      <c r="AN5" s="8"/>
      <c r="AO5" s="8"/>
    </row>
    <row r="6" spans="1:41" x14ac:dyDescent="0.25">
      <c r="A6" s="3" t="s">
        <v>11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/>
      <c r="AI6" s="8"/>
      <c r="AJ6" s="8"/>
      <c r="AK6" s="8"/>
      <c r="AL6" s="8"/>
      <c r="AM6" s="8"/>
      <c r="AN6" s="8"/>
      <c r="AO6" s="8"/>
    </row>
    <row r="7" spans="1:41" x14ac:dyDescent="0.25">
      <c r="A7" s="3" t="s">
        <v>12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/>
      <c r="AI7" s="8"/>
      <c r="AJ7" s="8"/>
      <c r="AK7" s="8"/>
      <c r="AL7" s="8"/>
      <c r="AM7" s="8"/>
      <c r="AN7" s="8"/>
      <c r="AO7" s="8"/>
    </row>
    <row r="8" spans="1:41" x14ac:dyDescent="0.25">
      <c r="A8" s="3" t="s">
        <v>13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/>
      <c r="AI8" s="8"/>
      <c r="AJ8" s="8"/>
      <c r="AK8" s="8"/>
      <c r="AL8" s="8"/>
      <c r="AM8" s="8"/>
      <c r="AN8" s="8"/>
      <c r="AO8" s="8"/>
    </row>
    <row r="9" spans="1:41" x14ac:dyDescent="0.25">
      <c r="A9" s="3" t="s">
        <v>14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/>
      <c r="AI9" s="8"/>
      <c r="AJ9" s="8"/>
      <c r="AK9" s="8"/>
      <c r="AL9" s="8"/>
      <c r="AM9" s="8"/>
      <c r="AN9" s="8"/>
      <c r="AO9" s="8"/>
    </row>
    <row r="10" spans="1:41" x14ac:dyDescent="0.25">
      <c r="A10" s="3" t="s">
        <v>15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/>
      <c r="AI10" s="8"/>
      <c r="AJ10" s="8"/>
      <c r="AK10" s="8"/>
      <c r="AL10" s="8"/>
      <c r="AM10" s="8"/>
      <c r="AN10" s="8"/>
      <c r="AO10" s="8"/>
    </row>
    <row r="11" spans="1:41" x14ac:dyDescent="0.25">
      <c r="A11" s="3" t="s">
        <v>16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/>
      <c r="AI11" s="8"/>
      <c r="AJ11" s="8"/>
      <c r="AK11" s="8"/>
      <c r="AL11" s="8"/>
      <c r="AM11" s="8"/>
      <c r="AN11" s="8"/>
      <c r="AO11" s="8"/>
    </row>
    <row r="12" spans="1:41" x14ac:dyDescent="0.25">
      <c r="A12" s="3" t="s">
        <v>17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/>
      <c r="AI12" s="8"/>
      <c r="AJ12" s="8"/>
      <c r="AK12" s="8"/>
      <c r="AL12" s="8"/>
      <c r="AM12" s="8"/>
      <c r="AN12" s="8"/>
      <c r="AO12" s="8"/>
    </row>
    <row r="13" spans="1:41" x14ac:dyDescent="0.25">
      <c r="A13" s="3" t="s">
        <v>18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/>
      <c r="AI13" s="8"/>
      <c r="AJ13" s="8"/>
      <c r="AK13" s="8"/>
      <c r="AL13" s="8"/>
      <c r="AM13" s="8"/>
      <c r="AN13" s="8"/>
      <c r="AO13" s="8"/>
    </row>
    <row r="14" spans="1:41" x14ac:dyDescent="0.25">
      <c r="A14" s="3" t="s">
        <v>19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/>
      <c r="AI14" s="8"/>
      <c r="AJ14" s="8"/>
      <c r="AK14" s="8"/>
      <c r="AL14" s="8"/>
      <c r="AM14" s="8"/>
      <c r="AN14" s="8"/>
      <c r="AO14" s="8"/>
    </row>
    <row r="15" spans="1:41" x14ac:dyDescent="0.25">
      <c r="A15" s="3" t="s">
        <v>20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/>
      <c r="AI15" s="8"/>
      <c r="AJ15" s="8"/>
      <c r="AK15" s="8"/>
      <c r="AL15" s="8"/>
      <c r="AM15" s="8"/>
      <c r="AN15" s="8"/>
      <c r="AO15" s="8"/>
    </row>
    <row r="16" spans="1:41" x14ac:dyDescent="0.25">
      <c r="A16" s="3" t="s">
        <v>21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/>
      <c r="AI16" s="8"/>
      <c r="AJ16" s="8"/>
      <c r="AK16" s="8"/>
      <c r="AL16" s="8"/>
      <c r="AM16" s="8"/>
      <c r="AN16" s="8"/>
      <c r="AO16" s="8"/>
    </row>
    <row r="17" spans="1:41" x14ac:dyDescent="0.25">
      <c r="A17" s="3" t="s">
        <v>22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/>
      <c r="AI17" s="8"/>
      <c r="AJ17" s="8"/>
      <c r="AK17" s="8"/>
      <c r="AL17" s="8"/>
      <c r="AM17" s="8"/>
      <c r="AN17" s="8"/>
      <c r="AO17" s="8"/>
    </row>
    <row r="18" spans="1:41" x14ac:dyDescent="0.25">
      <c r="A18" s="3" t="s">
        <v>23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/>
      <c r="AI18" s="8"/>
      <c r="AJ18" s="8"/>
      <c r="AK18" s="8"/>
      <c r="AL18" s="8"/>
      <c r="AM18" s="8"/>
      <c r="AN18" s="8"/>
      <c r="AO18" s="8"/>
    </row>
    <row r="19" spans="1:41" x14ac:dyDescent="0.25">
      <c r="A19" s="3" t="s">
        <v>24</v>
      </c>
      <c r="B19" s="19">
        <v>1.6822803938899868</v>
      </c>
      <c r="C19" s="19">
        <v>2.0520123485910831</v>
      </c>
      <c r="D19" s="19">
        <v>1.7931999803003154</v>
      </c>
      <c r="E19" s="19">
        <v>0</v>
      </c>
      <c r="F19" s="19">
        <v>0</v>
      </c>
      <c r="G19" s="19">
        <v>2.5788803840401444</v>
      </c>
      <c r="H19" s="19">
        <v>1.8394164746379524</v>
      </c>
      <c r="I19" s="19">
        <v>1.5343876120095483</v>
      </c>
      <c r="J19" s="19">
        <v>1.876389670108062</v>
      </c>
      <c r="K19" s="19">
        <v>1.7931999803003154</v>
      </c>
      <c r="L19" s="19">
        <v>0</v>
      </c>
      <c r="M19" s="19">
        <v>0</v>
      </c>
      <c r="N19" s="19">
        <v>2.4217443032921788</v>
      </c>
      <c r="O19" s="19">
        <v>1.6545504972874046</v>
      </c>
      <c r="P19" s="19">
        <v>1.5251443131420208</v>
      </c>
      <c r="Q19" s="19">
        <v>1.8671463712405345</v>
      </c>
      <c r="R19" s="19">
        <v>1.617577301817295</v>
      </c>
      <c r="S19" s="19">
        <v>0</v>
      </c>
      <c r="T19" s="19">
        <v>0</v>
      </c>
      <c r="U19" s="19">
        <v>2.4587174987622884</v>
      </c>
      <c r="V19" s="19">
        <v>1.6822803938899868</v>
      </c>
      <c r="W19" s="19">
        <v>1.5528742097446029</v>
      </c>
      <c r="X19" s="19">
        <v>1.8948762678431166</v>
      </c>
      <c r="Y19" s="19">
        <v>1.6360638995523498</v>
      </c>
      <c r="Z19" s="19">
        <v>0</v>
      </c>
      <c r="AA19" s="19">
        <v>0</v>
      </c>
      <c r="AB19" s="19">
        <v>2.2091484293390486</v>
      </c>
      <c r="AC19" s="19">
        <v>1.6268206006848223</v>
      </c>
      <c r="AD19" s="19">
        <v>1.497414416539439</v>
      </c>
      <c r="AE19" s="19">
        <v>1.8301731757704252</v>
      </c>
      <c r="AF19" s="19"/>
      <c r="AI19" s="9" cm="1">
        <f t="array" ref="AI19">MAX(_xlfn._xlws.FILTER($D19:$AF19, $D$2:$AF$2=AI$2))</f>
        <v>2.5788803840401444</v>
      </c>
      <c r="AJ19" s="9" cm="1">
        <f t="array" ref="AJ19">MAX(_xlfn._xlws.FILTER($B19:$AF19, $B$2:$AF$2=AJ$2))</f>
        <v>1.8394164746379524</v>
      </c>
      <c r="AK19" s="9" cm="1">
        <f t="array" ref="AK19">MAX(_xlfn._xlws.FILTER($B19:$AF19, $B$2:$AF$2=AK$2))</f>
        <v>1.6822803938899868</v>
      </c>
      <c r="AL19" s="9" cm="1">
        <f t="array" ref="AL19">MAX(_xlfn._xlws.FILTER($B19:$AF19, $B$2:$AF$2=AL$2))</f>
        <v>2.0520123485910831</v>
      </c>
      <c r="AM19" s="9" cm="1">
        <f t="array" ref="AM19">MAX(_xlfn._xlws.FILTER($B19:$AF19, $B$2:$AF$2=AM$2))</f>
        <v>1.7931999803003154</v>
      </c>
      <c r="AN19" s="9" cm="1">
        <f t="array" ref="AN19">MAX(_xlfn._xlws.FILTER($B19:$AF19, $B$2:$AF$2=AN$2))</f>
        <v>0</v>
      </c>
      <c r="AO19" s="9" cm="1">
        <f t="array" ref="AO19">MAX(_xlfn._xlws.FILTER($B19:$AF19, $B$2:$AF$2=AO$2))</f>
        <v>0</v>
      </c>
    </row>
    <row r="20" spans="1:41" x14ac:dyDescent="0.25">
      <c r="A20" s="3" t="s">
        <v>25</v>
      </c>
      <c r="B20" s="19">
        <v>2.5419071885700348</v>
      </c>
      <c r="C20" s="19">
        <v>3.2166680058995354</v>
      </c>
      <c r="D20" s="19">
        <v>2.5881236829076717</v>
      </c>
      <c r="E20" s="19">
        <v>0</v>
      </c>
      <c r="F20" s="19">
        <v>0</v>
      </c>
      <c r="G20" s="19">
        <v>4.353593766605405</v>
      </c>
      <c r="H20" s="19">
        <v>2.5973669817751994</v>
      </c>
      <c r="I20" s="19">
        <v>2.3755278089545415</v>
      </c>
      <c r="J20" s="19">
        <v>2.8376927523309114</v>
      </c>
      <c r="K20" s="19">
        <v>2.2738515214117405</v>
      </c>
      <c r="L20" s="19">
        <v>0</v>
      </c>
      <c r="M20" s="19">
        <v>0</v>
      </c>
      <c r="N20" s="19">
        <v>3.752779340216124</v>
      </c>
      <c r="O20" s="19">
        <v>2.4217443032921788</v>
      </c>
      <c r="P20" s="19">
        <v>2.3755278089545415</v>
      </c>
      <c r="Q20" s="19">
        <v>3.0318020285489871</v>
      </c>
      <c r="R20" s="19">
        <v>2.2646082225442128</v>
      </c>
      <c r="S20" s="19">
        <v>0</v>
      </c>
      <c r="T20" s="19">
        <v>0</v>
      </c>
      <c r="U20" s="19">
        <v>4.0115917085068915</v>
      </c>
      <c r="V20" s="19">
        <v>2.4587174987622884</v>
      </c>
      <c r="W20" s="19">
        <v>2.4032577055571238</v>
      </c>
      <c r="X20" s="19">
        <v>2.8746659478010215</v>
      </c>
      <c r="Y20" s="19">
        <v>2.3015814180143228</v>
      </c>
      <c r="Z20" s="19">
        <v>0</v>
      </c>
      <c r="AA20" s="19">
        <v>0</v>
      </c>
      <c r="AB20" s="19">
        <v>3.669589650408378</v>
      </c>
      <c r="AC20" s="19">
        <v>2.5326638897025076</v>
      </c>
      <c r="AD20" s="19">
        <v>2.1536886361338841</v>
      </c>
      <c r="AE20" s="19">
        <v>2.7729896602582196</v>
      </c>
      <c r="AF20" s="19"/>
      <c r="AI20" s="9" cm="1">
        <f t="array" ref="AI20">MAX(_xlfn._xlws.FILTER($D20:$AF20, $D$2:$AF$2=AI$2))</f>
        <v>4.353593766605405</v>
      </c>
      <c r="AJ20" s="9" cm="1">
        <f t="array" ref="AJ20">MAX(_xlfn._xlws.FILTER($B20:$AF20, $B$2:$AF$2=AJ$2))</f>
        <v>2.5973669817751994</v>
      </c>
      <c r="AK20" s="9" cm="1">
        <f t="array" ref="AK20">MAX(_xlfn._xlws.FILTER($B20:$AF20, $B$2:$AF$2=AK$2))</f>
        <v>2.5419071885700348</v>
      </c>
      <c r="AL20" s="9" cm="1">
        <f t="array" ref="AL20">MAX(_xlfn._xlws.FILTER($B20:$AF20, $B$2:$AF$2=AL$2))</f>
        <v>3.2166680058995354</v>
      </c>
      <c r="AM20" s="9" cm="1">
        <f t="array" ref="AM20">MAX(_xlfn._xlws.FILTER($B20:$AF20, $B$2:$AF$2=AM$2))</f>
        <v>2.5881236829076717</v>
      </c>
      <c r="AN20" s="9" cm="1">
        <f t="array" ref="AN20">MAX(_xlfn._xlws.FILTER($B20:$AF20, $B$2:$AF$2=AN$2))</f>
        <v>0</v>
      </c>
      <c r="AO20" s="9" cm="1">
        <f t="array" ref="AO20">MAX(_xlfn._xlws.FILTER($B20:$AF20, $B$2:$AF$2=AO$2))</f>
        <v>0</v>
      </c>
    </row>
    <row r="21" spans="1:41" x14ac:dyDescent="0.25">
      <c r="A21" s="3" t="s">
        <v>26</v>
      </c>
      <c r="B21" s="19">
        <v>4.6586226292338093</v>
      </c>
      <c r="C21" s="19">
        <v>5.0375978828024328</v>
      </c>
      <c r="D21" s="19">
        <v>4.1964576858574398</v>
      </c>
      <c r="E21" s="19">
        <v>0</v>
      </c>
      <c r="F21" s="19">
        <v>0</v>
      </c>
      <c r="G21" s="19">
        <v>8.3836720728473519</v>
      </c>
      <c r="H21" s="19">
        <v>4.4829999507507887</v>
      </c>
      <c r="I21" s="19">
        <v>4.2796473756651858</v>
      </c>
      <c r="J21" s="19">
        <v>4.4460267552806787</v>
      </c>
      <c r="K21" s="19">
        <v>3.6880762481434326</v>
      </c>
      <c r="L21" s="19">
        <v>0</v>
      </c>
      <c r="M21" s="19">
        <v>0</v>
      </c>
      <c r="N21" s="19">
        <v>7.6164782668425772</v>
      </c>
      <c r="O21" s="19">
        <v>4.1040246971821661</v>
      </c>
      <c r="P21" s="19">
        <v>4.4460267552806787</v>
      </c>
      <c r="Q21" s="19">
        <v>4.630892732631227</v>
      </c>
      <c r="R21" s="19">
        <v>3.5032102707928847</v>
      </c>
      <c r="S21" s="19">
        <v>0</v>
      </c>
      <c r="T21" s="19">
        <v>0</v>
      </c>
      <c r="U21" s="19">
        <v>7.7366411521204324</v>
      </c>
      <c r="V21" s="19">
        <v>4.1687277892548567</v>
      </c>
      <c r="W21" s="19">
        <v>4.1317545937847475</v>
      </c>
      <c r="X21" s="19">
        <v>4.5014865484858442</v>
      </c>
      <c r="Y21" s="19">
        <v>3.7250494436135422</v>
      </c>
      <c r="Z21" s="19">
        <v>0</v>
      </c>
      <c r="AA21" s="19">
        <v>0</v>
      </c>
      <c r="AB21" s="19">
        <v>7.1912865189363169</v>
      </c>
      <c r="AC21" s="19">
        <v>4.1964576858574398</v>
      </c>
      <c r="AD21" s="19">
        <v>3.9838618119043088</v>
      </c>
      <c r="AE21" s="19">
        <v>4.3351071688703513</v>
      </c>
      <c r="AF21" s="19"/>
      <c r="AI21" s="9" cm="1">
        <f t="array" ref="AI21">MAX(_xlfn._xlws.FILTER($D21:$AF21, $D$2:$AF$2=AI$2))</f>
        <v>8.3836720728473519</v>
      </c>
      <c r="AJ21" s="9" cm="1">
        <f t="array" ref="AJ21">MAX(_xlfn._xlws.FILTER($B21:$AF21, $B$2:$AF$2=AJ$2))</f>
        <v>4.4829999507507887</v>
      </c>
      <c r="AK21" s="9" cm="1">
        <f t="array" ref="AK21">MAX(_xlfn._xlws.FILTER($B21:$AF21, $B$2:$AF$2=AK$2))</f>
        <v>4.6586226292338093</v>
      </c>
      <c r="AL21" s="9" cm="1">
        <f t="array" ref="AL21">MAX(_xlfn._xlws.FILTER($B21:$AF21, $B$2:$AF$2=AL$2))</f>
        <v>5.0375978828024328</v>
      </c>
      <c r="AM21" s="9" cm="1">
        <f t="array" ref="AM21">MAX(_xlfn._xlws.FILTER($B21:$AF21, $B$2:$AF$2=AM$2))</f>
        <v>4.1964576858574398</v>
      </c>
      <c r="AN21" s="9" cm="1">
        <f t="array" ref="AN21">MAX(_xlfn._xlws.FILTER($B21:$AF21, $B$2:$AF$2=AN$2))</f>
        <v>0</v>
      </c>
      <c r="AO21" s="9" cm="1">
        <f t="array" ref="AO21">MAX(_xlfn._xlws.FILTER($B21:$AF21, $B$2:$AF$2=AO$2))</f>
        <v>0</v>
      </c>
    </row>
    <row r="22" spans="1:41" x14ac:dyDescent="0.25">
      <c r="A22" s="3" t="s">
        <v>27</v>
      </c>
      <c r="B22" s="19">
        <v>7.8290741407957078</v>
      </c>
      <c r="C22" s="19">
        <v>7.4131256917569743</v>
      </c>
      <c r="D22" s="19">
        <v>6.5442555982093991</v>
      </c>
      <c r="E22" s="19">
        <v>0</v>
      </c>
      <c r="F22" s="19">
        <v>0</v>
      </c>
      <c r="G22" s="19">
        <v>13.15321428849149</v>
      </c>
      <c r="H22" s="19">
        <v>7.1912865189363169</v>
      </c>
      <c r="I22" s="19">
        <v>7.1727999212012614</v>
      </c>
      <c r="J22" s="19">
        <v>6.7753380698975842</v>
      </c>
      <c r="K22" s="19">
        <v>5.7770617922046252</v>
      </c>
      <c r="L22" s="19">
        <v>0</v>
      </c>
      <c r="M22" s="19">
        <v>0</v>
      </c>
      <c r="N22" s="19">
        <v>11.738989561759796</v>
      </c>
      <c r="O22" s="19">
        <v>6.9786906449831863</v>
      </c>
      <c r="P22" s="19">
        <v>7.3761524962868652</v>
      </c>
      <c r="Q22" s="19">
        <v>6.7568514721625288</v>
      </c>
      <c r="R22" s="19">
        <v>5.5644659182514937</v>
      </c>
      <c r="S22" s="19">
        <v>0</v>
      </c>
      <c r="T22" s="19">
        <v>0</v>
      </c>
      <c r="U22" s="19">
        <v>12.210397804003694</v>
      </c>
      <c r="V22" s="19">
        <v>6.6736617823547819</v>
      </c>
      <c r="W22" s="19">
        <v>7.0526370359234063</v>
      </c>
      <c r="X22" s="19">
        <v>6.424092712931543</v>
      </c>
      <c r="Y22" s="19">
        <v>5.6476556080592415</v>
      </c>
      <c r="Z22" s="19">
        <v>0</v>
      </c>
      <c r="AA22" s="19">
        <v>0</v>
      </c>
      <c r="AB22" s="19">
        <v>11.184391629708152</v>
      </c>
      <c r="AC22" s="19">
        <v>6.8030679665001657</v>
      </c>
      <c r="AD22" s="19">
        <v>6.5627421959444527</v>
      </c>
      <c r="AE22" s="19">
        <v>6.5904720925470359</v>
      </c>
      <c r="AF22" s="19"/>
      <c r="AI22" s="9" cm="1">
        <f t="array" ref="AI22">MAX(_xlfn._xlws.FILTER($D22:$AF22, $D$2:$AF$2=AI$2))</f>
        <v>13.15321428849149</v>
      </c>
      <c r="AJ22" s="9" cm="1">
        <f t="array" ref="AJ22">MAX(_xlfn._xlws.FILTER($B22:$AF22, $B$2:$AF$2=AJ$2))</f>
        <v>7.1912865189363169</v>
      </c>
      <c r="AK22" s="9" cm="1">
        <f t="array" ref="AK22">MAX(_xlfn._xlws.FILTER($B22:$AF22, $B$2:$AF$2=AK$2))</f>
        <v>7.8290741407957078</v>
      </c>
      <c r="AL22" s="9" cm="1">
        <f t="array" ref="AL22">MAX(_xlfn._xlws.FILTER($B22:$AF22, $B$2:$AF$2=AL$2))</f>
        <v>7.4131256917569743</v>
      </c>
      <c r="AM22" s="9" cm="1">
        <f t="array" ref="AM22">MAX(_xlfn._xlws.FILTER($B22:$AF22, $B$2:$AF$2=AM$2))</f>
        <v>6.5442555982093991</v>
      </c>
      <c r="AN22" s="9" cm="1">
        <f t="array" ref="AN22">MAX(_xlfn._xlws.FILTER($B22:$AF22, $B$2:$AF$2=AN$2))</f>
        <v>0</v>
      </c>
      <c r="AO22" s="9" cm="1">
        <f t="array" ref="AO22">MAX(_xlfn._xlws.FILTER($B22:$AF22, $B$2:$AF$2=AO$2))</f>
        <v>0</v>
      </c>
    </row>
    <row r="23" spans="1:41" x14ac:dyDescent="0.25">
      <c r="A23" s="3" t="s">
        <v>28</v>
      </c>
      <c r="B23" s="19">
        <v>10.269305041822941</v>
      </c>
      <c r="C23" s="19">
        <v>9.6592473165661321</v>
      </c>
      <c r="D23" s="19">
        <v>8.9105401082964129</v>
      </c>
      <c r="E23" s="19">
        <v>0</v>
      </c>
      <c r="F23" s="19">
        <v>0</v>
      </c>
      <c r="G23" s="19">
        <v>15.390092614433119</v>
      </c>
      <c r="H23" s="19">
        <v>10.084439064472393</v>
      </c>
      <c r="I23" s="19">
        <v>9.381948350540311</v>
      </c>
      <c r="J23" s="19">
        <v>8.5685380501978994</v>
      </c>
      <c r="K23" s="19">
        <v>7.8845339340008707</v>
      </c>
      <c r="L23" s="19">
        <v>0</v>
      </c>
      <c r="M23" s="19">
        <v>0</v>
      </c>
      <c r="N23" s="19">
        <v>13.615379231867859</v>
      </c>
      <c r="O23" s="19">
        <v>9.6037875233609693</v>
      </c>
      <c r="P23" s="19">
        <v>9.5760576267583843</v>
      </c>
      <c r="Q23" s="19">
        <v>8.7534040275484468</v>
      </c>
      <c r="R23" s="19">
        <v>7.6534514623126864</v>
      </c>
      <c r="S23" s="19">
        <v>0</v>
      </c>
      <c r="T23" s="19">
        <v>0</v>
      </c>
      <c r="U23" s="19">
        <v>14.096030772979285</v>
      </c>
      <c r="V23" s="19">
        <v>9.3080019596000909</v>
      </c>
      <c r="W23" s="19">
        <v>9.2802720629975077</v>
      </c>
      <c r="X23" s="19">
        <v>8.4483751649200425</v>
      </c>
      <c r="Y23" s="19">
        <v>7.7736143475905433</v>
      </c>
      <c r="Z23" s="19">
        <v>0</v>
      </c>
      <c r="AA23" s="19">
        <v>0</v>
      </c>
      <c r="AB23" s="19">
        <v>13.051538000948687</v>
      </c>
      <c r="AC23" s="19">
        <v>9.5853009256259121</v>
      </c>
      <c r="AD23" s="19">
        <v>8.697944234343284</v>
      </c>
      <c r="AE23" s="19">
        <v>8.3374555785097133</v>
      </c>
      <c r="AF23" s="19"/>
      <c r="AI23" s="9" cm="1">
        <f t="array" ref="AI23">MAX(_xlfn._xlws.FILTER($D23:$AF23, $D$2:$AF$2=AI$2))</f>
        <v>15.390092614433119</v>
      </c>
      <c r="AJ23" s="9" cm="1">
        <f t="array" ref="AJ23">MAX(_xlfn._xlws.FILTER($B23:$AF23, $B$2:$AF$2=AJ$2))</f>
        <v>10.084439064472393</v>
      </c>
      <c r="AK23" s="9" cm="1">
        <f t="array" ref="AK23">MAX(_xlfn._xlws.FILTER($B23:$AF23, $B$2:$AF$2=AK$2))</f>
        <v>10.269305041822941</v>
      </c>
      <c r="AL23" s="9" cm="1">
        <f t="array" ref="AL23">MAX(_xlfn._xlws.FILTER($B23:$AF23, $B$2:$AF$2=AL$2))</f>
        <v>9.6592473165661321</v>
      </c>
      <c r="AM23" s="9" cm="1">
        <f t="array" ref="AM23">MAX(_xlfn._xlws.FILTER($B23:$AF23, $B$2:$AF$2=AM$2))</f>
        <v>8.9105401082964129</v>
      </c>
      <c r="AN23" s="9" cm="1">
        <f t="array" ref="AN23">MAX(_xlfn._xlws.FILTER($B23:$AF23, $B$2:$AF$2=AN$2))</f>
        <v>0</v>
      </c>
      <c r="AO23" s="9" cm="1">
        <f t="array" ref="AO23">MAX(_xlfn._xlws.FILTER($B23:$AF23, $B$2:$AF$2=AO$2))</f>
        <v>0</v>
      </c>
    </row>
    <row r="24" spans="1:41" x14ac:dyDescent="0.25">
      <c r="A24" s="3" t="s">
        <v>29</v>
      </c>
      <c r="B24" s="19">
        <v>14.456519428812854</v>
      </c>
      <c r="C24" s="19">
        <v>12.376777183619188</v>
      </c>
      <c r="D24" s="19">
        <v>12.164181309666059</v>
      </c>
      <c r="E24" s="19">
        <v>0</v>
      </c>
      <c r="F24" s="19">
        <v>0</v>
      </c>
      <c r="G24" s="19">
        <v>19.022709069371388</v>
      </c>
      <c r="H24" s="19">
        <v>13.513702944325058</v>
      </c>
      <c r="I24" s="19">
        <v>13.014564805478578</v>
      </c>
      <c r="J24" s="19">
        <v>11.2675813195159</v>
      </c>
      <c r="K24" s="19">
        <v>10.666766893126619</v>
      </c>
      <c r="L24" s="19">
        <v>0</v>
      </c>
      <c r="M24" s="19">
        <v>0</v>
      </c>
      <c r="N24" s="19">
        <v>16.952210123045248</v>
      </c>
      <c r="O24" s="19">
        <v>13.00532150661105</v>
      </c>
      <c r="P24" s="19">
        <v>13.217917380564183</v>
      </c>
      <c r="Q24" s="19">
        <v>11.221364825178263</v>
      </c>
      <c r="R24" s="19">
        <v>10.204601949750248</v>
      </c>
      <c r="S24" s="19">
        <v>0</v>
      </c>
      <c r="T24" s="19">
        <v>0</v>
      </c>
      <c r="U24" s="19">
        <v>17.497564756229369</v>
      </c>
      <c r="V24" s="19">
        <v>12.737265839452757</v>
      </c>
      <c r="W24" s="19">
        <v>12.709535942850176</v>
      </c>
      <c r="X24" s="19">
        <v>10.731469985199311</v>
      </c>
      <c r="Y24" s="19">
        <v>10.583577203318871</v>
      </c>
      <c r="Z24" s="19">
        <v>0</v>
      </c>
      <c r="AA24" s="19">
        <v>0</v>
      </c>
      <c r="AB24" s="19">
        <v>16.295935903450804</v>
      </c>
      <c r="AC24" s="19">
        <v>12.922131816803304</v>
      </c>
      <c r="AD24" s="19">
        <v>11.970072033447982</v>
      </c>
      <c r="AE24" s="19">
        <v>10.962552456887495</v>
      </c>
      <c r="AF24" s="19"/>
      <c r="AI24" s="9" cm="1">
        <f t="array" ref="AI24">MAX(_xlfn._xlws.FILTER($D24:$AF24, $D$2:$AF$2=AI$2))</f>
        <v>19.022709069371388</v>
      </c>
      <c r="AJ24" s="9" cm="1">
        <f t="array" ref="AJ24">MAX(_xlfn._xlws.FILTER($B24:$AF24, $B$2:$AF$2=AJ$2))</f>
        <v>13.513702944325058</v>
      </c>
      <c r="AK24" s="9" cm="1">
        <f t="array" ref="AK24">MAX(_xlfn._xlws.FILTER($B24:$AF24, $B$2:$AF$2=AK$2))</f>
        <v>14.456519428812854</v>
      </c>
      <c r="AL24" s="9" cm="1">
        <f t="array" ref="AL24">MAX(_xlfn._xlws.FILTER($B24:$AF24, $B$2:$AF$2=AL$2))</f>
        <v>12.376777183619188</v>
      </c>
      <c r="AM24" s="9" cm="1">
        <f t="array" ref="AM24">MAX(_xlfn._xlws.FILTER($B24:$AF24, $B$2:$AF$2=AM$2))</f>
        <v>12.164181309666059</v>
      </c>
      <c r="AN24" s="9" cm="1">
        <f t="array" ref="AN24">MAX(_xlfn._xlws.FILTER($B24:$AF24, $B$2:$AF$2=AN$2))</f>
        <v>0</v>
      </c>
      <c r="AO24" s="9" cm="1">
        <f t="array" ref="AO24">MAX(_xlfn._xlws.FILTER($B24:$AF24, $B$2:$AF$2=AO$2))</f>
        <v>0</v>
      </c>
    </row>
    <row r="25" spans="1:41" x14ac:dyDescent="0.25">
      <c r="A25" s="3" t="s">
        <v>30</v>
      </c>
      <c r="B25" s="19">
        <v>27.508057429761543</v>
      </c>
      <c r="C25" s="19">
        <v>16.905993628707613</v>
      </c>
      <c r="D25" s="19">
        <v>16.711884352489538</v>
      </c>
      <c r="E25" s="19">
        <v>0</v>
      </c>
      <c r="F25" s="19">
        <v>0</v>
      </c>
      <c r="G25" s="19">
        <v>25.94593992114941</v>
      </c>
      <c r="H25" s="19">
        <v>17.543781250567005</v>
      </c>
      <c r="I25" s="19">
        <v>24.531715194417721</v>
      </c>
      <c r="J25" s="19">
        <v>15.195983338215047</v>
      </c>
      <c r="K25" s="19">
        <v>14.585925612958235</v>
      </c>
      <c r="L25" s="19">
        <v>0</v>
      </c>
      <c r="M25" s="19">
        <v>0</v>
      </c>
      <c r="N25" s="19">
        <v>23.052787375613338</v>
      </c>
      <c r="O25" s="19">
        <v>16.748857547959648</v>
      </c>
      <c r="P25" s="19">
        <v>25.566964667580788</v>
      </c>
      <c r="Q25" s="19">
        <v>15.399335913300648</v>
      </c>
      <c r="R25" s="19">
        <v>14.077544175244231</v>
      </c>
      <c r="S25" s="19">
        <v>0</v>
      </c>
      <c r="T25" s="19">
        <v>0</v>
      </c>
      <c r="U25" s="19">
        <v>23.727548192942837</v>
      </c>
      <c r="V25" s="19">
        <v>16.785830743429759</v>
      </c>
      <c r="W25" s="19">
        <v>24.097280147643932</v>
      </c>
      <c r="X25" s="19">
        <v>14.909441073321695</v>
      </c>
      <c r="Y25" s="19">
        <v>14.548952417488128</v>
      </c>
      <c r="Z25" s="19">
        <v>0</v>
      </c>
      <c r="AA25" s="19">
        <v>0</v>
      </c>
      <c r="AB25" s="19">
        <v>21.925104913774991</v>
      </c>
      <c r="AC25" s="19">
        <v>16.822803938899867</v>
      </c>
      <c r="AD25" s="19">
        <v>22.757001811852458</v>
      </c>
      <c r="AE25" s="19">
        <v>14.78927818804384</v>
      </c>
      <c r="AF25" s="19"/>
      <c r="AI25" s="9" cm="1">
        <f t="array" ref="AI25">MAX(_xlfn._xlws.FILTER($D25:$AF25, $D$2:$AF$2=AI$2))</f>
        <v>25.94593992114941</v>
      </c>
      <c r="AJ25" s="9" cm="1">
        <f t="array" ref="AJ25">MAX(_xlfn._xlws.FILTER($B25:$AF25, $B$2:$AF$2=AJ$2))</f>
        <v>17.543781250567005</v>
      </c>
      <c r="AK25" s="9" cm="1">
        <f t="array" ref="AK25">MAX(_xlfn._xlws.FILTER($B25:$AF25, $B$2:$AF$2=AK$2))</f>
        <v>27.508057429761543</v>
      </c>
      <c r="AL25" s="9" cm="1">
        <f t="array" ref="AL25">MAX(_xlfn._xlws.FILTER($B25:$AF25, $B$2:$AF$2=AL$2))</f>
        <v>16.905993628707613</v>
      </c>
      <c r="AM25" s="9" cm="1">
        <f t="array" ref="AM25">MAX(_xlfn._xlws.FILTER($B25:$AF25, $B$2:$AF$2=AM$2))</f>
        <v>16.711884352489538</v>
      </c>
      <c r="AN25" s="9" cm="1">
        <f t="array" ref="AN25">MAX(_xlfn._xlws.FILTER($B25:$AF25, $B$2:$AF$2=AN$2))</f>
        <v>0</v>
      </c>
      <c r="AO25" s="9" cm="1">
        <f t="array" ref="AO25">MAX(_xlfn._xlws.FILTER($B25:$AF25, $B$2:$AF$2=AO$2))</f>
        <v>0</v>
      </c>
    </row>
    <row r="26" spans="1:41" x14ac:dyDescent="0.25">
      <c r="A26" s="3" t="s">
        <v>31</v>
      </c>
      <c r="B26" s="19">
        <v>43.831723229814926</v>
      </c>
      <c r="C26" s="19">
        <v>20.039471944799402</v>
      </c>
      <c r="D26" s="19">
        <v>19.762172978773577</v>
      </c>
      <c r="E26" s="19">
        <v>0</v>
      </c>
      <c r="F26" s="19">
        <v>0</v>
      </c>
      <c r="G26" s="19">
        <v>31.704515115618975</v>
      </c>
      <c r="H26" s="19">
        <v>20.501636888175771</v>
      </c>
      <c r="I26" s="19">
        <v>39.505859359812106</v>
      </c>
      <c r="J26" s="19">
        <v>17.996702895075845</v>
      </c>
      <c r="K26" s="19">
        <v>17.479078158494314</v>
      </c>
      <c r="L26" s="19">
        <v>0</v>
      </c>
      <c r="M26" s="19">
        <v>0</v>
      </c>
      <c r="N26" s="19">
        <v>28.182818247091038</v>
      </c>
      <c r="O26" s="19">
        <v>19.688226587833363</v>
      </c>
      <c r="P26" s="19">
        <v>40.45791914316743</v>
      </c>
      <c r="Q26" s="19">
        <v>18.200055470161448</v>
      </c>
      <c r="R26" s="19">
        <v>16.656424559284375</v>
      </c>
      <c r="S26" s="19">
        <v>0</v>
      </c>
      <c r="T26" s="19">
        <v>0</v>
      </c>
      <c r="U26" s="19">
        <v>28.977741949698398</v>
      </c>
      <c r="V26" s="19">
        <v>19.263034839927101</v>
      </c>
      <c r="W26" s="19">
        <v>38.942018128892933</v>
      </c>
      <c r="X26" s="19">
        <v>17.479078158494314</v>
      </c>
      <c r="Y26" s="19">
        <v>17.192535893600965</v>
      </c>
      <c r="Z26" s="19">
        <v>0</v>
      </c>
      <c r="AA26" s="19">
        <v>0</v>
      </c>
      <c r="AB26" s="19">
        <v>26.879513106769675</v>
      </c>
      <c r="AC26" s="19">
        <v>19.438657518410125</v>
      </c>
      <c r="AD26" s="19">
        <v>36.298434652780102</v>
      </c>
      <c r="AE26" s="19">
        <v>17.506808055096894</v>
      </c>
      <c r="AF26" s="19"/>
      <c r="AI26" s="9" cm="1">
        <f t="array" ref="AI26">MAX(_xlfn._xlws.FILTER($D26:$AF26, $D$2:$AF$2=AI$2))</f>
        <v>31.704515115618975</v>
      </c>
      <c r="AJ26" s="9" cm="1">
        <f t="array" ref="AJ26">MAX(_xlfn._xlws.FILTER($B26:$AF26, $B$2:$AF$2=AJ$2))</f>
        <v>20.501636888175771</v>
      </c>
      <c r="AK26" s="9" cm="1">
        <f t="array" ref="AK26">MAX(_xlfn._xlws.FILTER($B26:$AF26, $B$2:$AF$2=AK$2))</f>
        <v>43.831723229814926</v>
      </c>
      <c r="AL26" s="9" cm="1">
        <f t="array" ref="AL26">MAX(_xlfn._xlws.FILTER($B26:$AF26, $B$2:$AF$2=AL$2))</f>
        <v>20.039471944799402</v>
      </c>
      <c r="AM26" s="9" cm="1">
        <f t="array" ref="AM26">MAX(_xlfn._xlws.FILTER($B26:$AF26, $B$2:$AF$2=AM$2))</f>
        <v>19.762172978773577</v>
      </c>
      <c r="AN26" s="9" cm="1">
        <f t="array" ref="AN26">MAX(_xlfn._xlws.FILTER($B26:$AF26, $B$2:$AF$2=AN$2))</f>
        <v>0</v>
      </c>
      <c r="AO26" s="9" cm="1">
        <f t="array" ref="AO26">MAX(_xlfn._xlws.FILTER($B26:$AF26, $B$2:$AF$2=AO$2))</f>
        <v>0</v>
      </c>
    </row>
    <row r="27" spans="1:41" x14ac:dyDescent="0.25">
      <c r="A27" s="3" t="s">
        <v>32</v>
      </c>
      <c r="B27" s="19">
        <v>30.789428527733772</v>
      </c>
      <c r="C27" s="19">
        <v>19.891579162918962</v>
      </c>
      <c r="D27" s="19">
        <v>19.891579162918962</v>
      </c>
      <c r="E27" s="19">
        <v>0</v>
      </c>
      <c r="F27" s="19">
        <v>0</v>
      </c>
      <c r="G27" s="19">
        <v>35.503510950172739</v>
      </c>
      <c r="H27" s="19">
        <v>21.804942028497138</v>
      </c>
      <c r="I27" s="19">
        <v>27.813086292389944</v>
      </c>
      <c r="J27" s="19">
        <v>17.922756504135627</v>
      </c>
      <c r="K27" s="19">
        <v>17.580754446037115</v>
      </c>
      <c r="L27" s="19">
        <v>0</v>
      </c>
      <c r="M27" s="19">
        <v>0</v>
      </c>
      <c r="N27" s="19">
        <v>31.639812023546284</v>
      </c>
      <c r="O27" s="19">
        <v>20.945315233817087</v>
      </c>
      <c r="P27" s="19">
        <v>28.469360511984387</v>
      </c>
      <c r="Q27" s="19">
        <v>18.116865780353702</v>
      </c>
      <c r="R27" s="19">
        <v>16.758100846827176</v>
      </c>
      <c r="S27" s="19">
        <v>0</v>
      </c>
      <c r="T27" s="19">
        <v>0</v>
      </c>
      <c r="U27" s="19">
        <v>32.527168714828917</v>
      </c>
      <c r="V27" s="19">
        <v>20.501636888175771</v>
      </c>
      <c r="W27" s="19">
        <v>27.06437908412023</v>
      </c>
      <c r="X27" s="19">
        <v>17.423618365289151</v>
      </c>
      <c r="Y27" s="19">
        <v>17.294212181143767</v>
      </c>
      <c r="Z27" s="19">
        <v>0</v>
      </c>
      <c r="AA27" s="19">
        <v>0</v>
      </c>
      <c r="AB27" s="19">
        <v>30.179370802476956</v>
      </c>
      <c r="AC27" s="19">
        <v>20.686502865526318</v>
      </c>
      <c r="AD27" s="19">
        <v>25.594694564183371</v>
      </c>
      <c r="AE27" s="19">
        <v>17.432861664156675</v>
      </c>
      <c r="AF27" s="19"/>
      <c r="AI27" s="9" cm="1">
        <f t="array" ref="AI27">MAX(_xlfn._xlws.FILTER($D27:$AF27, $D$2:$AF$2=AI$2))</f>
        <v>35.503510950172739</v>
      </c>
      <c r="AJ27" s="9" cm="1">
        <f t="array" ref="AJ27">MAX(_xlfn._xlws.FILTER($B27:$AF27, $B$2:$AF$2=AJ$2))</f>
        <v>21.804942028497138</v>
      </c>
      <c r="AK27" s="9" cm="1">
        <f t="array" ref="AK27">MAX(_xlfn._xlws.FILTER($B27:$AF27, $B$2:$AF$2=AK$2))</f>
        <v>30.789428527733772</v>
      </c>
      <c r="AL27" s="9" cm="1">
        <f t="array" ref="AL27">MAX(_xlfn._xlws.FILTER($B27:$AF27, $B$2:$AF$2=AL$2))</f>
        <v>19.891579162918962</v>
      </c>
      <c r="AM27" s="9" cm="1">
        <f t="array" ref="AM27">MAX(_xlfn._xlws.FILTER($B27:$AF27, $B$2:$AF$2=AM$2))</f>
        <v>19.891579162918962</v>
      </c>
      <c r="AN27" s="9" cm="1">
        <f t="array" ref="AN27">MAX(_xlfn._xlws.FILTER($B27:$AF27, $B$2:$AF$2=AN$2))</f>
        <v>0</v>
      </c>
      <c r="AO27" s="9" cm="1">
        <f t="array" ref="AO27">MAX(_xlfn._xlws.FILTER($B27:$AF27, $B$2:$AF$2=AO$2))</f>
        <v>0</v>
      </c>
    </row>
    <row r="28" spans="1:41" x14ac:dyDescent="0.25">
      <c r="A28" s="3" t="s">
        <v>33</v>
      </c>
      <c r="B28" s="19">
        <v>24.448525504609972</v>
      </c>
      <c r="C28" s="19">
        <v>20.030228645931878</v>
      </c>
      <c r="D28" s="19">
        <v>20.520123485910826</v>
      </c>
      <c r="E28" s="19">
        <v>0</v>
      </c>
      <c r="F28" s="19">
        <v>0</v>
      </c>
      <c r="G28" s="19">
        <v>36.917735676904428</v>
      </c>
      <c r="H28" s="19">
        <v>22.109970891125542</v>
      </c>
      <c r="I28" s="19">
        <v>21.786455430762082</v>
      </c>
      <c r="J28" s="19">
        <v>18.015189492810901</v>
      </c>
      <c r="K28" s="19">
        <v>17.830323515460353</v>
      </c>
      <c r="L28" s="19">
        <v>0</v>
      </c>
      <c r="M28" s="19">
        <v>0</v>
      </c>
      <c r="N28" s="19">
        <v>32.536412013696449</v>
      </c>
      <c r="O28" s="19">
        <v>21.222614199842912</v>
      </c>
      <c r="P28" s="19">
        <v>22.59986573110449</v>
      </c>
      <c r="Q28" s="19">
        <v>18.218542067896504</v>
      </c>
      <c r="R28" s="19">
        <v>17.247995686806128</v>
      </c>
      <c r="S28" s="19">
        <v>0</v>
      </c>
      <c r="T28" s="19">
        <v>0</v>
      </c>
      <c r="U28" s="19">
        <v>33.802743958547701</v>
      </c>
      <c r="V28" s="19">
        <v>20.741962658731488</v>
      </c>
      <c r="W28" s="19">
        <v>21.481426568133674</v>
      </c>
      <c r="X28" s="19">
        <v>17.506808055096894</v>
      </c>
      <c r="Y28" s="19">
        <v>17.534537951699477</v>
      </c>
      <c r="Z28" s="19">
        <v>0</v>
      </c>
      <c r="AA28" s="19">
        <v>0</v>
      </c>
      <c r="AB28" s="19">
        <v>31.371756356387994</v>
      </c>
      <c r="AC28" s="19">
        <v>20.963801831552139</v>
      </c>
      <c r="AD28" s="19">
        <v>20.030228645931878</v>
      </c>
      <c r="AE28" s="19">
        <v>17.525294652831949</v>
      </c>
      <c r="AF28" s="19"/>
      <c r="AI28" s="9" cm="1">
        <f t="array" ref="AI28">MAX(_xlfn._xlws.FILTER($D28:$AF28, $D$2:$AF$2=AI$2))</f>
        <v>36.917735676904428</v>
      </c>
      <c r="AJ28" s="9" cm="1">
        <f t="array" ref="AJ28">MAX(_xlfn._xlws.FILTER($B28:$AF28, $B$2:$AF$2=AJ$2))</f>
        <v>22.109970891125542</v>
      </c>
      <c r="AK28" s="9" cm="1">
        <f t="array" ref="AK28">MAX(_xlfn._xlws.FILTER($B28:$AF28, $B$2:$AF$2=AK$2))</f>
        <v>24.448525504609972</v>
      </c>
      <c r="AL28" s="9" cm="1">
        <f t="array" ref="AL28">MAX(_xlfn._xlws.FILTER($B28:$AF28, $B$2:$AF$2=AL$2))</f>
        <v>20.030228645931878</v>
      </c>
      <c r="AM28" s="9" cm="1">
        <f t="array" ref="AM28">MAX(_xlfn._xlws.FILTER($B28:$AF28, $B$2:$AF$2=AM$2))</f>
        <v>20.520123485910826</v>
      </c>
      <c r="AN28" s="9" cm="1">
        <f t="array" ref="AN28">MAX(_xlfn._xlws.FILTER($B28:$AF28, $B$2:$AF$2=AN$2))</f>
        <v>0</v>
      </c>
      <c r="AO28" s="9" cm="1">
        <f t="array" ref="AO28">MAX(_xlfn._xlws.FILTER($B28:$AF28, $B$2:$AF$2=AO$2))</f>
        <v>0</v>
      </c>
    </row>
    <row r="29" spans="1:41" x14ac:dyDescent="0.25">
      <c r="A29" s="3" t="s">
        <v>34</v>
      </c>
      <c r="B29" s="19">
        <v>27.286218256940881</v>
      </c>
      <c r="C29" s="19">
        <v>21.361263682855821</v>
      </c>
      <c r="D29" s="19">
        <v>23.283869847301521</v>
      </c>
      <c r="E29" s="19">
        <v>0</v>
      </c>
      <c r="F29" s="19">
        <v>0</v>
      </c>
      <c r="G29" s="19">
        <v>35.817783111668675</v>
      </c>
      <c r="H29" s="19">
        <v>22.858678099395259</v>
      </c>
      <c r="I29" s="19">
        <v>24.291389423862007</v>
      </c>
      <c r="J29" s="19">
        <v>19.244548242192046</v>
      </c>
      <c r="K29" s="19">
        <v>20.575583279115992</v>
      </c>
      <c r="L29" s="19">
        <v>0</v>
      </c>
      <c r="M29" s="19">
        <v>0</v>
      </c>
      <c r="N29" s="19">
        <v>31.917110989572112</v>
      </c>
      <c r="O29" s="19">
        <v>21.925104913774991</v>
      </c>
      <c r="P29" s="19">
        <v>25.215719310614748</v>
      </c>
      <c r="Q29" s="19">
        <v>19.447900817277649</v>
      </c>
      <c r="R29" s="19">
        <v>19.614280196893141</v>
      </c>
      <c r="S29" s="19">
        <v>0</v>
      </c>
      <c r="T29" s="19">
        <v>0</v>
      </c>
      <c r="U29" s="19">
        <v>33.155713037820782</v>
      </c>
      <c r="V29" s="19">
        <v>21.398236878325928</v>
      </c>
      <c r="W29" s="19">
        <v>24.28214612499448</v>
      </c>
      <c r="X29" s="19">
        <v>18.440381240717162</v>
      </c>
      <c r="Y29" s="19">
        <v>20.242824519885005</v>
      </c>
      <c r="Z29" s="19">
        <v>0</v>
      </c>
      <c r="AA29" s="19">
        <v>0</v>
      </c>
      <c r="AB29" s="19">
        <v>30.44742646963525</v>
      </c>
      <c r="AC29" s="19">
        <v>21.943591511510046</v>
      </c>
      <c r="AD29" s="19">
        <v>22.322566765078665</v>
      </c>
      <c r="AE29" s="19">
        <v>18.458867838452214</v>
      </c>
      <c r="AF29" s="19"/>
      <c r="AI29" s="9" cm="1">
        <f t="array" ref="AI29">MAX(_xlfn._xlws.FILTER($D29:$AF29, $D$2:$AF$2=AI$2))</f>
        <v>35.817783111668675</v>
      </c>
      <c r="AJ29" s="9" cm="1">
        <f t="array" ref="AJ29">MAX(_xlfn._xlws.FILTER($B29:$AF29, $B$2:$AF$2=AJ$2))</f>
        <v>22.858678099395259</v>
      </c>
      <c r="AK29" s="9" cm="1">
        <f t="array" ref="AK29">MAX(_xlfn._xlws.FILTER($B29:$AF29, $B$2:$AF$2=AK$2))</f>
        <v>27.286218256940881</v>
      </c>
      <c r="AL29" s="9" cm="1">
        <f t="array" ref="AL29">MAX(_xlfn._xlws.FILTER($B29:$AF29, $B$2:$AF$2=AL$2))</f>
        <v>21.361263682855821</v>
      </c>
      <c r="AM29" s="9" cm="1">
        <f t="array" ref="AM29">MAX(_xlfn._xlws.FILTER($B29:$AF29, $B$2:$AF$2=AM$2))</f>
        <v>23.283869847301521</v>
      </c>
      <c r="AN29" s="9" cm="1">
        <f t="array" ref="AN29">MAX(_xlfn._xlws.FILTER($B29:$AF29, $B$2:$AF$2=AN$2))</f>
        <v>0</v>
      </c>
      <c r="AO29" s="9" cm="1">
        <f t="array" ref="AO29">MAX(_xlfn._xlws.FILTER($B29:$AF29, $B$2:$AF$2=AO$2))</f>
        <v>0</v>
      </c>
    </row>
    <row r="30" spans="1:41" x14ac:dyDescent="0.25">
      <c r="A30" s="3" t="s">
        <v>35</v>
      </c>
      <c r="B30" s="19">
        <v>27.683680108244559</v>
      </c>
      <c r="C30" s="19">
        <v>22.285593569608558</v>
      </c>
      <c r="D30" s="19">
        <v>26.056859507559739</v>
      </c>
      <c r="E30" s="19">
        <v>0</v>
      </c>
      <c r="F30" s="19">
        <v>0</v>
      </c>
      <c r="G30" s="19">
        <v>36.289191353912571</v>
      </c>
      <c r="H30" s="19">
        <v>23.616628606532505</v>
      </c>
      <c r="I30" s="19">
        <v>24.984636838926562</v>
      </c>
      <c r="J30" s="19">
        <v>19.826876070846271</v>
      </c>
      <c r="K30" s="19">
        <v>22.803218306190097</v>
      </c>
      <c r="L30" s="19">
        <v>0</v>
      </c>
      <c r="M30" s="19">
        <v>0</v>
      </c>
      <c r="N30" s="19">
        <v>32.065003771452545</v>
      </c>
      <c r="O30" s="19">
        <v>22.627595627707073</v>
      </c>
      <c r="P30" s="19">
        <v>25.918210024546831</v>
      </c>
      <c r="Q30" s="19">
        <v>20.048715243666933</v>
      </c>
      <c r="R30" s="19">
        <v>22.082240994522955</v>
      </c>
      <c r="S30" s="19">
        <v>0</v>
      </c>
      <c r="T30" s="19">
        <v>0</v>
      </c>
      <c r="U30" s="19">
        <v>33.303605819701225</v>
      </c>
      <c r="V30" s="19">
        <v>22.396513156018887</v>
      </c>
      <c r="W30" s="19">
        <v>24.642634780828047</v>
      </c>
      <c r="X30" s="19">
        <v>19.272278138794629</v>
      </c>
      <c r="Y30" s="19">
        <v>22.784731708455038</v>
      </c>
      <c r="Z30" s="19">
        <v>0</v>
      </c>
      <c r="AA30" s="19">
        <v>0</v>
      </c>
      <c r="AB30" s="19">
        <v>30.928078010746681</v>
      </c>
      <c r="AC30" s="19">
        <v>22.664568823177184</v>
      </c>
      <c r="AD30" s="19">
        <v>22.988084283540644</v>
      </c>
      <c r="AE30" s="19">
        <v>19.290764736529685</v>
      </c>
      <c r="AF30" s="19"/>
      <c r="AI30" s="9" cm="1">
        <f t="array" ref="AI30">MAX(_xlfn._xlws.FILTER($D30:$AF30, $D$2:$AF$2=AI$2))</f>
        <v>36.289191353912571</v>
      </c>
      <c r="AJ30" s="9" cm="1">
        <f t="array" ref="AJ30">MAX(_xlfn._xlws.FILTER($B30:$AF30, $B$2:$AF$2=AJ$2))</f>
        <v>23.616628606532505</v>
      </c>
      <c r="AK30" s="9" cm="1">
        <f t="array" ref="AK30">MAX(_xlfn._xlws.FILTER($B30:$AF30, $B$2:$AF$2=AK$2))</f>
        <v>27.683680108244559</v>
      </c>
      <c r="AL30" s="9" cm="1">
        <f t="array" ref="AL30">MAX(_xlfn._xlws.FILTER($B30:$AF30, $B$2:$AF$2=AL$2))</f>
        <v>22.285593569608558</v>
      </c>
      <c r="AM30" s="9" cm="1">
        <f t="array" ref="AM30">MAX(_xlfn._xlws.FILTER($B30:$AF30, $B$2:$AF$2=AM$2))</f>
        <v>26.056859507559739</v>
      </c>
      <c r="AN30" s="9" cm="1">
        <f t="array" ref="AN30">MAX(_xlfn._xlws.FILTER($B30:$AF30, $B$2:$AF$2=AN$2))</f>
        <v>0</v>
      </c>
      <c r="AO30" s="9" cm="1">
        <f t="array" ref="AO30">MAX(_xlfn._xlws.FILTER($B30:$AF30, $B$2:$AF$2=AO$2))</f>
        <v>0</v>
      </c>
    </row>
    <row r="31" spans="1:41" x14ac:dyDescent="0.25">
      <c r="A31" s="3" t="s">
        <v>36</v>
      </c>
      <c r="B31" s="19">
        <v>27.184541969398083</v>
      </c>
      <c r="C31" s="19">
        <v>22.941867789203009</v>
      </c>
      <c r="D31" s="19">
        <v>28.737416179142684</v>
      </c>
      <c r="E31" s="19">
        <v>0</v>
      </c>
      <c r="F31" s="19">
        <v>0</v>
      </c>
      <c r="G31" s="19">
        <v>39.810888222440511</v>
      </c>
      <c r="H31" s="19">
        <v>25.566964667580788</v>
      </c>
      <c r="I31" s="19">
        <v>24.217443032921786</v>
      </c>
      <c r="J31" s="19">
        <v>20.409203899500497</v>
      </c>
      <c r="K31" s="19">
        <v>25.187989414012165</v>
      </c>
      <c r="L31" s="19">
        <v>0</v>
      </c>
      <c r="M31" s="19">
        <v>0</v>
      </c>
      <c r="N31" s="19">
        <v>35.540484145642857</v>
      </c>
      <c r="O31" s="19">
        <v>24.503985297815134</v>
      </c>
      <c r="P31" s="19">
        <v>25.132529620807002</v>
      </c>
      <c r="Q31" s="19">
        <v>20.631043072321155</v>
      </c>
      <c r="R31" s="19">
        <v>24.402309010272333</v>
      </c>
      <c r="S31" s="19">
        <v>0</v>
      </c>
      <c r="T31" s="19">
        <v>0</v>
      </c>
      <c r="U31" s="19">
        <v>36.529517124468285</v>
      </c>
      <c r="V31" s="19">
        <v>24.245172929524372</v>
      </c>
      <c r="W31" s="19">
        <v>23.866197675955746</v>
      </c>
      <c r="X31" s="19">
        <v>19.826876070846271</v>
      </c>
      <c r="Y31" s="19">
        <v>24.818257459311067</v>
      </c>
      <c r="Z31" s="19">
        <v>0</v>
      </c>
      <c r="AA31" s="19">
        <v>0</v>
      </c>
      <c r="AB31" s="19">
        <v>33.922906843825558</v>
      </c>
      <c r="AC31" s="19">
        <v>24.217443032921786</v>
      </c>
      <c r="AD31" s="19">
        <v>22.248620374138451</v>
      </c>
      <c r="AE31" s="19">
        <v>19.845362668581323</v>
      </c>
      <c r="AF31" s="19"/>
      <c r="AI31" s="9" cm="1">
        <f t="array" ref="AI31">MAX(_xlfn._xlws.FILTER($D31:$AF31, $D$2:$AF$2=AI$2))</f>
        <v>39.810888222440511</v>
      </c>
      <c r="AJ31" s="9" cm="1">
        <f t="array" ref="AJ31">MAX(_xlfn._xlws.FILTER($B31:$AF31, $B$2:$AF$2=AJ$2))</f>
        <v>25.566964667580788</v>
      </c>
      <c r="AK31" s="9" cm="1">
        <f t="array" ref="AK31">MAX(_xlfn._xlws.FILTER($B31:$AF31, $B$2:$AF$2=AK$2))</f>
        <v>27.184541969398083</v>
      </c>
      <c r="AL31" s="9" cm="1">
        <f t="array" ref="AL31">MAX(_xlfn._xlws.FILTER($B31:$AF31, $B$2:$AF$2=AL$2))</f>
        <v>22.941867789203009</v>
      </c>
      <c r="AM31" s="9" cm="1">
        <f t="array" ref="AM31">MAX(_xlfn._xlws.FILTER($B31:$AF31, $B$2:$AF$2=AM$2))</f>
        <v>28.737416179142684</v>
      </c>
      <c r="AN31" s="9" cm="1">
        <f t="array" ref="AN31">MAX(_xlfn._xlws.FILTER($B31:$AF31, $B$2:$AF$2=AN$2))</f>
        <v>0</v>
      </c>
      <c r="AO31" s="9" cm="1">
        <f t="array" ref="AO31">MAX(_xlfn._xlws.FILTER($B31:$AF31, $B$2:$AF$2=AO$2))</f>
        <v>0</v>
      </c>
    </row>
    <row r="32" spans="1:41" x14ac:dyDescent="0.25">
      <c r="A32" s="3" t="s">
        <v>37</v>
      </c>
      <c r="B32" s="19">
        <v>25.012366735529142</v>
      </c>
      <c r="C32" s="19">
        <v>22.932624490335478</v>
      </c>
      <c r="D32" s="19">
        <v>28.691199684805046</v>
      </c>
      <c r="E32" s="19">
        <v>0</v>
      </c>
      <c r="F32" s="19">
        <v>0</v>
      </c>
      <c r="G32" s="19">
        <v>48.259263387360555</v>
      </c>
      <c r="H32" s="19">
        <v>26.879513106769675</v>
      </c>
      <c r="I32" s="19">
        <v>22.128457488860594</v>
      </c>
      <c r="J32" s="19">
        <v>20.658772968923738</v>
      </c>
      <c r="K32" s="19">
        <v>25.003123436661618</v>
      </c>
      <c r="L32" s="19">
        <v>0</v>
      </c>
      <c r="M32" s="19">
        <v>0</v>
      </c>
      <c r="N32" s="19">
        <v>42.64858097477142</v>
      </c>
      <c r="O32" s="19">
        <v>25.742587346063807</v>
      </c>
      <c r="P32" s="19">
        <v>23.025057479010755</v>
      </c>
      <c r="Q32" s="19">
        <v>20.880612141744397</v>
      </c>
      <c r="R32" s="19">
        <v>23.819981181618108</v>
      </c>
      <c r="S32" s="19">
        <v>0</v>
      </c>
      <c r="T32" s="19">
        <v>0</v>
      </c>
      <c r="U32" s="19">
        <v>44.303131472058823</v>
      </c>
      <c r="V32" s="19">
        <v>25.456045081170458</v>
      </c>
      <c r="W32" s="19">
        <v>22.109970891125542</v>
      </c>
      <c r="X32" s="19">
        <v>20.067201841401985</v>
      </c>
      <c r="Y32" s="19">
        <v>24.596418286490412</v>
      </c>
      <c r="Z32" s="19">
        <v>0</v>
      </c>
      <c r="AA32" s="19">
        <v>0</v>
      </c>
      <c r="AB32" s="19">
        <v>40.698244913723137</v>
      </c>
      <c r="AC32" s="19">
        <v>25.788803840401446</v>
      </c>
      <c r="AD32" s="19">
        <v>20.584826577983517</v>
      </c>
      <c r="AE32" s="19">
        <v>20.085688439137041</v>
      </c>
      <c r="AF32" s="19"/>
      <c r="AI32" s="9" cm="1">
        <f t="array" ref="AI32">MAX(_xlfn._xlws.FILTER($D32:$AF32, $D$2:$AF$2=AI$2))</f>
        <v>48.259263387360555</v>
      </c>
      <c r="AJ32" s="9" cm="1">
        <f t="array" ref="AJ32">MAX(_xlfn._xlws.FILTER($B32:$AF32, $B$2:$AF$2=AJ$2))</f>
        <v>26.879513106769675</v>
      </c>
      <c r="AK32" s="9" cm="1">
        <f t="array" ref="AK32">MAX(_xlfn._xlws.FILTER($B32:$AF32, $B$2:$AF$2=AK$2))</f>
        <v>25.012366735529142</v>
      </c>
      <c r="AL32" s="9" cm="1">
        <f t="array" ref="AL32">MAX(_xlfn._xlws.FILTER($B32:$AF32, $B$2:$AF$2=AL$2))</f>
        <v>22.932624490335478</v>
      </c>
      <c r="AM32" s="9" cm="1">
        <f t="array" ref="AM32">MAX(_xlfn._xlws.FILTER($B32:$AF32, $B$2:$AF$2=AM$2))</f>
        <v>28.691199684805046</v>
      </c>
      <c r="AN32" s="9" cm="1">
        <f t="array" ref="AN32">MAX(_xlfn._xlws.FILTER($B32:$AF32, $B$2:$AF$2=AN$2))</f>
        <v>0</v>
      </c>
      <c r="AO32" s="9" cm="1">
        <f t="array" ref="AO32">MAX(_xlfn._xlws.FILTER($B32:$AF32, $B$2:$AF$2=AO$2))</f>
        <v>0</v>
      </c>
    </row>
    <row r="33" spans="1:41" x14ac:dyDescent="0.25">
      <c r="A33" s="3" t="s">
        <v>38</v>
      </c>
      <c r="B33" s="19">
        <v>24.52247189555019</v>
      </c>
      <c r="C33" s="19">
        <v>23.514952318989703</v>
      </c>
      <c r="D33" s="19">
        <v>28.441630615381811</v>
      </c>
      <c r="E33" s="19">
        <v>0</v>
      </c>
      <c r="F33" s="19">
        <v>0</v>
      </c>
      <c r="G33" s="19">
        <v>51.836420049093661</v>
      </c>
      <c r="H33" s="19">
        <v>26.65767393394902</v>
      </c>
      <c r="I33" s="19">
        <v>22.128457488860594</v>
      </c>
      <c r="J33" s="19">
        <v>21.046991521359889</v>
      </c>
      <c r="K33" s="19">
        <v>24.91069044798634</v>
      </c>
      <c r="L33" s="19">
        <v>0</v>
      </c>
      <c r="M33" s="19">
        <v>0</v>
      </c>
      <c r="N33" s="19">
        <v>46.133304647829249</v>
      </c>
      <c r="O33" s="19">
        <v>25.853506932474136</v>
      </c>
      <c r="P33" s="19">
        <v>22.74775851298493</v>
      </c>
      <c r="Q33" s="19">
        <v>21.296560590783127</v>
      </c>
      <c r="R33" s="19">
        <v>24.051063653306294</v>
      </c>
      <c r="S33" s="19">
        <v>0</v>
      </c>
      <c r="T33" s="19">
        <v>0</v>
      </c>
      <c r="U33" s="19">
        <v>47.935747926997095</v>
      </c>
      <c r="V33" s="19">
        <v>25.197232712879693</v>
      </c>
      <c r="W33" s="19">
        <v>21.740238936424443</v>
      </c>
      <c r="X33" s="19">
        <v>20.399960600632969</v>
      </c>
      <c r="Y33" s="19">
        <v>24.448525504609972</v>
      </c>
      <c r="Z33" s="19">
        <v>0</v>
      </c>
      <c r="AA33" s="19">
        <v>0</v>
      </c>
      <c r="AB33" s="19">
        <v>43.998102609430418</v>
      </c>
      <c r="AC33" s="19">
        <v>25.566964667580788</v>
      </c>
      <c r="AD33" s="19">
        <v>20.19660802554737</v>
      </c>
      <c r="AE33" s="19">
        <v>20.464663692705663</v>
      </c>
      <c r="AF33" s="19"/>
      <c r="AI33" s="9" cm="1">
        <f t="array" ref="AI33">MAX(_xlfn._xlws.FILTER($D33:$AF33, $D$2:$AF$2=AI$2))</f>
        <v>51.836420049093661</v>
      </c>
      <c r="AJ33" s="9" cm="1">
        <f t="array" ref="AJ33">MAX(_xlfn._xlws.FILTER($B33:$AF33, $B$2:$AF$2=AJ$2))</f>
        <v>26.65767393394902</v>
      </c>
      <c r="AK33" s="9" cm="1">
        <f t="array" ref="AK33">MAX(_xlfn._xlws.FILTER($B33:$AF33, $B$2:$AF$2=AK$2))</f>
        <v>24.52247189555019</v>
      </c>
      <c r="AL33" s="9" cm="1">
        <f t="array" ref="AL33">MAX(_xlfn._xlws.FILTER($B33:$AF33, $B$2:$AF$2=AL$2))</f>
        <v>23.514952318989703</v>
      </c>
      <c r="AM33" s="9" cm="1">
        <f t="array" ref="AM33">MAX(_xlfn._xlws.FILTER($B33:$AF33, $B$2:$AF$2=AM$2))</f>
        <v>28.441630615381811</v>
      </c>
      <c r="AN33" s="9" cm="1">
        <f t="array" ref="AN33">MAX(_xlfn._xlws.FILTER($B33:$AF33, $B$2:$AF$2=AN$2))</f>
        <v>0</v>
      </c>
      <c r="AO33" s="9" cm="1">
        <f t="array" ref="AO33">MAX(_xlfn._xlws.FILTER($B33:$AF33, $B$2:$AF$2=AO$2))</f>
        <v>0</v>
      </c>
    </row>
    <row r="34" spans="1:41" x14ac:dyDescent="0.25">
      <c r="A34" s="3" t="s">
        <v>39</v>
      </c>
      <c r="B34" s="19">
        <v>26.80556671582946</v>
      </c>
      <c r="C34" s="19">
        <v>20.769692555334068</v>
      </c>
      <c r="D34" s="19">
        <v>27.766869798052305</v>
      </c>
      <c r="E34" s="19">
        <v>0</v>
      </c>
      <c r="F34" s="19">
        <v>0</v>
      </c>
      <c r="G34" s="19">
        <v>52.945615913196946</v>
      </c>
      <c r="H34" s="19">
        <v>25.456045081170458</v>
      </c>
      <c r="I34" s="19">
        <v>24.069550251041349</v>
      </c>
      <c r="J34" s="19">
        <v>18.736166804478039</v>
      </c>
      <c r="K34" s="19">
        <v>24.28214612499448</v>
      </c>
      <c r="L34" s="19">
        <v>0</v>
      </c>
      <c r="M34" s="19">
        <v>0</v>
      </c>
      <c r="N34" s="19">
        <v>47.002174741376827</v>
      </c>
      <c r="O34" s="19">
        <v>24.34684921706717</v>
      </c>
      <c r="P34" s="19">
        <v>24.772040964973431</v>
      </c>
      <c r="Q34" s="19">
        <v>18.976492575033753</v>
      </c>
      <c r="R34" s="19">
        <v>23.431762629181957</v>
      </c>
      <c r="S34" s="19">
        <v>0</v>
      </c>
      <c r="T34" s="19">
        <v>0</v>
      </c>
      <c r="U34" s="19">
        <v>48.323966479433246</v>
      </c>
      <c r="V34" s="19">
        <v>23.709061595207778</v>
      </c>
      <c r="W34" s="19">
        <v>23.607385307664977</v>
      </c>
      <c r="X34" s="19">
        <v>18.107622481486175</v>
      </c>
      <c r="Y34" s="19">
        <v>23.819981181618108</v>
      </c>
      <c r="Z34" s="19">
        <v>0</v>
      </c>
      <c r="AA34" s="19">
        <v>0</v>
      </c>
      <c r="AB34" s="19">
        <v>44.793026312037775</v>
      </c>
      <c r="AC34" s="19">
        <v>24.078793549908877</v>
      </c>
      <c r="AD34" s="19">
        <v>22.257863673005975</v>
      </c>
      <c r="AE34" s="19">
        <v>18.218542067896504</v>
      </c>
      <c r="AF34" s="19"/>
      <c r="AI34" s="9" cm="1">
        <f t="array" ref="AI34">MAX(_xlfn._xlws.FILTER($D34:$AF34, $D$2:$AF$2=AI$2))</f>
        <v>52.945615913196946</v>
      </c>
      <c r="AJ34" s="9" cm="1">
        <f t="array" ref="AJ34">MAX(_xlfn._xlws.FILTER($B34:$AF34, $B$2:$AF$2=AJ$2))</f>
        <v>25.456045081170458</v>
      </c>
      <c r="AK34" s="9" cm="1">
        <f t="array" ref="AK34">MAX(_xlfn._xlws.FILTER($B34:$AF34, $B$2:$AF$2=AK$2))</f>
        <v>26.80556671582946</v>
      </c>
      <c r="AL34" s="9" cm="1">
        <f t="array" ref="AL34">MAX(_xlfn._xlws.FILTER($B34:$AF34, $B$2:$AF$2=AL$2))</f>
        <v>20.769692555334068</v>
      </c>
      <c r="AM34" s="9" cm="1">
        <f t="array" ref="AM34">MAX(_xlfn._xlws.FILTER($B34:$AF34, $B$2:$AF$2=AM$2))</f>
        <v>27.766869798052305</v>
      </c>
      <c r="AN34" s="9" cm="1">
        <f t="array" ref="AN34">MAX(_xlfn._xlws.FILTER($B34:$AF34, $B$2:$AF$2=AN$2))</f>
        <v>0</v>
      </c>
      <c r="AO34" s="9" cm="1">
        <f t="array" ref="AO34">MAX(_xlfn._xlws.FILTER($B34:$AF34, $B$2:$AF$2=AO$2))</f>
        <v>0</v>
      </c>
    </row>
    <row r="35" spans="1:41" x14ac:dyDescent="0.25">
      <c r="A35" s="3" t="s">
        <v>40</v>
      </c>
      <c r="B35" s="19">
        <v>27.942492476535328</v>
      </c>
      <c r="C35" s="19">
        <v>18.255515263366615</v>
      </c>
      <c r="D35" s="19">
        <v>29.624772870425314</v>
      </c>
      <c r="E35" s="19">
        <v>0</v>
      </c>
      <c r="F35" s="19">
        <v>0</v>
      </c>
      <c r="G35" s="19">
        <v>53.722053018069246</v>
      </c>
      <c r="H35" s="19">
        <v>24.624148183092991</v>
      </c>
      <c r="I35" s="19">
        <v>24.818257459311067</v>
      </c>
      <c r="J35" s="19">
        <v>16.684154455886958</v>
      </c>
      <c r="K35" s="19">
        <v>26.056859507559739</v>
      </c>
      <c r="L35" s="19">
        <v>0</v>
      </c>
      <c r="M35" s="19">
        <v>0</v>
      </c>
      <c r="N35" s="19">
        <v>47.741638650779016</v>
      </c>
      <c r="O35" s="19">
        <v>23.588898709929921</v>
      </c>
      <c r="P35" s="19">
        <v>25.520748173243149</v>
      </c>
      <c r="Q35" s="19">
        <v>16.896750329840085</v>
      </c>
      <c r="R35" s="19">
        <v>24.781284263840956</v>
      </c>
      <c r="S35" s="19">
        <v>0</v>
      </c>
      <c r="T35" s="19">
        <v>0</v>
      </c>
      <c r="U35" s="19">
        <v>49.091160285438022</v>
      </c>
      <c r="V35" s="19">
        <v>23.320843042771628</v>
      </c>
      <c r="W35" s="19">
        <v>24.753554367238376</v>
      </c>
      <c r="X35" s="19">
        <v>15.833770960074434</v>
      </c>
      <c r="Y35" s="19">
        <v>25.594694564183371</v>
      </c>
      <c r="Z35" s="19">
        <v>0</v>
      </c>
      <c r="AA35" s="19">
        <v>0</v>
      </c>
      <c r="AB35" s="19">
        <v>46.031628360286447</v>
      </c>
      <c r="AC35" s="19">
        <v>23.625871905400032</v>
      </c>
      <c r="AD35" s="19">
        <v>22.988084283540644</v>
      </c>
      <c r="AE35" s="19">
        <v>16.221989512510586</v>
      </c>
      <c r="AF35" s="19"/>
      <c r="AI35" s="9" cm="1">
        <f t="array" ref="AI35">MAX(_xlfn._xlws.FILTER($D35:$AF35, $D$2:$AF$2=AI$2))</f>
        <v>53.722053018069246</v>
      </c>
      <c r="AJ35" s="9" cm="1">
        <f t="array" ref="AJ35">MAX(_xlfn._xlws.FILTER($B35:$AF35, $B$2:$AF$2=AJ$2))</f>
        <v>24.624148183092991</v>
      </c>
      <c r="AK35" s="9" cm="1">
        <f t="array" ref="AK35">MAX(_xlfn._xlws.FILTER($B35:$AF35, $B$2:$AF$2=AK$2))</f>
        <v>27.942492476535328</v>
      </c>
      <c r="AL35" s="9" cm="1">
        <f t="array" ref="AL35">MAX(_xlfn._xlws.FILTER($B35:$AF35, $B$2:$AF$2=AL$2))</f>
        <v>18.255515263366615</v>
      </c>
      <c r="AM35" s="9" cm="1">
        <f t="array" ref="AM35">MAX(_xlfn._xlws.FILTER($B35:$AF35, $B$2:$AF$2=AM$2))</f>
        <v>29.624772870425314</v>
      </c>
      <c r="AN35" s="9" cm="1">
        <f t="array" ref="AN35">MAX(_xlfn._xlws.FILTER($B35:$AF35, $B$2:$AF$2=AN$2))</f>
        <v>0</v>
      </c>
      <c r="AO35" s="9" cm="1">
        <f t="array" ref="AO35">MAX(_xlfn._xlws.FILTER($B35:$AF35, $B$2:$AF$2=AO$2))</f>
        <v>0</v>
      </c>
    </row>
    <row r="36" spans="1:41" x14ac:dyDescent="0.25">
      <c r="A36" s="3" t="s">
        <v>41</v>
      </c>
      <c r="B36" s="19">
        <v>29.865098640981028</v>
      </c>
      <c r="C36" s="19">
        <v>18.255515263366615</v>
      </c>
      <c r="D36" s="19">
        <v>34.006096533633297</v>
      </c>
      <c r="E36" s="19">
        <v>0</v>
      </c>
      <c r="F36" s="19">
        <v>0</v>
      </c>
      <c r="G36" s="19">
        <v>55.237954032343737</v>
      </c>
      <c r="H36" s="19">
        <v>25.354368793627657</v>
      </c>
      <c r="I36" s="19">
        <v>26.750106922624298</v>
      </c>
      <c r="J36" s="19">
        <v>16.221989512510586</v>
      </c>
      <c r="K36" s="19">
        <v>29.661746065895425</v>
      </c>
      <c r="L36" s="19">
        <v>0</v>
      </c>
      <c r="M36" s="19">
        <v>0</v>
      </c>
      <c r="N36" s="19">
        <v>48.795374721677142</v>
      </c>
      <c r="O36" s="19">
        <v>24.328362619332118</v>
      </c>
      <c r="P36" s="19">
        <v>27.831572890124999</v>
      </c>
      <c r="Q36" s="19">
        <v>16.425342087596189</v>
      </c>
      <c r="R36" s="19">
        <v>28.709686282540101</v>
      </c>
      <c r="S36" s="19">
        <v>0</v>
      </c>
      <c r="T36" s="19">
        <v>0</v>
      </c>
      <c r="U36" s="19">
        <v>50.69949428838779</v>
      </c>
      <c r="V36" s="19">
        <v>23.783007986148</v>
      </c>
      <c r="W36" s="19">
        <v>26.722377026021714</v>
      </c>
      <c r="X36" s="19">
        <v>15.926203948749709</v>
      </c>
      <c r="Y36" s="19">
        <v>29.199581122519056</v>
      </c>
      <c r="Z36" s="19">
        <v>0</v>
      </c>
      <c r="AA36" s="19">
        <v>0</v>
      </c>
      <c r="AB36" s="19">
        <v>46.55849639573551</v>
      </c>
      <c r="AC36" s="19">
        <v>24.032577055571238</v>
      </c>
      <c r="AD36" s="19">
        <v>24.485498700080083</v>
      </c>
      <c r="AE36" s="19">
        <v>15.769067868001741</v>
      </c>
      <c r="AF36" s="19"/>
      <c r="AI36" s="9" cm="1">
        <f t="array" ref="AI36">MAX(_xlfn._xlws.FILTER($D36:$AF36, $D$2:$AF$2=AI$2))</f>
        <v>55.237954032343737</v>
      </c>
      <c r="AJ36" s="9" cm="1">
        <f t="array" ref="AJ36">MAX(_xlfn._xlws.FILTER($B36:$AF36, $B$2:$AF$2=AJ$2))</f>
        <v>25.354368793627657</v>
      </c>
      <c r="AK36" s="9" cm="1">
        <f t="array" ref="AK36">MAX(_xlfn._xlws.FILTER($B36:$AF36, $B$2:$AF$2=AK$2))</f>
        <v>29.865098640981028</v>
      </c>
      <c r="AL36" s="9" cm="1">
        <f t="array" ref="AL36">MAX(_xlfn._xlws.FILTER($B36:$AF36, $B$2:$AF$2=AL$2))</f>
        <v>18.255515263366615</v>
      </c>
      <c r="AM36" s="9" cm="1">
        <f t="array" ref="AM36">MAX(_xlfn._xlws.FILTER($B36:$AF36, $B$2:$AF$2=AM$2))</f>
        <v>34.006096533633297</v>
      </c>
      <c r="AN36" s="9" cm="1">
        <f t="array" ref="AN36">MAX(_xlfn._xlws.FILTER($B36:$AF36, $B$2:$AF$2=AN$2))</f>
        <v>0</v>
      </c>
      <c r="AO36" s="9" cm="1">
        <f t="array" ref="AO36">MAX(_xlfn._xlws.FILTER($B36:$AF36, $B$2:$AF$2=AO$2))</f>
        <v>0</v>
      </c>
    </row>
    <row r="37" spans="1:41" x14ac:dyDescent="0.25">
      <c r="A37" s="3" t="s">
        <v>42</v>
      </c>
      <c r="B37" s="19">
        <v>28.913038857625708</v>
      </c>
      <c r="C37" s="19">
        <v>20.252067818752533</v>
      </c>
      <c r="D37" s="19">
        <v>36.658923308613666</v>
      </c>
      <c r="E37" s="19">
        <v>0</v>
      </c>
      <c r="F37" s="19">
        <v>0</v>
      </c>
      <c r="G37" s="19">
        <v>53.583403535056334</v>
      </c>
      <c r="H37" s="19">
        <v>25.807290438136498</v>
      </c>
      <c r="I37" s="19">
        <v>25.696370851726172</v>
      </c>
      <c r="J37" s="19">
        <v>18.320218355439305</v>
      </c>
      <c r="K37" s="19">
        <v>32.554898611431504</v>
      </c>
      <c r="L37" s="19">
        <v>0</v>
      </c>
      <c r="M37" s="19">
        <v>0</v>
      </c>
      <c r="N37" s="19">
        <v>47.787855145116659</v>
      </c>
      <c r="O37" s="19">
        <v>24.513228596682666</v>
      </c>
      <c r="P37" s="19">
        <v>26.694647129419128</v>
      </c>
      <c r="Q37" s="19">
        <v>18.54205752825996</v>
      </c>
      <c r="R37" s="19">
        <v>30.632292446985804</v>
      </c>
      <c r="S37" s="19">
        <v>0</v>
      </c>
      <c r="T37" s="19">
        <v>0</v>
      </c>
      <c r="U37" s="19">
        <v>49.118890182040595</v>
      </c>
      <c r="V37" s="19">
        <v>23.986360561233599</v>
      </c>
      <c r="W37" s="19">
        <v>25.687127552858644</v>
      </c>
      <c r="X37" s="19">
        <v>17.73789052678508</v>
      </c>
      <c r="Y37" s="19">
        <v>31.612082126943708</v>
      </c>
      <c r="Z37" s="19">
        <v>0</v>
      </c>
      <c r="AA37" s="19">
        <v>0</v>
      </c>
      <c r="AB37" s="19">
        <v>45.597193313512662</v>
      </c>
      <c r="AC37" s="19">
        <v>24.485498700080083</v>
      </c>
      <c r="AD37" s="19">
        <v>23.949387365763492</v>
      </c>
      <c r="AE37" s="19">
        <v>17.821080216592826</v>
      </c>
      <c r="AF37" s="19"/>
      <c r="AI37" s="9" cm="1">
        <f t="array" ref="AI37">MAX(_xlfn._xlws.FILTER($D37:$AF37, $D$2:$AF$2=AI$2))</f>
        <v>53.583403535056334</v>
      </c>
      <c r="AJ37" s="9" cm="1">
        <f t="array" ref="AJ37">MAX(_xlfn._xlws.FILTER($B37:$AF37, $B$2:$AF$2=AJ$2))</f>
        <v>25.807290438136498</v>
      </c>
      <c r="AK37" s="9" cm="1">
        <f t="array" ref="AK37">MAX(_xlfn._xlws.FILTER($B37:$AF37, $B$2:$AF$2=AK$2))</f>
        <v>28.913038857625708</v>
      </c>
      <c r="AL37" s="9" cm="1">
        <f t="array" ref="AL37">MAX(_xlfn._xlws.FILTER($B37:$AF37, $B$2:$AF$2=AL$2))</f>
        <v>20.252067818752533</v>
      </c>
      <c r="AM37" s="9" cm="1">
        <f t="array" ref="AM37">MAX(_xlfn._xlws.FILTER($B37:$AF37, $B$2:$AF$2=AM$2))</f>
        <v>36.658923308613666</v>
      </c>
      <c r="AN37" s="9" cm="1">
        <f t="array" ref="AN37">MAX(_xlfn._xlws.FILTER($B37:$AF37, $B$2:$AF$2=AN$2))</f>
        <v>0</v>
      </c>
      <c r="AO37" s="9" cm="1">
        <f t="array" ref="AO37">MAX(_xlfn._xlws.FILTER($B37:$AF37, $B$2:$AF$2=AO$2))</f>
        <v>0</v>
      </c>
    </row>
    <row r="38" spans="1:41" x14ac:dyDescent="0.25">
      <c r="A38" s="3" t="s">
        <v>43</v>
      </c>
      <c r="B38" s="19">
        <v>26.334158473585557</v>
      </c>
      <c r="C38" s="19">
        <v>20.205851324414894</v>
      </c>
      <c r="D38" s="19">
        <v>34.366585189466868</v>
      </c>
      <c r="E38" s="19">
        <v>0</v>
      </c>
      <c r="F38" s="19">
        <v>0</v>
      </c>
      <c r="G38" s="19">
        <v>45.088811875798655</v>
      </c>
      <c r="H38" s="19">
        <v>25.308152299290018</v>
      </c>
      <c r="I38" s="19">
        <v>23.709061595207778</v>
      </c>
      <c r="J38" s="19">
        <v>18.03367609054596</v>
      </c>
      <c r="K38" s="19">
        <v>30.151640905874377</v>
      </c>
      <c r="L38" s="19">
        <v>0</v>
      </c>
      <c r="M38" s="19">
        <v>0</v>
      </c>
      <c r="N38" s="19">
        <v>39.949537705453423</v>
      </c>
      <c r="O38" s="19">
        <v>24.34684921706717</v>
      </c>
      <c r="P38" s="19">
        <v>24.291389423862007</v>
      </c>
      <c r="Q38" s="19">
        <v>18.246271964499087</v>
      </c>
      <c r="R38" s="19">
        <v>28.792875972347847</v>
      </c>
      <c r="S38" s="19">
        <v>0</v>
      </c>
      <c r="T38" s="19">
        <v>0</v>
      </c>
      <c r="U38" s="19">
        <v>41.54862840953566</v>
      </c>
      <c r="V38" s="19">
        <v>23.856954377088215</v>
      </c>
      <c r="W38" s="19">
        <v>23.034300777878283</v>
      </c>
      <c r="X38" s="19">
        <v>17.451348261891731</v>
      </c>
      <c r="Y38" s="19">
        <v>29.273527513459278</v>
      </c>
      <c r="Z38" s="19">
        <v>0</v>
      </c>
      <c r="AA38" s="19">
        <v>0</v>
      </c>
      <c r="AB38" s="19">
        <v>38.063904736477831</v>
      </c>
      <c r="AC38" s="19">
        <v>24.032577055571238</v>
      </c>
      <c r="AD38" s="19">
        <v>21.777212131894554</v>
      </c>
      <c r="AE38" s="19">
        <v>17.534537951699477</v>
      </c>
      <c r="AF38" s="19"/>
      <c r="AI38" s="9" cm="1">
        <f t="array" ref="AI38">MAX(_xlfn._xlws.FILTER($D38:$AF38, $D$2:$AF$2=AI$2))</f>
        <v>45.088811875798655</v>
      </c>
      <c r="AJ38" s="9" cm="1">
        <f t="array" ref="AJ38">MAX(_xlfn._xlws.FILTER($B38:$AF38, $B$2:$AF$2=AJ$2))</f>
        <v>25.308152299290018</v>
      </c>
      <c r="AK38" s="9" cm="1">
        <f t="array" ref="AK38">MAX(_xlfn._xlws.FILTER($B38:$AF38, $B$2:$AF$2=AK$2))</f>
        <v>26.334158473585557</v>
      </c>
      <c r="AL38" s="9" cm="1">
        <f t="array" ref="AL38">MAX(_xlfn._xlws.FILTER($B38:$AF38, $B$2:$AF$2=AL$2))</f>
        <v>20.205851324414894</v>
      </c>
      <c r="AM38" s="9" cm="1">
        <f t="array" ref="AM38">MAX(_xlfn._xlws.FILTER($B38:$AF38, $B$2:$AF$2=AM$2))</f>
        <v>34.366585189466868</v>
      </c>
      <c r="AN38" s="9" cm="1">
        <f t="array" ref="AN38">MAX(_xlfn._xlws.FILTER($B38:$AF38, $B$2:$AF$2=AN$2))</f>
        <v>0</v>
      </c>
      <c r="AO38" s="9" cm="1">
        <f t="array" ref="AO38">MAX(_xlfn._xlws.FILTER($B38:$AF38, $B$2:$AF$2=AO$2))</f>
        <v>0</v>
      </c>
    </row>
    <row r="39" spans="1:41" x14ac:dyDescent="0.25">
      <c r="A39" s="3" t="s">
        <v>44</v>
      </c>
      <c r="B39" s="19">
        <v>21.786455430762082</v>
      </c>
      <c r="C39" s="19">
        <v>17.571511147169588</v>
      </c>
      <c r="D39" s="19">
        <v>27.729896602582198</v>
      </c>
      <c r="E39" s="19">
        <v>0</v>
      </c>
      <c r="F39" s="19">
        <v>0</v>
      </c>
      <c r="G39" s="19">
        <v>37.694172781776736</v>
      </c>
      <c r="H39" s="19">
        <v>21.083964716829996</v>
      </c>
      <c r="I39" s="19">
        <v>19.669739990098307</v>
      </c>
      <c r="J39" s="19">
        <v>15.778311166869271</v>
      </c>
      <c r="K39" s="19">
        <v>24.115766745378988</v>
      </c>
      <c r="L39" s="19">
        <v>0</v>
      </c>
      <c r="M39" s="19">
        <v>0</v>
      </c>
      <c r="N39" s="19">
        <v>33.340579015171329</v>
      </c>
      <c r="O39" s="19">
        <v>20.215094623282422</v>
      </c>
      <c r="P39" s="19">
        <v>20.215094623282422</v>
      </c>
      <c r="Q39" s="19">
        <v>15.990907040822403</v>
      </c>
      <c r="R39" s="19">
        <v>22.969597685805592</v>
      </c>
      <c r="S39" s="19">
        <v>0</v>
      </c>
      <c r="T39" s="19">
        <v>0</v>
      </c>
      <c r="U39" s="19">
        <v>34.329611993996764</v>
      </c>
      <c r="V39" s="19">
        <v>20.002498749329295</v>
      </c>
      <c r="W39" s="19">
        <v>19.632766794628196</v>
      </c>
      <c r="X39" s="19">
        <v>15.473282304240865</v>
      </c>
      <c r="Y39" s="19">
        <v>23.718304894075306</v>
      </c>
      <c r="Z39" s="19">
        <v>0</v>
      </c>
      <c r="AA39" s="19">
        <v>0</v>
      </c>
      <c r="AB39" s="19">
        <v>32.101976966922656</v>
      </c>
      <c r="AC39" s="19">
        <v>20.242824519885005</v>
      </c>
      <c r="AD39" s="19">
        <v>18.246271964499087</v>
      </c>
      <c r="AE39" s="19">
        <v>15.343876120095485</v>
      </c>
      <c r="AF39" s="19"/>
      <c r="AI39" s="9" cm="1">
        <f t="array" ref="AI39">MAX(_xlfn._xlws.FILTER($D39:$AF39, $D$2:$AF$2=AI$2))</f>
        <v>37.694172781776736</v>
      </c>
      <c r="AJ39" s="9" cm="1">
        <f t="array" ref="AJ39">MAX(_xlfn._xlws.FILTER($B39:$AF39, $B$2:$AF$2=AJ$2))</f>
        <v>21.083964716829996</v>
      </c>
      <c r="AK39" s="9" cm="1">
        <f t="array" ref="AK39">MAX(_xlfn._xlws.FILTER($B39:$AF39, $B$2:$AF$2=AK$2))</f>
        <v>21.786455430762082</v>
      </c>
      <c r="AL39" s="9" cm="1">
        <f t="array" ref="AL39">MAX(_xlfn._xlws.FILTER($B39:$AF39, $B$2:$AF$2=AL$2))</f>
        <v>17.571511147169588</v>
      </c>
      <c r="AM39" s="9" cm="1">
        <f t="array" ref="AM39">MAX(_xlfn._xlws.FILTER($B39:$AF39, $B$2:$AF$2=AM$2))</f>
        <v>27.729896602582198</v>
      </c>
      <c r="AN39" s="9" cm="1">
        <f t="array" ref="AN39">MAX(_xlfn._xlws.FILTER($B39:$AF39, $B$2:$AF$2=AN$2))</f>
        <v>0</v>
      </c>
      <c r="AO39" s="9" cm="1">
        <f t="array" ref="AO39">MAX(_xlfn._xlws.FILTER($B39:$AF39, $B$2:$AF$2=AO$2))</f>
        <v>0</v>
      </c>
    </row>
    <row r="40" spans="1:41" x14ac:dyDescent="0.25">
      <c r="A40" s="3" t="s">
        <v>45</v>
      </c>
      <c r="B40" s="19">
        <v>16.702641053622013</v>
      </c>
      <c r="C40" s="19">
        <v>14.096030772979285</v>
      </c>
      <c r="D40" s="19">
        <v>21.999051304715209</v>
      </c>
      <c r="E40" s="19">
        <v>0</v>
      </c>
      <c r="F40" s="19">
        <v>0</v>
      </c>
      <c r="G40" s="19">
        <v>31.316296563182831</v>
      </c>
      <c r="H40" s="19">
        <v>15.889230753279602</v>
      </c>
      <c r="I40" s="19">
        <v>15.094307050672242</v>
      </c>
      <c r="J40" s="19">
        <v>12.6171029541749</v>
      </c>
      <c r="K40" s="19">
        <v>19.327737931999792</v>
      </c>
      <c r="L40" s="19">
        <v>0</v>
      </c>
      <c r="M40" s="19">
        <v>0</v>
      </c>
      <c r="N40" s="19">
        <v>27.54503062523165</v>
      </c>
      <c r="O40" s="19">
        <v>15.10355034953977</v>
      </c>
      <c r="P40" s="19">
        <v>15.325389522360426</v>
      </c>
      <c r="Q40" s="19">
        <v>12.829698828128032</v>
      </c>
      <c r="R40" s="19">
        <v>18.59751732146513</v>
      </c>
      <c r="S40" s="19">
        <v>0</v>
      </c>
      <c r="T40" s="19">
        <v>0</v>
      </c>
      <c r="U40" s="19">
        <v>28.423144017646756</v>
      </c>
      <c r="V40" s="19">
        <v>14.853981280116532</v>
      </c>
      <c r="W40" s="19">
        <v>14.75230499257373</v>
      </c>
      <c r="X40" s="19">
        <v>12.284344194943914</v>
      </c>
      <c r="Y40" s="19">
        <v>18.902546184093531</v>
      </c>
      <c r="Z40" s="19">
        <v>0</v>
      </c>
      <c r="AA40" s="19">
        <v>0</v>
      </c>
      <c r="AB40" s="19">
        <v>26.472807956598473</v>
      </c>
      <c r="AC40" s="19">
        <v>14.974144165394387</v>
      </c>
      <c r="AD40" s="19">
        <v>13.633865829602913</v>
      </c>
      <c r="AE40" s="19">
        <v>12.275100896076387</v>
      </c>
      <c r="AF40" s="19"/>
      <c r="AI40" s="9" cm="1">
        <f t="array" ref="AI40">MAX(_xlfn._xlws.FILTER($D40:$AF40, $D$2:$AF$2=AI$2))</f>
        <v>31.316296563182831</v>
      </c>
      <c r="AJ40" s="9" cm="1">
        <f t="array" ref="AJ40">MAX(_xlfn._xlws.FILTER($B40:$AF40, $B$2:$AF$2=AJ$2))</f>
        <v>15.889230753279602</v>
      </c>
      <c r="AK40" s="9" cm="1">
        <f t="array" ref="AK40">MAX(_xlfn._xlws.FILTER($B40:$AF40, $B$2:$AF$2=AK$2))</f>
        <v>16.702641053622013</v>
      </c>
      <c r="AL40" s="9" cm="1">
        <f t="array" ref="AL40">MAX(_xlfn._xlws.FILTER($B40:$AF40, $B$2:$AF$2=AL$2))</f>
        <v>14.096030772979285</v>
      </c>
      <c r="AM40" s="9" cm="1">
        <f t="array" ref="AM40">MAX(_xlfn._xlws.FILTER($B40:$AF40, $B$2:$AF$2=AM$2))</f>
        <v>21.999051304715209</v>
      </c>
      <c r="AN40" s="9" cm="1">
        <f t="array" ref="AN40">MAX(_xlfn._xlws.FILTER($B40:$AF40, $B$2:$AF$2=AN$2))</f>
        <v>0</v>
      </c>
      <c r="AO40" s="9" cm="1">
        <f t="array" ref="AO40">MAX(_xlfn._xlws.FILTER($B40:$AF40, $B$2:$AF$2=AO$2))</f>
        <v>0</v>
      </c>
    </row>
    <row r="41" spans="1:41" x14ac:dyDescent="0.25">
      <c r="A41" s="3" t="s">
        <v>46</v>
      </c>
      <c r="B41" s="19">
        <v>13.559919438662696</v>
      </c>
      <c r="C41" s="19">
        <v>11.239851422913318</v>
      </c>
      <c r="D41" s="19">
        <v>18.551300827127491</v>
      </c>
      <c r="E41" s="19">
        <v>0</v>
      </c>
      <c r="F41" s="19">
        <v>0</v>
      </c>
      <c r="G41" s="19">
        <v>23.653601802002616</v>
      </c>
      <c r="H41" s="19">
        <v>12.247370999473805</v>
      </c>
      <c r="I41" s="19">
        <v>12.201154505136167</v>
      </c>
      <c r="J41" s="19">
        <v>9.9827627769295919</v>
      </c>
      <c r="K41" s="19">
        <v>16.379125593258554</v>
      </c>
      <c r="L41" s="19">
        <v>0</v>
      </c>
      <c r="M41" s="19">
        <v>0</v>
      </c>
      <c r="N41" s="19">
        <v>20.973045130419671</v>
      </c>
      <c r="O41" s="19">
        <v>11.720502964024741</v>
      </c>
      <c r="P41" s="19">
        <v>12.432236976824351</v>
      </c>
      <c r="Q41" s="19">
        <v>10.204601949750248</v>
      </c>
      <c r="R41" s="19">
        <v>15.611931787253777</v>
      </c>
      <c r="S41" s="19">
        <v>0</v>
      </c>
      <c r="T41" s="19">
        <v>0</v>
      </c>
      <c r="U41" s="19">
        <v>21.703265740954336</v>
      </c>
      <c r="V41" s="19">
        <v>11.665043170819578</v>
      </c>
      <c r="W41" s="19">
        <v>12.080991619858311</v>
      </c>
      <c r="X41" s="19">
        <v>9.862599891651735</v>
      </c>
      <c r="Y41" s="19">
        <v>16.240476110245641</v>
      </c>
      <c r="Z41" s="19">
        <v>0</v>
      </c>
      <c r="AA41" s="19">
        <v>0</v>
      </c>
      <c r="AB41" s="19">
        <v>20.104175036872096</v>
      </c>
      <c r="AC41" s="19">
        <v>11.674286469687106</v>
      </c>
      <c r="AD41" s="19">
        <v>11.341527710456118</v>
      </c>
      <c r="AE41" s="19">
        <v>9.7239504086388244</v>
      </c>
      <c r="AF41" s="19"/>
      <c r="AI41" s="9" cm="1">
        <f t="array" ref="AI41">MAX(_xlfn._xlws.FILTER($D41:$AF41, $D$2:$AF$2=AI$2))</f>
        <v>23.653601802002616</v>
      </c>
      <c r="AJ41" s="9" cm="1">
        <f t="array" ref="AJ41">MAX(_xlfn._xlws.FILTER($B41:$AF41, $B$2:$AF$2=AJ$2))</f>
        <v>12.247370999473805</v>
      </c>
      <c r="AK41" s="9" cm="1">
        <f t="array" ref="AK41">MAX(_xlfn._xlws.FILTER($B41:$AF41, $B$2:$AF$2=AK$2))</f>
        <v>13.559919438662696</v>
      </c>
      <c r="AL41" s="9" cm="1">
        <f t="array" ref="AL41">MAX(_xlfn._xlws.FILTER($B41:$AF41, $B$2:$AF$2=AL$2))</f>
        <v>11.239851422913318</v>
      </c>
      <c r="AM41" s="9" cm="1">
        <f t="array" ref="AM41">MAX(_xlfn._xlws.FILTER($B41:$AF41, $B$2:$AF$2=AM$2))</f>
        <v>18.551300827127491</v>
      </c>
      <c r="AN41" s="9" cm="1">
        <f t="array" ref="AN41">MAX(_xlfn._xlws.FILTER($B41:$AF41, $B$2:$AF$2=AN$2))</f>
        <v>0</v>
      </c>
      <c r="AO41" s="9" cm="1">
        <f t="array" ref="AO41">MAX(_xlfn._xlws.FILTER($B41:$AF41, $B$2:$AF$2=AO$2))</f>
        <v>0</v>
      </c>
    </row>
    <row r="42" spans="1:41" x14ac:dyDescent="0.25">
      <c r="A42" s="3" t="s">
        <v>47</v>
      </c>
      <c r="B42" s="19">
        <v>11.286067917250955</v>
      </c>
      <c r="C42" s="19">
        <v>8.7441607286809209</v>
      </c>
      <c r="D42" s="19">
        <v>15.35311941896301</v>
      </c>
      <c r="E42" s="19">
        <v>0</v>
      </c>
      <c r="F42" s="19">
        <v>0</v>
      </c>
      <c r="G42" s="19">
        <v>18.865572988623423</v>
      </c>
      <c r="H42" s="19">
        <v>10.167628754280139</v>
      </c>
      <c r="I42" s="19">
        <v>10.167628754280139</v>
      </c>
      <c r="J42" s="19">
        <v>7.7643710487230155</v>
      </c>
      <c r="K42" s="19">
        <v>13.421269955649784</v>
      </c>
      <c r="L42" s="19">
        <v>0</v>
      </c>
      <c r="M42" s="19">
        <v>0</v>
      </c>
      <c r="N42" s="19">
        <v>16.979940019647835</v>
      </c>
      <c r="O42" s="19">
        <v>9.8903297882543164</v>
      </c>
      <c r="P42" s="19">
        <v>10.417197823703379</v>
      </c>
      <c r="Q42" s="19">
        <v>7.9862102215436739</v>
      </c>
      <c r="R42" s="19">
        <v>12.996078207743523</v>
      </c>
      <c r="S42" s="19">
        <v>0</v>
      </c>
      <c r="T42" s="19">
        <v>0</v>
      </c>
      <c r="U42" s="19">
        <v>17.257238985673656</v>
      </c>
      <c r="V42" s="19">
        <v>9.7978967995790445</v>
      </c>
      <c r="W42" s="19">
        <v>10.028979271267229</v>
      </c>
      <c r="X42" s="19">
        <v>7.6164782668425772</v>
      </c>
      <c r="Y42" s="19">
        <v>13.208674081696653</v>
      </c>
      <c r="Z42" s="19">
        <v>0</v>
      </c>
      <c r="AA42" s="19">
        <v>0</v>
      </c>
      <c r="AB42" s="19">
        <v>16.212746213643058</v>
      </c>
      <c r="AC42" s="19">
        <v>9.8903297882543164</v>
      </c>
      <c r="AD42" s="19">
        <v>9.3542184539377278</v>
      </c>
      <c r="AE42" s="19">
        <v>7.5610184736374118</v>
      </c>
      <c r="AF42" s="19"/>
      <c r="AI42" s="9" cm="1">
        <f t="array" ref="AI42">MAX(_xlfn._xlws.FILTER($D42:$AF42, $D$2:$AF$2=AI$2))</f>
        <v>18.865572988623423</v>
      </c>
      <c r="AJ42" s="9" cm="1">
        <f t="array" ref="AJ42">MAX(_xlfn._xlws.FILTER($B42:$AF42, $B$2:$AF$2=AJ$2))</f>
        <v>10.167628754280139</v>
      </c>
      <c r="AK42" s="9" cm="1">
        <f t="array" ref="AK42">MAX(_xlfn._xlws.FILTER($B42:$AF42, $B$2:$AF$2=AK$2))</f>
        <v>11.286067917250955</v>
      </c>
      <c r="AL42" s="9" cm="1">
        <f t="array" ref="AL42">MAX(_xlfn._xlws.FILTER($B42:$AF42, $B$2:$AF$2=AL$2))</f>
        <v>8.7441607286809209</v>
      </c>
      <c r="AM42" s="9" cm="1">
        <f t="array" ref="AM42">MAX(_xlfn._xlws.FILTER($B42:$AF42, $B$2:$AF$2=AM$2))</f>
        <v>15.35311941896301</v>
      </c>
      <c r="AN42" s="9" cm="1">
        <f t="array" ref="AN42">MAX(_xlfn._xlws.FILTER($B42:$AF42, $B$2:$AF$2=AN$2))</f>
        <v>0</v>
      </c>
      <c r="AO42" s="9" cm="1">
        <f t="array" ref="AO42">MAX(_xlfn._xlws.FILTER($B42:$AF42, $B$2:$AF$2=AO$2))</f>
        <v>0</v>
      </c>
    </row>
    <row r="43" spans="1:41" x14ac:dyDescent="0.25">
      <c r="A43" s="3" t="s">
        <v>48</v>
      </c>
      <c r="B43" s="19">
        <v>9.8810864893867887</v>
      </c>
      <c r="C43" s="19">
        <v>8.1248597045565845</v>
      </c>
      <c r="D43" s="19">
        <v>12.413750379089297</v>
      </c>
      <c r="E43" s="19">
        <v>0</v>
      </c>
      <c r="F43" s="19">
        <v>0</v>
      </c>
      <c r="G43" s="19">
        <v>16.85053383550245</v>
      </c>
      <c r="H43" s="19">
        <v>8.8273504184886669</v>
      </c>
      <c r="I43" s="19">
        <v>8.9844864992366329</v>
      </c>
      <c r="J43" s="19">
        <v>7.3299360019492275</v>
      </c>
      <c r="K43" s="19">
        <v>10.888606065947277</v>
      </c>
      <c r="L43" s="19">
        <v>0</v>
      </c>
      <c r="M43" s="19">
        <v>0</v>
      </c>
      <c r="N43" s="19">
        <v>15.140523545009879</v>
      </c>
      <c r="O43" s="19">
        <v>8.5500514524628439</v>
      </c>
      <c r="P43" s="19">
        <v>9.2617854652624541</v>
      </c>
      <c r="Q43" s="19">
        <v>7.5795050713724663</v>
      </c>
      <c r="R43" s="19">
        <v>10.48190091577607</v>
      </c>
      <c r="S43" s="19">
        <v>0</v>
      </c>
      <c r="T43" s="19">
        <v>0</v>
      </c>
      <c r="U43" s="19">
        <v>15.390092614433119</v>
      </c>
      <c r="V43" s="19">
        <v>8.429888567184987</v>
      </c>
      <c r="W43" s="19">
        <v>8.8088638207536114</v>
      </c>
      <c r="X43" s="19">
        <v>7.14507002459868</v>
      </c>
      <c r="Y43" s="19">
        <v>10.648280295391563</v>
      </c>
      <c r="Z43" s="19">
        <v>0</v>
      </c>
      <c r="AA43" s="19">
        <v>0</v>
      </c>
      <c r="AB43" s="19">
        <v>14.382573037872634</v>
      </c>
      <c r="AC43" s="19">
        <v>8.346698877377241</v>
      </c>
      <c r="AD43" s="19">
        <v>8.1710761988942213</v>
      </c>
      <c r="AE43" s="19">
        <v>7.1265834268636254</v>
      </c>
      <c r="AF43" s="19"/>
      <c r="AI43" s="9" cm="1">
        <f t="array" ref="AI43">MAX(_xlfn._xlws.FILTER($D43:$AF43, $D$2:$AF$2=AI$2))</f>
        <v>16.85053383550245</v>
      </c>
      <c r="AJ43" s="9" cm="1">
        <f t="array" ref="AJ43">MAX(_xlfn._xlws.FILTER($B43:$AF43, $B$2:$AF$2=AJ$2))</f>
        <v>8.8273504184886669</v>
      </c>
      <c r="AK43" s="9" cm="1">
        <f t="array" ref="AK43">MAX(_xlfn._xlws.FILTER($B43:$AF43, $B$2:$AF$2=AK$2))</f>
        <v>9.8810864893867887</v>
      </c>
      <c r="AL43" s="9" cm="1">
        <f t="array" ref="AL43">MAX(_xlfn._xlws.FILTER($B43:$AF43, $B$2:$AF$2=AL$2))</f>
        <v>8.1248597045565845</v>
      </c>
      <c r="AM43" s="9" cm="1">
        <f t="array" ref="AM43">MAX(_xlfn._xlws.FILTER($B43:$AF43, $B$2:$AF$2=AM$2))</f>
        <v>12.413750379089297</v>
      </c>
      <c r="AN43" s="9" cm="1">
        <f t="array" ref="AN43">MAX(_xlfn._xlws.FILTER($B43:$AF43, $B$2:$AF$2=AN$2))</f>
        <v>0</v>
      </c>
      <c r="AO43" s="9" cm="1">
        <f t="array" ref="AO43">MAX(_xlfn._xlws.FILTER($B43:$AF43, $B$2:$AF$2=AO$2))</f>
        <v>0</v>
      </c>
    </row>
    <row r="44" spans="1:41" x14ac:dyDescent="0.25">
      <c r="A44" s="3" t="s">
        <v>49</v>
      </c>
      <c r="B44" s="19">
        <v>8.3651854751122983</v>
      </c>
      <c r="C44" s="19">
        <v>7.4870720826971935</v>
      </c>
      <c r="D44" s="19">
        <v>10.962552456887495</v>
      </c>
      <c r="E44" s="19">
        <v>0</v>
      </c>
      <c r="F44" s="19">
        <v>0</v>
      </c>
      <c r="G44" s="19">
        <v>12.589373057572317</v>
      </c>
      <c r="H44" s="19">
        <v>8.0046968192787276</v>
      </c>
      <c r="I44" s="19">
        <v>7.7643710487230155</v>
      </c>
      <c r="J44" s="19">
        <v>6.6921483800898374</v>
      </c>
      <c r="K44" s="19">
        <v>9.4836246380831106</v>
      </c>
      <c r="L44" s="19">
        <v>0</v>
      </c>
      <c r="M44" s="19">
        <v>0</v>
      </c>
      <c r="N44" s="19">
        <v>11.470933894601504</v>
      </c>
      <c r="O44" s="19">
        <v>7.7273978532529055</v>
      </c>
      <c r="P44" s="19">
        <v>8.0416700147488367</v>
      </c>
      <c r="Q44" s="19">
        <v>6.6736617823547819</v>
      </c>
      <c r="R44" s="19">
        <v>9.0769194879119066</v>
      </c>
      <c r="S44" s="19">
        <v>0</v>
      </c>
      <c r="T44" s="19">
        <v>0</v>
      </c>
      <c r="U44" s="19">
        <v>11.655799871952052</v>
      </c>
      <c r="V44" s="19">
        <v>7.5979916691075235</v>
      </c>
      <c r="W44" s="19">
        <v>7.5610184736374118</v>
      </c>
      <c r="X44" s="19">
        <v>6.4980391038717613</v>
      </c>
      <c r="Y44" s="19">
        <v>9.5945442244934416</v>
      </c>
      <c r="Z44" s="19">
        <v>0</v>
      </c>
      <c r="AA44" s="19">
        <v>0</v>
      </c>
      <c r="AB44" s="19">
        <v>10.84238957160964</v>
      </c>
      <c r="AC44" s="19">
        <v>7.5425318759023581</v>
      </c>
      <c r="AD44" s="19">
        <v>7.2744762087440638</v>
      </c>
      <c r="AE44" s="19">
        <v>6.5165257016068159</v>
      </c>
      <c r="AF44" s="19"/>
      <c r="AI44" s="9" cm="1">
        <f t="array" ref="AI44">MAX(_xlfn._xlws.FILTER($D44:$AF44, $D$2:$AF$2=AI$2))</f>
        <v>12.589373057572317</v>
      </c>
      <c r="AJ44" s="9" cm="1">
        <f t="array" ref="AJ44">MAX(_xlfn._xlws.FILTER($B44:$AF44, $B$2:$AF$2=AJ$2))</f>
        <v>8.0046968192787276</v>
      </c>
      <c r="AK44" s="9" cm="1">
        <f t="array" ref="AK44">MAX(_xlfn._xlws.FILTER($B44:$AF44, $B$2:$AF$2=AK$2))</f>
        <v>8.3651854751122983</v>
      </c>
      <c r="AL44" s="9" cm="1">
        <f t="array" ref="AL44">MAX(_xlfn._xlws.FILTER($B44:$AF44, $B$2:$AF$2=AL$2))</f>
        <v>7.4870720826971935</v>
      </c>
      <c r="AM44" s="9" cm="1">
        <f t="array" ref="AM44">MAX(_xlfn._xlws.FILTER($B44:$AF44, $B$2:$AF$2=AM$2))</f>
        <v>10.962552456887495</v>
      </c>
      <c r="AN44" s="9" cm="1">
        <f t="array" ref="AN44">MAX(_xlfn._xlws.FILTER($B44:$AF44, $B$2:$AF$2=AN$2))</f>
        <v>0</v>
      </c>
      <c r="AO44" s="9" cm="1">
        <f t="array" ref="AO44">MAX(_xlfn._xlws.FILTER($B44:$AF44, $B$2:$AF$2=AO$2))</f>
        <v>0</v>
      </c>
    </row>
    <row r="45" spans="1:41" x14ac:dyDescent="0.25">
      <c r="A45" s="3" t="s">
        <v>50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7"/>
      <c r="AI45" s="9" cm="1">
        <f t="array" ref="AI45">MAX(_xlfn._xlws.FILTER($D45:$AF45, $D$2:$AF$2=AI$2))</f>
        <v>0</v>
      </c>
      <c r="AJ45" s="9" cm="1">
        <f t="array" ref="AJ45">MAX(_xlfn._xlws.FILTER($B45:$AF45, $B$2:$AF$2=AJ$2))</f>
        <v>0</v>
      </c>
      <c r="AK45" s="9" cm="1">
        <f t="array" ref="AK45">MAX(_xlfn._xlws.FILTER($B45:$AF45, $B$2:$AF$2=AK$2))</f>
        <v>0</v>
      </c>
      <c r="AL45" s="9" cm="1">
        <f t="array" ref="AL45">MAX(_xlfn._xlws.FILTER($B45:$AF45, $B$2:$AF$2=AL$2))</f>
        <v>0</v>
      </c>
      <c r="AM45" s="9" cm="1">
        <f t="array" ref="AM45">MAX(_xlfn._xlws.FILTER($B45:$AF45, $B$2:$AF$2=AM$2))</f>
        <v>0</v>
      </c>
      <c r="AN45" s="9" cm="1">
        <f t="array" ref="AN45">MAX(_xlfn._xlws.FILTER($B45:$AF45, $B$2:$AF$2=AN$2))</f>
        <v>0</v>
      </c>
      <c r="AO45" s="9" cm="1">
        <f t="array" ref="AO45">MAX(_xlfn._xlws.FILTER($B45:$AF45, $B$2:$AF$2=AO$2))</f>
        <v>0</v>
      </c>
    </row>
    <row r="46" spans="1:41" x14ac:dyDescent="0.25">
      <c r="A46" s="3" t="s">
        <v>51</v>
      </c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7"/>
      <c r="AI46" s="9" cm="1">
        <f t="array" ref="AI46">MAX(_xlfn._xlws.FILTER($D46:$AF46, $D$2:$AF$2=AI$2))</f>
        <v>0</v>
      </c>
      <c r="AJ46" s="9" cm="1">
        <f t="array" ref="AJ46">MAX(_xlfn._xlws.FILTER($B46:$AF46, $B$2:$AF$2=AJ$2))</f>
        <v>0</v>
      </c>
      <c r="AK46" s="9" cm="1">
        <f t="array" ref="AK46">MAX(_xlfn._xlws.FILTER($B46:$AF46, $B$2:$AF$2=AK$2))</f>
        <v>0</v>
      </c>
      <c r="AL46" s="9" cm="1">
        <f t="array" ref="AL46">MAX(_xlfn._xlws.FILTER($B46:$AF46, $B$2:$AF$2=AL$2))</f>
        <v>0</v>
      </c>
      <c r="AM46" s="9" cm="1">
        <f t="array" ref="AM46">MAX(_xlfn._xlws.FILTER($B46:$AF46, $B$2:$AF$2=AM$2))</f>
        <v>0</v>
      </c>
      <c r="AN46" s="9" cm="1">
        <f t="array" ref="AN46">MAX(_xlfn._xlws.FILTER($B46:$AF46, $B$2:$AF$2=AN$2))</f>
        <v>0</v>
      </c>
      <c r="AO46" s="9" cm="1">
        <f t="array" ref="AO46">MAX(_xlfn._xlws.FILTER($B46:$AF46, $B$2:$AF$2=AO$2))</f>
        <v>0</v>
      </c>
    </row>
    <row r="47" spans="1:41" x14ac:dyDescent="0.25">
      <c r="A47" s="3" t="s">
        <v>52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7"/>
      <c r="AI47" s="9" cm="1">
        <f t="array" ref="AI47">MAX(_xlfn._xlws.FILTER($D47:$AF47, $D$2:$AF$2=AI$2))</f>
        <v>0</v>
      </c>
      <c r="AJ47" s="9" cm="1">
        <f t="array" ref="AJ47">MAX(_xlfn._xlws.FILTER($B47:$AF47, $B$2:$AF$2=AJ$2))</f>
        <v>0</v>
      </c>
      <c r="AK47" s="9" cm="1">
        <f t="array" ref="AK47">MAX(_xlfn._xlws.FILTER($B47:$AF47, $B$2:$AF$2=AK$2))</f>
        <v>0</v>
      </c>
      <c r="AL47" s="9" cm="1">
        <f t="array" ref="AL47">MAX(_xlfn._xlws.FILTER($B47:$AF47, $B$2:$AF$2=AL$2))</f>
        <v>0</v>
      </c>
      <c r="AM47" s="9" cm="1">
        <f t="array" ref="AM47">MAX(_xlfn._xlws.FILTER($B47:$AF47, $B$2:$AF$2=AM$2))</f>
        <v>0</v>
      </c>
      <c r="AN47" s="9" cm="1">
        <f t="array" ref="AN47">MAX(_xlfn._xlws.FILTER($B47:$AF47, $B$2:$AF$2=AN$2))</f>
        <v>0</v>
      </c>
      <c r="AO47" s="9" cm="1">
        <f t="array" ref="AO47">MAX(_xlfn._xlws.FILTER($B47:$AF47, $B$2:$AF$2=AO$2))</f>
        <v>0</v>
      </c>
    </row>
    <row r="48" spans="1:41" x14ac:dyDescent="0.25">
      <c r="A48" s="3" t="s">
        <v>53</v>
      </c>
      <c r="B48" s="19">
        <v>0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7"/>
      <c r="AI48" s="9" cm="1">
        <f t="array" ref="AI48">MAX(_xlfn._xlws.FILTER($D48:$AF48, $D$2:$AF$2=AI$2))</f>
        <v>0</v>
      </c>
      <c r="AJ48" s="9" cm="1">
        <f t="array" ref="AJ48">MAX(_xlfn._xlws.FILTER($B48:$AF48, $B$2:$AF$2=AJ$2))</f>
        <v>0</v>
      </c>
      <c r="AK48" s="9" cm="1">
        <f t="array" ref="AK48">MAX(_xlfn._xlws.FILTER($B48:$AF48, $B$2:$AF$2=AK$2))</f>
        <v>0</v>
      </c>
      <c r="AL48" s="9" cm="1">
        <f t="array" ref="AL48">MAX(_xlfn._xlws.FILTER($B48:$AF48, $B$2:$AF$2=AL$2))</f>
        <v>0</v>
      </c>
      <c r="AM48" s="9" cm="1">
        <f t="array" ref="AM48">MAX(_xlfn._xlws.FILTER($B48:$AF48, $B$2:$AF$2=AM$2))</f>
        <v>0</v>
      </c>
      <c r="AN48" s="9" cm="1">
        <f t="array" ref="AN48">MAX(_xlfn._xlws.FILTER($B48:$AF48, $B$2:$AF$2=AN$2))</f>
        <v>0</v>
      </c>
      <c r="AO48" s="9" cm="1">
        <f t="array" ref="AO48">MAX(_xlfn._xlws.FILTER($B48:$AF48, $B$2:$AF$2=AO$2))</f>
        <v>0</v>
      </c>
    </row>
    <row r="49" spans="1:41" x14ac:dyDescent="0.25">
      <c r="A49" s="3" t="s">
        <v>54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7"/>
      <c r="AI49" s="9" cm="1">
        <f t="array" ref="AI49">MAX(_xlfn._xlws.FILTER($D49:$AF49, $D$2:$AF$2=AI$2))</f>
        <v>0</v>
      </c>
      <c r="AJ49" s="9" cm="1">
        <f t="array" ref="AJ49">MAX(_xlfn._xlws.FILTER($B49:$AF49, $B$2:$AF$2=AJ$2))</f>
        <v>0</v>
      </c>
      <c r="AK49" s="9" cm="1">
        <f t="array" ref="AK49">MAX(_xlfn._xlws.FILTER($B49:$AF49, $B$2:$AF$2=AK$2))</f>
        <v>0</v>
      </c>
      <c r="AL49" s="9" cm="1">
        <f t="array" ref="AL49">MAX(_xlfn._xlws.FILTER($B49:$AF49, $B$2:$AF$2=AL$2))</f>
        <v>0</v>
      </c>
      <c r="AM49" s="9" cm="1">
        <f t="array" ref="AM49">MAX(_xlfn._xlws.FILTER($B49:$AF49, $B$2:$AF$2=AM$2))</f>
        <v>0</v>
      </c>
      <c r="AN49" s="9" cm="1">
        <f t="array" ref="AN49">MAX(_xlfn._xlws.FILTER($B49:$AF49, $B$2:$AF$2=AN$2))</f>
        <v>0</v>
      </c>
      <c r="AO49" s="9" cm="1">
        <f t="array" ref="AO49">MAX(_xlfn._xlws.FILTER($B49:$AF49, $B$2:$AF$2=AO$2))</f>
        <v>0</v>
      </c>
    </row>
    <row r="50" spans="1:41" x14ac:dyDescent="0.25">
      <c r="A50" s="3" t="s">
        <v>55</v>
      </c>
      <c r="B50" s="19">
        <v>0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7"/>
      <c r="AI50" s="9" cm="1">
        <f t="array" ref="AI50">MAX(_xlfn._xlws.FILTER($D50:$AF50, $D$2:$AF$2=AI$2))</f>
        <v>0</v>
      </c>
      <c r="AJ50" s="9" cm="1">
        <f t="array" ref="AJ50">MAX(_xlfn._xlws.FILTER($B50:$AF50, $B$2:$AF$2=AJ$2))</f>
        <v>0</v>
      </c>
      <c r="AK50" s="9" cm="1">
        <f t="array" ref="AK50">MAX(_xlfn._xlws.FILTER($B50:$AF50, $B$2:$AF$2=AK$2))</f>
        <v>0</v>
      </c>
      <c r="AL50" s="9" cm="1">
        <f t="array" ref="AL50">MAX(_xlfn._xlws.FILTER($B50:$AF50, $B$2:$AF$2=AL$2))</f>
        <v>0</v>
      </c>
      <c r="AM50" s="9" cm="1">
        <f t="array" ref="AM50">MAX(_xlfn._xlws.FILTER($B50:$AF50, $B$2:$AF$2=AM$2))</f>
        <v>0</v>
      </c>
      <c r="AN50" s="9" cm="1">
        <f t="array" ref="AN50">MAX(_xlfn._xlws.FILTER($B50:$AF50, $B$2:$AF$2=AN$2))</f>
        <v>0</v>
      </c>
      <c r="AO50" s="9" cm="1">
        <f t="array" ref="AO50">MAX(_xlfn._xlws.FILTER($B50:$AF50, $B$2:$AF$2=AO$2))</f>
        <v>0</v>
      </c>
    </row>
    <row r="51" spans="1:41" s="12" customFormat="1" x14ac:dyDescent="0.25">
      <c r="A51" s="10"/>
      <c r="B51" s="11">
        <f>MAX(B3:B50)</f>
        <v>43.831723229814926</v>
      </c>
      <c r="C51" s="11">
        <f t="shared" ref="C51:AE51" si="2">MAX(C3:C50)</f>
        <v>23.514952318989703</v>
      </c>
      <c r="D51" s="11">
        <f t="shared" si="2"/>
        <v>36.658923308613666</v>
      </c>
      <c r="E51" s="11">
        <f t="shared" si="2"/>
        <v>0</v>
      </c>
      <c r="F51" s="11">
        <f t="shared" si="2"/>
        <v>0</v>
      </c>
      <c r="G51" s="11">
        <f t="shared" si="2"/>
        <v>55.237954032343737</v>
      </c>
      <c r="H51" s="11">
        <f t="shared" si="2"/>
        <v>26.879513106769675</v>
      </c>
      <c r="I51" s="11">
        <f t="shared" si="2"/>
        <v>39.505859359812106</v>
      </c>
      <c r="J51" s="11">
        <f t="shared" si="2"/>
        <v>21.046991521359889</v>
      </c>
      <c r="K51" s="11">
        <f t="shared" si="2"/>
        <v>32.554898611431504</v>
      </c>
      <c r="L51" s="11">
        <f t="shared" si="2"/>
        <v>0</v>
      </c>
      <c r="M51" s="11">
        <f t="shared" si="2"/>
        <v>0</v>
      </c>
      <c r="N51" s="11">
        <f t="shared" si="2"/>
        <v>48.795374721677142</v>
      </c>
      <c r="O51" s="11">
        <f t="shared" si="2"/>
        <v>25.853506932474136</v>
      </c>
      <c r="P51" s="11">
        <f t="shared" si="2"/>
        <v>40.45791914316743</v>
      </c>
      <c r="Q51" s="11">
        <f t="shared" si="2"/>
        <v>21.296560590783127</v>
      </c>
      <c r="R51" s="11">
        <f t="shared" si="2"/>
        <v>30.632292446985804</v>
      </c>
      <c r="S51" s="11">
        <f t="shared" si="2"/>
        <v>0</v>
      </c>
      <c r="T51" s="11">
        <f t="shared" si="2"/>
        <v>0</v>
      </c>
      <c r="U51" s="11">
        <f t="shared" si="2"/>
        <v>50.69949428838779</v>
      </c>
      <c r="V51" s="11">
        <f t="shared" si="2"/>
        <v>25.456045081170458</v>
      </c>
      <c r="W51" s="11">
        <f t="shared" si="2"/>
        <v>38.942018128892933</v>
      </c>
      <c r="X51" s="11">
        <f t="shared" si="2"/>
        <v>20.399960600632969</v>
      </c>
      <c r="Y51" s="11">
        <f t="shared" si="2"/>
        <v>31.612082126943708</v>
      </c>
      <c r="Z51" s="11">
        <f t="shared" si="2"/>
        <v>0</v>
      </c>
      <c r="AA51" s="11">
        <f t="shared" si="2"/>
        <v>0</v>
      </c>
      <c r="AB51" s="11">
        <f t="shared" si="2"/>
        <v>46.55849639573551</v>
      </c>
      <c r="AC51" s="11">
        <f t="shared" si="2"/>
        <v>25.788803840401446</v>
      </c>
      <c r="AD51" s="11">
        <f t="shared" si="2"/>
        <v>36.298434652780102</v>
      </c>
      <c r="AE51" s="11">
        <f t="shared" si="2"/>
        <v>20.464663692705663</v>
      </c>
    </row>
  </sheetData>
  <mergeCells count="1">
    <mergeCell ref="AI1:AO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B941-74A0-4B58-AF78-CEDEB620333F}">
  <sheetPr>
    <tabColor rgb="FF7030A0"/>
  </sheetPr>
  <dimension ref="A1:AF50"/>
  <sheetViews>
    <sheetView zoomScale="75" zoomScaleNormal="75" workbookViewId="0">
      <selection activeCell="AF2" sqref="AF2"/>
    </sheetView>
  </sheetViews>
  <sheetFormatPr defaultColWidth="9.140625" defaultRowHeight="15" x14ac:dyDescent="0.25"/>
  <cols>
    <col min="1" max="1" width="11" style="3" bestFit="1" customWidth="1"/>
    <col min="2" max="10" width="7.7109375" style="3" bestFit="1" customWidth="1"/>
    <col min="11" max="31" width="8.85546875" style="3" bestFit="1" customWidth="1"/>
    <col min="32" max="32" width="7.7109375" style="3" bestFit="1" customWidth="1"/>
    <col min="33" max="16384" width="9.140625" style="3"/>
  </cols>
  <sheetData>
    <row r="1" spans="1:32" x14ac:dyDescent="0.25">
      <c r="A1" s="14" t="s">
        <v>0</v>
      </c>
      <c r="B1" s="2">
        <f>'V-FTE Apr'!B1</f>
        <v>46113</v>
      </c>
      <c r="C1" s="2">
        <f>'V-FTE Apr'!C1</f>
        <v>46114</v>
      </c>
      <c r="D1" s="2">
        <f>'V-FTE Apr'!D1</f>
        <v>46115</v>
      </c>
      <c r="E1" s="2">
        <f>'V-FTE Apr'!E1</f>
        <v>46116</v>
      </c>
      <c r="F1" s="2">
        <f>'V-FTE Apr'!F1</f>
        <v>46117</v>
      </c>
      <c r="G1" s="2">
        <f>'V-FTE Apr'!G1</f>
        <v>46118</v>
      </c>
      <c r="H1" s="2">
        <f>'V-FTE Apr'!H1</f>
        <v>46119</v>
      </c>
      <c r="I1" s="2">
        <f>'V-FTE Apr'!I1</f>
        <v>46120</v>
      </c>
      <c r="J1" s="2">
        <f>'V-FTE Apr'!J1</f>
        <v>46121</v>
      </c>
      <c r="K1" s="2">
        <f>'V-FTE Apr'!K1</f>
        <v>46122</v>
      </c>
      <c r="L1" s="2">
        <f>'V-FTE Apr'!L1</f>
        <v>46123</v>
      </c>
      <c r="M1" s="2">
        <f>'V-FTE Apr'!M1</f>
        <v>46124</v>
      </c>
      <c r="N1" s="2">
        <f>'V-FTE Apr'!N1</f>
        <v>46125</v>
      </c>
      <c r="O1" s="2">
        <f>'V-FTE Apr'!O1</f>
        <v>46126</v>
      </c>
      <c r="P1" s="2">
        <f>'V-FTE Apr'!P1</f>
        <v>46127</v>
      </c>
      <c r="Q1" s="2">
        <f>'V-FTE Apr'!Q1</f>
        <v>46128</v>
      </c>
      <c r="R1" s="2">
        <f>'V-FTE Apr'!R1</f>
        <v>46129</v>
      </c>
      <c r="S1" s="2">
        <f>'V-FTE Apr'!S1</f>
        <v>46130</v>
      </c>
      <c r="T1" s="2">
        <f>'V-FTE Apr'!T1</f>
        <v>46131</v>
      </c>
      <c r="U1" s="2">
        <f>'V-FTE Apr'!U1</f>
        <v>46132</v>
      </c>
      <c r="V1" s="2">
        <f>'V-FTE Apr'!V1</f>
        <v>46133</v>
      </c>
      <c r="W1" s="2">
        <f>'V-FTE Apr'!W1</f>
        <v>46134</v>
      </c>
      <c r="X1" s="2">
        <f>'V-FTE Apr'!X1</f>
        <v>46135</v>
      </c>
      <c r="Y1" s="2">
        <f>'V-FTE Apr'!Y1</f>
        <v>46136</v>
      </c>
      <c r="Z1" s="2">
        <f>'V-FTE Apr'!Z1</f>
        <v>46137</v>
      </c>
      <c r="AA1" s="2">
        <f>'V-FTE Apr'!AA1</f>
        <v>46138</v>
      </c>
      <c r="AB1" s="2">
        <f>'V-FTE Apr'!AB1</f>
        <v>46139</v>
      </c>
      <c r="AC1" s="2">
        <f>'V-FTE Apr'!AC1</f>
        <v>46140</v>
      </c>
      <c r="AD1" s="2">
        <f>'V-FTE Apr'!AD1</f>
        <v>46141</v>
      </c>
      <c r="AE1" s="2">
        <f>'V-FTE Apr'!AE1</f>
        <v>46142</v>
      </c>
      <c r="AF1" s="2">
        <f>'V-FTE Apr'!AF1</f>
        <v>46143</v>
      </c>
    </row>
    <row r="2" spans="1:32" x14ac:dyDescent="0.25">
      <c r="A2" s="15"/>
      <c r="B2" s="5" t="str">
        <f>TEXT(B1,"ddd")</f>
        <v>Wed</v>
      </c>
      <c r="C2" s="5" t="str">
        <f t="shared" ref="C2:AF2" si="0">TEXT(C1,"ddd")</f>
        <v>Thu</v>
      </c>
      <c r="D2" s="5" t="str">
        <f t="shared" si="0"/>
        <v>Fri</v>
      </c>
      <c r="E2" s="5" t="str">
        <f t="shared" si="0"/>
        <v>Sat</v>
      </c>
      <c r="F2" s="5" t="str">
        <f t="shared" si="0"/>
        <v>Sun</v>
      </c>
      <c r="G2" s="5" t="str">
        <f t="shared" si="0"/>
        <v>Mon</v>
      </c>
      <c r="H2" s="5" t="str">
        <f t="shared" si="0"/>
        <v>Tue</v>
      </c>
      <c r="I2" s="5" t="str">
        <f t="shared" si="0"/>
        <v>Wed</v>
      </c>
      <c r="J2" s="5" t="str">
        <f t="shared" si="0"/>
        <v>Thu</v>
      </c>
      <c r="K2" s="5" t="str">
        <f t="shared" si="0"/>
        <v>Fri</v>
      </c>
      <c r="L2" s="5" t="str">
        <f t="shared" si="0"/>
        <v>Sat</v>
      </c>
      <c r="M2" s="5" t="str">
        <f t="shared" si="0"/>
        <v>Sun</v>
      </c>
      <c r="N2" s="5" t="str">
        <f t="shared" si="0"/>
        <v>Mon</v>
      </c>
      <c r="O2" s="5" t="str">
        <f t="shared" si="0"/>
        <v>Tue</v>
      </c>
      <c r="P2" s="5" t="str">
        <f t="shared" si="0"/>
        <v>Wed</v>
      </c>
      <c r="Q2" s="5" t="str">
        <f t="shared" si="0"/>
        <v>Thu</v>
      </c>
      <c r="R2" s="5" t="str">
        <f t="shared" si="0"/>
        <v>Fri</v>
      </c>
      <c r="S2" s="5" t="str">
        <f t="shared" si="0"/>
        <v>Sat</v>
      </c>
      <c r="T2" s="5" t="str">
        <f t="shared" si="0"/>
        <v>Sun</v>
      </c>
      <c r="U2" s="5" t="str">
        <f t="shared" si="0"/>
        <v>Mon</v>
      </c>
      <c r="V2" s="5" t="str">
        <f t="shared" si="0"/>
        <v>Tue</v>
      </c>
      <c r="W2" s="5" t="str">
        <f t="shared" si="0"/>
        <v>Wed</v>
      </c>
      <c r="X2" s="5" t="str">
        <f t="shared" si="0"/>
        <v>Thu</v>
      </c>
      <c r="Y2" s="5" t="str">
        <f t="shared" si="0"/>
        <v>Fri</v>
      </c>
      <c r="Z2" s="5" t="str">
        <f t="shared" si="0"/>
        <v>Sat</v>
      </c>
      <c r="AA2" s="5" t="str">
        <f t="shared" si="0"/>
        <v>Sun</v>
      </c>
      <c r="AB2" s="5" t="str">
        <f t="shared" si="0"/>
        <v>Mon</v>
      </c>
      <c r="AC2" s="5" t="str">
        <f t="shared" si="0"/>
        <v>Tue</v>
      </c>
      <c r="AD2" s="5" t="str">
        <f t="shared" si="0"/>
        <v>Wed</v>
      </c>
      <c r="AE2" s="5" t="str">
        <f t="shared" si="0"/>
        <v>Thu</v>
      </c>
      <c r="AF2" s="5" t="str">
        <f t="shared" si="0"/>
        <v>Fri</v>
      </c>
    </row>
    <row r="3" spans="1:32" x14ac:dyDescent="0.25">
      <c r="A3" s="16">
        <v>2.0833333333333332E-2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</row>
    <row r="4" spans="1:32" x14ac:dyDescent="0.25">
      <c r="A4" s="16">
        <v>4.1666666666666664E-2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</row>
    <row r="5" spans="1:32" x14ac:dyDescent="0.25">
      <c r="A5" s="16">
        <v>6.25E-2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</row>
    <row r="6" spans="1:32" x14ac:dyDescent="0.25">
      <c r="A6" s="16">
        <v>8.3333333333333329E-2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</row>
    <row r="7" spans="1:32" x14ac:dyDescent="0.25">
      <c r="A7" s="16">
        <v>0.10416666666666667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</row>
    <row r="8" spans="1:32" x14ac:dyDescent="0.25">
      <c r="A8" s="16">
        <v>0.125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2" x14ac:dyDescent="0.25">
      <c r="A9" s="16">
        <v>0.14583333333333334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</row>
    <row r="10" spans="1:32" x14ac:dyDescent="0.25">
      <c r="A10" s="16">
        <v>0.16666666666666666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</row>
    <row r="11" spans="1:32" x14ac:dyDescent="0.25">
      <c r="A11" s="16">
        <v>0.1875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</row>
    <row r="12" spans="1:32" x14ac:dyDescent="0.25">
      <c r="A12" s="16">
        <v>0.20833333333333334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</row>
    <row r="13" spans="1:32" x14ac:dyDescent="0.25">
      <c r="A13" s="16">
        <v>0.22916666666666666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2" x14ac:dyDescent="0.25">
      <c r="A14" s="16">
        <v>0.25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2" x14ac:dyDescent="0.25">
      <c r="A15" s="16">
        <v>0.27083333333333331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2" x14ac:dyDescent="0.25">
      <c r="A16" s="16">
        <v>0.29166666666666669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</row>
    <row r="17" spans="1:31" x14ac:dyDescent="0.25">
      <c r="A17" s="16">
        <v>0.3125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</row>
    <row r="18" spans="1:31" x14ac:dyDescent="0.25">
      <c r="A18" s="16">
        <v>0.33333333333333331</v>
      </c>
      <c r="B18" s="3">
        <v>8</v>
      </c>
      <c r="C18" s="3">
        <v>9</v>
      </c>
      <c r="D18" s="3">
        <v>8</v>
      </c>
      <c r="E18" s="3">
        <v>0</v>
      </c>
      <c r="F18" s="3">
        <v>0</v>
      </c>
      <c r="G18" s="3">
        <v>13</v>
      </c>
      <c r="H18" s="3">
        <v>8</v>
      </c>
      <c r="I18" s="3">
        <v>7</v>
      </c>
      <c r="J18" s="3">
        <v>8</v>
      </c>
      <c r="K18" s="3">
        <v>8</v>
      </c>
      <c r="L18" s="3">
        <v>0</v>
      </c>
      <c r="M18" s="3">
        <v>0</v>
      </c>
      <c r="N18" s="3">
        <v>12</v>
      </c>
      <c r="O18" s="3">
        <v>7</v>
      </c>
      <c r="P18" s="3">
        <v>7</v>
      </c>
      <c r="Q18" s="3">
        <v>8</v>
      </c>
      <c r="R18" s="3">
        <v>7</v>
      </c>
      <c r="S18" s="3">
        <v>0</v>
      </c>
      <c r="T18" s="3">
        <v>0</v>
      </c>
      <c r="U18" s="3">
        <v>12</v>
      </c>
      <c r="V18" s="3">
        <v>7</v>
      </c>
      <c r="W18" s="3">
        <v>7</v>
      </c>
      <c r="X18" s="3">
        <v>8</v>
      </c>
      <c r="Y18" s="3">
        <v>7</v>
      </c>
      <c r="Z18" s="3">
        <v>0</v>
      </c>
      <c r="AA18" s="3">
        <v>0</v>
      </c>
      <c r="AB18" s="3">
        <v>11</v>
      </c>
      <c r="AC18" s="3">
        <v>7</v>
      </c>
      <c r="AD18" s="3">
        <v>7</v>
      </c>
      <c r="AE18" s="3">
        <v>8</v>
      </c>
    </row>
    <row r="19" spans="1:31" x14ac:dyDescent="0.25">
      <c r="A19" s="16">
        <v>0.35416666666666669</v>
      </c>
      <c r="B19" s="3">
        <v>12</v>
      </c>
      <c r="C19" s="3">
        <v>14</v>
      </c>
      <c r="D19" s="3">
        <v>13</v>
      </c>
      <c r="E19" s="3">
        <v>0</v>
      </c>
      <c r="F19" s="3">
        <v>0</v>
      </c>
      <c r="G19" s="3">
        <v>19</v>
      </c>
      <c r="H19" s="3">
        <v>12</v>
      </c>
      <c r="I19" s="3">
        <v>11</v>
      </c>
      <c r="J19" s="3">
        <v>12</v>
      </c>
      <c r="K19" s="3">
        <v>11</v>
      </c>
      <c r="L19" s="3">
        <v>0</v>
      </c>
      <c r="M19" s="3">
        <v>0</v>
      </c>
      <c r="N19" s="3">
        <v>16</v>
      </c>
      <c r="O19" s="3">
        <v>11</v>
      </c>
      <c r="P19" s="3">
        <v>11</v>
      </c>
      <c r="Q19" s="3">
        <v>13</v>
      </c>
      <c r="R19" s="3">
        <v>11</v>
      </c>
      <c r="S19" s="3">
        <v>0</v>
      </c>
      <c r="T19" s="3">
        <v>0</v>
      </c>
      <c r="U19" s="3">
        <v>17</v>
      </c>
      <c r="V19" s="3">
        <v>11</v>
      </c>
      <c r="W19" s="3">
        <v>11</v>
      </c>
      <c r="X19" s="3">
        <v>12</v>
      </c>
      <c r="Y19" s="3">
        <v>11</v>
      </c>
      <c r="Z19" s="3">
        <v>0</v>
      </c>
      <c r="AA19" s="3">
        <v>0</v>
      </c>
      <c r="AB19" s="3">
        <v>16</v>
      </c>
      <c r="AC19" s="3">
        <v>12</v>
      </c>
      <c r="AD19" s="3">
        <v>10</v>
      </c>
      <c r="AE19" s="3">
        <v>12</v>
      </c>
    </row>
    <row r="20" spans="1:31" x14ac:dyDescent="0.25">
      <c r="A20" s="16">
        <v>0.375</v>
      </c>
      <c r="B20" s="3">
        <v>21</v>
      </c>
      <c r="C20" s="3">
        <v>22</v>
      </c>
      <c r="D20" s="3">
        <v>21</v>
      </c>
      <c r="E20" s="3">
        <v>0</v>
      </c>
      <c r="F20" s="3">
        <v>0</v>
      </c>
      <c r="G20" s="3">
        <v>30</v>
      </c>
      <c r="H20" s="3">
        <v>21</v>
      </c>
      <c r="I20" s="3">
        <v>19</v>
      </c>
      <c r="J20" s="3">
        <v>19</v>
      </c>
      <c r="K20" s="3">
        <v>18</v>
      </c>
      <c r="L20" s="3">
        <v>0</v>
      </c>
      <c r="M20" s="3">
        <v>0</v>
      </c>
      <c r="N20" s="3">
        <v>27</v>
      </c>
      <c r="O20" s="3">
        <v>19</v>
      </c>
      <c r="P20" s="3">
        <v>20</v>
      </c>
      <c r="Q20" s="3">
        <v>20</v>
      </c>
      <c r="R20" s="3">
        <v>17</v>
      </c>
      <c r="S20" s="3">
        <v>0</v>
      </c>
      <c r="T20" s="3">
        <v>0</v>
      </c>
      <c r="U20" s="3">
        <v>27</v>
      </c>
      <c r="V20" s="3">
        <v>19</v>
      </c>
      <c r="W20" s="3">
        <v>18</v>
      </c>
      <c r="X20" s="3">
        <v>19</v>
      </c>
      <c r="Y20" s="3">
        <v>18</v>
      </c>
      <c r="Z20" s="3">
        <v>0</v>
      </c>
      <c r="AA20" s="3">
        <v>0</v>
      </c>
      <c r="AB20" s="3">
        <v>26</v>
      </c>
      <c r="AC20" s="3">
        <v>20</v>
      </c>
      <c r="AD20" s="3">
        <v>18</v>
      </c>
      <c r="AE20" s="3">
        <v>19</v>
      </c>
    </row>
    <row r="21" spans="1:31" x14ac:dyDescent="0.25">
      <c r="A21" s="16">
        <v>0.39583333333333331</v>
      </c>
      <c r="B21" s="3">
        <v>32</v>
      </c>
      <c r="C21" s="3">
        <v>31</v>
      </c>
      <c r="D21" s="3">
        <v>30</v>
      </c>
      <c r="E21" s="3">
        <v>0</v>
      </c>
      <c r="F21" s="3">
        <v>0</v>
      </c>
      <c r="G21" s="3">
        <v>44</v>
      </c>
      <c r="H21" s="3">
        <v>31</v>
      </c>
      <c r="I21" s="3">
        <v>29</v>
      </c>
      <c r="J21" s="3">
        <v>28</v>
      </c>
      <c r="K21" s="3">
        <v>26</v>
      </c>
      <c r="L21" s="3">
        <v>0</v>
      </c>
      <c r="M21" s="3">
        <v>0</v>
      </c>
      <c r="N21" s="3">
        <v>39</v>
      </c>
      <c r="O21" s="3">
        <v>30</v>
      </c>
      <c r="P21" s="3">
        <v>30</v>
      </c>
      <c r="Q21" s="3">
        <v>28</v>
      </c>
      <c r="R21" s="3">
        <v>25</v>
      </c>
      <c r="S21" s="3">
        <v>0</v>
      </c>
      <c r="T21" s="3">
        <v>0</v>
      </c>
      <c r="U21" s="3">
        <v>40</v>
      </c>
      <c r="V21" s="3">
        <v>28</v>
      </c>
      <c r="W21" s="3">
        <v>28</v>
      </c>
      <c r="X21" s="3">
        <v>26</v>
      </c>
      <c r="Y21" s="3">
        <v>25</v>
      </c>
      <c r="Z21" s="3">
        <v>0</v>
      </c>
      <c r="AA21" s="3">
        <v>0</v>
      </c>
      <c r="AB21" s="3">
        <v>38</v>
      </c>
      <c r="AC21" s="3">
        <v>30</v>
      </c>
      <c r="AD21" s="3">
        <v>27</v>
      </c>
      <c r="AE21" s="3">
        <v>28</v>
      </c>
    </row>
    <row r="22" spans="1:31" x14ac:dyDescent="0.25">
      <c r="A22" s="16">
        <v>0.41666666666666669</v>
      </c>
      <c r="B22" s="3">
        <v>42</v>
      </c>
      <c r="C22" s="3">
        <v>40</v>
      </c>
      <c r="D22" s="3">
        <v>39</v>
      </c>
      <c r="E22" s="3">
        <v>0</v>
      </c>
      <c r="F22" s="3">
        <v>0</v>
      </c>
      <c r="G22" s="3">
        <v>58</v>
      </c>
      <c r="H22" s="3">
        <v>41</v>
      </c>
      <c r="I22" s="3">
        <v>38</v>
      </c>
      <c r="J22" s="3">
        <v>35</v>
      </c>
      <c r="K22" s="3">
        <v>34</v>
      </c>
      <c r="L22" s="3">
        <v>0</v>
      </c>
      <c r="M22" s="3">
        <v>0</v>
      </c>
      <c r="N22" s="3">
        <v>51</v>
      </c>
      <c r="O22" s="3">
        <v>39</v>
      </c>
      <c r="P22" s="3">
        <v>39</v>
      </c>
      <c r="Q22" s="3">
        <v>36</v>
      </c>
      <c r="R22" s="3">
        <v>33</v>
      </c>
      <c r="S22" s="3">
        <v>0</v>
      </c>
      <c r="T22" s="3">
        <v>0</v>
      </c>
      <c r="U22" s="3">
        <v>52</v>
      </c>
      <c r="V22" s="3">
        <v>37</v>
      </c>
      <c r="W22" s="3">
        <v>37</v>
      </c>
      <c r="X22" s="3">
        <v>34</v>
      </c>
      <c r="Y22" s="3">
        <v>33</v>
      </c>
      <c r="Z22" s="3">
        <v>0</v>
      </c>
      <c r="AA22" s="3">
        <v>0</v>
      </c>
      <c r="AB22" s="3">
        <v>50</v>
      </c>
      <c r="AC22" s="3">
        <v>40</v>
      </c>
      <c r="AD22" s="3">
        <v>36</v>
      </c>
      <c r="AE22" s="3">
        <v>35</v>
      </c>
    </row>
    <row r="23" spans="1:31" x14ac:dyDescent="0.25">
      <c r="A23" s="16">
        <v>0.4375</v>
      </c>
      <c r="B23" s="3">
        <v>56</v>
      </c>
      <c r="C23" s="3">
        <v>51</v>
      </c>
      <c r="D23" s="3">
        <v>52</v>
      </c>
      <c r="E23" s="3">
        <v>0</v>
      </c>
      <c r="F23" s="3">
        <v>0</v>
      </c>
      <c r="G23" s="3">
        <v>71</v>
      </c>
      <c r="H23" s="3">
        <v>53</v>
      </c>
      <c r="I23" s="3">
        <v>50</v>
      </c>
      <c r="J23" s="3">
        <v>46</v>
      </c>
      <c r="K23" s="3">
        <v>45</v>
      </c>
      <c r="L23" s="3">
        <v>0</v>
      </c>
      <c r="M23" s="3">
        <v>0</v>
      </c>
      <c r="N23" s="3">
        <v>63</v>
      </c>
      <c r="O23" s="3">
        <v>51</v>
      </c>
      <c r="P23" s="3">
        <v>51</v>
      </c>
      <c r="Q23" s="3">
        <v>46</v>
      </c>
      <c r="R23" s="3">
        <v>43</v>
      </c>
      <c r="S23" s="3">
        <v>0</v>
      </c>
      <c r="T23" s="3">
        <v>0</v>
      </c>
      <c r="U23" s="3">
        <v>64</v>
      </c>
      <c r="V23" s="3">
        <v>49</v>
      </c>
      <c r="W23" s="3">
        <v>48</v>
      </c>
      <c r="X23" s="3">
        <v>43</v>
      </c>
      <c r="Y23" s="3">
        <v>44</v>
      </c>
      <c r="Z23" s="3">
        <v>0</v>
      </c>
      <c r="AA23" s="3">
        <v>0</v>
      </c>
      <c r="AB23" s="3">
        <v>62</v>
      </c>
      <c r="AC23" s="3">
        <v>52</v>
      </c>
      <c r="AD23" s="3">
        <v>47</v>
      </c>
      <c r="AE23" s="3">
        <v>46</v>
      </c>
    </row>
    <row r="24" spans="1:31" x14ac:dyDescent="0.25">
      <c r="A24" s="16">
        <v>0.45833333333333331</v>
      </c>
      <c r="B24" s="3">
        <v>70</v>
      </c>
      <c r="C24" s="3">
        <v>65</v>
      </c>
      <c r="D24" s="3">
        <v>66</v>
      </c>
      <c r="E24" s="3">
        <v>0</v>
      </c>
      <c r="F24" s="3">
        <v>0</v>
      </c>
      <c r="G24" s="3">
        <v>87</v>
      </c>
      <c r="H24" s="3">
        <v>67</v>
      </c>
      <c r="I24" s="3">
        <v>62</v>
      </c>
      <c r="J24" s="3">
        <v>58</v>
      </c>
      <c r="K24" s="3">
        <v>57</v>
      </c>
      <c r="L24" s="3">
        <v>0</v>
      </c>
      <c r="M24" s="3">
        <v>0</v>
      </c>
      <c r="N24" s="3">
        <v>77</v>
      </c>
      <c r="O24" s="3">
        <v>64</v>
      </c>
      <c r="P24" s="3">
        <v>65</v>
      </c>
      <c r="Q24" s="3">
        <v>59</v>
      </c>
      <c r="R24" s="3">
        <v>55</v>
      </c>
      <c r="S24" s="3">
        <v>0</v>
      </c>
      <c r="T24" s="3">
        <v>0</v>
      </c>
      <c r="U24" s="3">
        <v>78</v>
      </c>
      <c r="V24" s="3">
        <v>63</v>
      </c>
      <c r="W24" s="3">
        <v>60</v>
      </c>
      <c r="X24" s="3">
        <v>56</v>
      </c>
      <c r="Y24" s="3">
        <v>56</v>
      </c>
      <c r="Z24" s="3">
        <v>0</v>
      </c>
      <c r="AA24" s="3">
        <v>0</v>
      </c>
      <c r="AB24" s="3">
        <v>75</v>
      </c>
      <c r="AC24" s="3">
        <v>66</v>
      </c>
      <c r="AD24" s="3">
        <v>59</v>
      </c>
      <c r="AE24" s="3">
        <v>58</v>
      </c>
    </row>
    <row r="25" spans="1:31" x14ac:dyDescent="0.25">
      <c r="A25" s="16">
        <v>0.47916666666666669</v>
      </c>
      <c r="B25" s="3">
        <v>78</v>
      </c>
      <c r="C25" s="3">
        <v>74</v>
      </c>
      <c r="D25" s="3">
        <v>73</v>
      </c>
      <c r="E25" s="3">
        <v>0</v>
      </c>
      <c r="F25" s="3">
        <v>0</v>
      </c>
      <c r="G25" s="3">
        <v>97</v>
      </c>
      <c r="H25" s="3">
        <v>77</v>
      </c>
      <c r="I25" s="3">
        <v>70</v>
      </c>
      <c r="J25" s="3">
        <v>66</v>
      </c>
      <c r="K25" s="3">
        <v>64</v>
      </c>
      <c r="L25" s="3">
        <v>0</v>
      </c>
      <c r="M25" s="3">
        <v>0</v>
      </c>
      <c r="N25" s="3">
        <v>86</v>
      </c>
      <c r="O25" s="3">
        <v>74</v>
      </c>
      <c r="P25" s="3">
        <v>72</v>
      </c>
      <c r="Q25" s="3">
        <v>67</v>
      </c>
      <c r="R25" s="3">
        <v>61</v>
      </c>
      <c r="S25" s="3">
        <v>0</v>
      </c>
      <c r="T25" s="3">
        <v>0</v>
      </c>
      <c r="U25" s="3">
        <v>87</v>
      </c>
      <c r="V25" s="3">
        <v>71</v>
      </c>
      <c r="W25" s="3">
        <v>68</v>
      </c>
      <c r="X25" s="3">
        <v>63</v>
      </c>
      <c r="Y25" s="3">
        <v>62</v>
      </c>
      <c r="Z25" s="3">
        <v>0</v>
      </c>
      <c r="AA25" s="3">
        <v>0</v>
      </c>
      <c r="AB25" s="3">
        <v>84</v>
      </c>
      <c r="AC25" s="3">
        <v>75</v>
      </c>
      <c r="AD25" s="3">
        <v>66</v>
      </c>
      <c r="AE25" s="3">
        <v>66</v>
      </c>
    </row>
    <row r="26" spans="1:31" x14ac:dyDescent="0.25">
      <c r="A26" s="16">
        <v>0.5</v>
      </c>
      <c r="B26" s="3">
        <v>79</v>
      </c>
      <c r="C26" s="3">
        <v>76</v>
      </c>
      <c r="D26" s="3">
        <v>73</v>
      </c>
      <c r="E26" s="3">
        <v>0</v>
      </c>
      <c r="F26" s="3">
        <v>0</v>
      </c>
      <c r="G26" s="3">
        <v>99</v>
      </c>
      <c r="H26" s="3">
        <v>78</v>
      </c>
      <c r="I26" s="3">
        <v>71</v>
      </c>
      <c r="J26" s="3">
        <v>68</v>
      </c>
      <c r="K26" s="3">
        <v>64</v>
      </c>
      <c r="L26" s="3">
        <v>0</v>
      </c>
      <c r="M26" s="3">
        <v>0</v>
      </c>
      <c r="N26" s="3">
        <v>88</v>
      </c>
      <c r="O26" s="3">
        <v>75</v>
      </c>
      <c r="P26" s="3">
        <v>73</v>
      </c>
      <c r="Q26" s="3">
        <v>69</v>
      </c>
      <c r="R26" s="3">
        <v>61</v>
      </c>
      <c r="S26" s="3">
        <v>0</v>
      </c>
      <c r="T26" s="3">
        <v>0</v>
      </c>
      <c r="U26" s="3">
        <v>89</v>
      </c>
      <c r="V26" s="3">
        <v>72</v>
      </c>
      <c r="W26" s="3">
        <v>68</v>
      </c>
      <c r="X26" s="3">
        <v>65</v>
      </c>
      <c r="Y26" s="3">
        <v>62</v>
      </c>
      <c r="Z26" s="3">
        <v>0</v>
      </c>
      <c r="AA26" s="3">
        <v>0</v>
      </c>
      <c r="AB26" s="3">
        <v>86</v>
      </c>
      <c r="AC26" s="3">
        <v>76</v>
      </c>
      <c r="AD26" s="3">
        <v>67</v>
      </c>
      <c r="AE26" s="3">
        <v>68</v>
      </c>
    </row>
    <row r="27" spans="1:31" x14ac:dyDescent="0.25">
      <c r="A27" s="16">
        <v>0.52083333333333337</v>
      </c>
      <c r="B27" s="3">
        <v>78</v>
      </c>
      <c r="C27" s="3">
        <v>75</v>
      </c>
      <c r="D27" s="3">
        <v>72</v>
      </c>
      <c r="E27" s="3">
        <v>0</v>
      </c>
      <c r="F27" s="3">
        <v>0</v>
      </c>
      <c r="G27" s="3">
        <v>99</v>
      </c>
      <c r="H27" s="3">
        <v>76</v>
      </c>
      <c r="I27" s="3">
        <v>69</v>
      </c>
      <c r="J27" s="3">
        <v>67</v>
      </c>
      <c r="K27" s="3">
        <v>62</v>
      </c>
      <c r="L27" s="3">
        <v>0</v>
      </c>
      <c r="M27" s="3">
        <v>0</v>
      </c>
      <c r="N27" s="3">
        <v>87</v>
      </c>
      <c r="O27" s="3">
        <v>73</v>
      </c>
      <c r="P27" s="3">
        <v>72</v>
      </c>
      <c r="Q27" s="3">
        <v>68</v>
      </c>
      <c r="R27" s="3">
        <v>60</v>
      </c>
      <c r="S27" s="3">
        <v>0</v>
      </c>
      <c r="T27" s="3">
        <v>0</v>
      </c>
      <c r="U27" s="3">
        <v>89</v>
      </c>
      <c r="V27" s="3">
        <v>70</v>
      </c>
      <c r="W27" s="3">
        <v>67</v>
      </c>
      <c r="X27" s="3">
        <v>64</v>
      </c>
      <c r="Y27" s="3">
        <v>60</v>
      </c>
      <c r="Z27" s="3">
        <v>0</v>
      </c>
      <c r="AA27" s="3">
        <v>0</v>
      </c>
      <c r="AB27" s="3">
        <v>86</v>
      </c>
      <c r="AC27" s="3">
        <v>74</v>
      </c>
      <c r="AD27" s="3">
        <v>65</v>
      </c>
      <c r="AE27" s="3">
        <v>67</v>
      </c>
    </row>
    <row r="28" spans="1:31" x14ac:dyDescent="0.25">
      <c r="A28" s="16">
        <v>0.54166666666666663</v>
      </c>
      <c r="B28" s="3">
        <v>78</v>
      </c>
      <c r="C28" s="3">
        <v>76</v>
      </c>
      <c r="D28" s="3">
        <v>73</v>
      </c>
      <c r="E28" s="3">
        <v>0</v>
      </c>
      <c r="F28" s="3">
        <v>0</v>
      </c>
      <c r="G28" s="3">
        <v>99</v>
      </c>
      <c r="H28" s="3">
        <v>74</v>
      </c>
      <c r="I28" s="3">
        <v>69</v>
      </c>
      <c r="J28" s="3">
        <v>68</v>
      </c>
      <c r="K28" s="3">
        <v>64</v>
      </c>
      <c r="L28" s="3">
        <v>0</v>
      </c>
      <c r="M28" s="3">
        <v>0</v>
      </c>
      <c r="N28" s="3">
        <v>88</v>
      </c>
      <c r="O28" s="3">
        <v>71</v>
      </c>
      <c r="P28" s="3">
        <v>72</v>
      </c>
      <c r="Q28" s="3">
        <v>69</v>
      </c>
      <c r="R28" s="3">
        <v>61</v>
      </c>
      <c r="S28" s="3">
        <v>0</v>
      </c>
      <c r="T28" s="3">
        <v>0</v>
      </c>
      <c r="U28" s="3">
        <v>90</v>
      </c>
      <c r="V28" s="3">
        <v>68</v>
      </c>
      <c r="W28" s="3">
        <v>68</v>
      </c>
      <c r="X28" s="3">
        <v>64</v>
      </c>
      <c r="Y28" s="3">
        <v>62</v>
      </c>
      <c r="Z28" s="3">
        <v>0</v>
      </c>
      <c r="AA28" s="3">
        <v>0</v>
      </c>
      <c r="AB28" s="3">
        <v>86</v>
      </c>
      <c r="AC28" s="3">
        <v>73</v>
      </c>
      <c r="AD28" s="3">
        <v>65</v>
      </c>
      <c r="AE28" s="3">
        <v>67</v>
      </c>
    </row>
    <row r="29" spans="1:31" x14ac:dyDescent="0.25">
      <c r="A29" s="16">
        <v>0.5625</v>
      </c>
      <c r="B29" s="3">
        <v>78</v>
      </c>
      <c r="C29" s="3">
        <v>77</v>
      </c>
      <c r="D29" s="3">
        <v>76</v>
      </c>
      <c r="E29" s="3">
        <v>0</v>
      </c>
      <c r="F29" s="3">
        <v>0</v>
      </c>
      <c r="G29" s="3">
        <v>101</v>
      </c>
      <c r="H29" s="3">
        <v>73</v>
      </c>
      <c r="I29" s="3">
        <v>70</v>
      </c>
      <c r="J29" s="3">
        <v>68</v>
      </c>
      <c r="K29" s="3">
        <v>66</v>
      </c>
      <c r="L29" s="3">
        <v>0</v>
      </c>
      <c r="M29" s="3">
        <v>0</v>
      </c>
      <c r="N29" s="3">
        <v>89</v>
      </c>
      <c r="O29" s="3">
        <v>70</v>
      </c>
      <c r="P29" s="3">
        <v>73</v>
      </c>
      <c r="Q29" s="3">
        <v>69</v>
      </c>
      <c r="R29" s="3">
        <v>64</v>
      </c>
      <c r="S29" s="3">
        <v>0</v>
      </c>
      <c r="T29" s="3">
        <v>0</v>
      </c>
      <c r="U29" s="3">
        <v>91</v>
      </c>
      <c r="V29" s="3">
        <v>68</v>
      </c>
      <c r="W29" s="3">
        <v>68</v>
      </c>
      <c r="X29" s="3">
        <v>65</v>
      </c>
      <c r="Y29" s="3">
        <v>65</v>
      </c>
      <c r="Z29" s="3">
        <v>0</v>
      </c>
      <c r="AA29" s="3">
        <v>0</v>
      </c>
      <c r="AB29" s="3">
        <v>88</v>
      </c>
      <c r="AC29" s="3">
        <v>72</v>
      </c>
      <c r="AD29" s="3">
        <v>66</v>
      </c>
      <c r="AE29" s="3">
        <v>68</v>
      </c>
    </row>
    <row r="30" spans="1:31" x14ac:dyDescent="0.25">
      <c r="A30" s="16">
        <v>0.58333333333333337</v>
      </c>
      <c r="B30" s="3">
        <v>78</v>
      </c>
      <c r="C30" s="3">
        <v>77</v>
      </c>
      <c r="D30" s="3">
        <v>77</v>
      </c>
      <c r="E30" s="3">
        <v>0</v>
      </c>
      <c r="F30" s="3">
        <v>0</v>
      </c>
      <c r="G30" s="3">
        <v>101</v>
      </c>
      <c r="H30" s="3">
        <v>73</v>
      </c>
      <c r="I30" s="3">
        <v>69</v>
      </c>
      <c r="J30" s="3">
        <v>68</v>
      </c>
      <c r="K30" s="3">
        <v>67</v>
      </c>
      <c r="L30" s="3">
        <v>0</v>
      </c>
      <c r="M30" s="3">
        <v>0</v>
      </c>
      <c r="N30" s="3">
        <v>90</v>
      </c>
      <c r="O30" s="3">
        <v>70</v>
      </c>
      <c r="P30" s="3">
        <v>72</v>
      </c>
      <c r="Q30" s="3">
        <v>69</v>
      </c>
      <c r="R30" s="3">
        <v>65</v>
      </c>
      <c r="S30" s="3">
        <v>0</v>
      </c>
      <c r="T30" s="3">
        <v>0</v>
      </c>
      <c r="U30" s="3">
        <v>91</v>
      </c>
      <c r="V30" s="3">
        <v>68</v>
      </c>
      <c r="W30" s="3">
        <v>67</v>
      </c>
      <c r="X30" s="3">
        <v>65</v>
      </c>
      <c r="Y30" s="3">
        <v>65</v>
      </c>
      <c r="Z30" s="3">
        <v>0</v>
      </c>
      <c r="AA30" s="3">
        <v>0</v>
      </c>
      <c r="AB30" s="3">
        <v>88</v>
      </c>
      <c r="AC30" s="3">
        <v>71</v>
      </c>
      <c r="AD30" s="3">
        <v>65</v>
      </c>
      <c r="AE30" s="3">
        <v>68</v>
      </c>
    </row>
    <row r="31" spans="1:31" x14ac:dyDescent="0.25">
      <c r="A31" s="16">
        <v>0.60416666666666663</v>
      </c>
      <c r="B31" s="3">
        <v>74</v>
      </c>
      <c r="C31" s="3">
        <v>76</v>
      </c>
      <c r="D31" s="3">
        <v>74</v>
      </c>
      <c r="E31" s="3">
        <v>0</v>
      </c>
      <c r="F31" s="3">
        <v>0</v>
      </c>
      <c r="G31" s="3">
        <v>102</v>
      </c>
      <c r="H31" s="3">
        <v>72</v>
      </c>
      <c r="I31" s="3">
        <v>65</v>
      </c>
      <c r="J31" s="3">
        <v>68</v>
      </c>
      <c r="K31" s="3">
        <v>64</v>
      </c>
      <c r="L31" s="3">
        <v>0</v>
      </c>
      <c r="M31" s="3">
        <v>0</v>
      </c>
      <c r="N31" s="3">
        <v>90</v>
      </c>
      <c r="O31" s="3">
        <v>69</v>
      </c>
      <c r="P31" s="3">
        <v>68</v>
      </c>
      <c r="Q31" s="3">
        <v>69</v>
      </c>
      <c r="R31" s="3">
        <v>61</v>
      </c>
      <c r="S31" s="3">
        <v>0</v>
      </c>
      <c r="T31" s="3">
        <v>0</v>
      </c>
      <c r="U31" s="3">
        <v>92</v>
      </c>
      <c r="V31" s="3">
        <v>67</v>
      </c>
      <c r="W31" s="3">
        <v>64</v>
      </c>
      <c r="X31" s="3">
        <v>65</v>
      </c>
      <c r="Y31" s="3">
        <v>62</v>
      </c>
      <c r="Z31" s="3">
        <v>0</v>
      </c>
      <c r="AA31" s="3">
        <v>0</v>
      </c>
      <c r="AB31" s="3">
        <v>88</v>
      </c>
      <c r="AC31" s="3">
        <v>71</v>
      </c>
      <c r="AD31" s="3">
        <v>62</v>
      </c>
      <c r="AE31" s="3">
        <v>68</v>
      </c>
    </row>
    <row r="32" spans="1:31" x14ac:dyDescent="0.25">
      <c r="A32" s="16">
        <v>0.625</v>
      </c>
      <c r="B32" s="3">
        <v>68</v>
      </c>
      <c r="C32" s="3">
        <v>72</v>
      </c>
      <c r="D32" s="3">
        <v>69</v>
      </c>
      <c r="E32" s="3">
        <v>0</v>
      </c>
      <c r="F32" s="3">
        <v>0</v>
      </c>
      <c r="G32" s="3">
        <v>99</v>
      </c>
      <c r="H32" s="3">
        <v>70</v>
      </c>
      <c r="I32" s="3">
        <v>61</v>
      </c>
      <c r="J32" s="3">
        <v>64</v>
      </c>
      <c r="K32" s="3">
        <v>60</v>
      </c>
      <c r="L32" s="3">
        <v>0</v>
      </c>
      <c r="M32" s="3">
        <v>0</v>
      </c>
      <c r="N32" s="3">
        <v>88</v>
      </c>
      <c r="O32" s="3">
        <v>68</v>
      </c>
      <c r="P32" s="3">
        <v>63</v>
      </c>
      <c r="Q32" s="3">
        <v>65</v>
      </c>
      <c r="R32" s="3">
        <v>58</v>
      </c>
      <c r="S32" s="3">
        <v>0</v>
      </c>
      <c r="T32" s="3">
        <v>0</v>
      </c>
      <c r="U32" s="3">
        <v>90</v>
      </c>
      <c r="V32" s="3">
        <v>65</v>
      </c>
      <c r="W32" s="3">
        <v>59</v>
      </c>
      <c r="X32" s="3">
        <v>61</v>
      </c>
      <c r="Y32" s="3">
        <v>58</v>
      </c>
      <c r="Z32" s="3">
        <v>0</v>
      </c>
      <c r="AA32" s="3">
        <v>0</v>
      </c>
      <c r="AB32" s="3">
        <v>86</v>
      </c>
      <c r="AC32" s="3">
        <v>69</v>
      </c>
      <c r="AD32" s="3">
        <v>57</v>
      </c>
      <c r="AE32" s="3">
        <v>64</v>
      </c>
    </row>
    <row r="33" spans="1:31" x14ac:dyDescent="0.25">
      <c r="A33" s="16">
        <v>0.64583333333333337</v>
      </c>
      <c r="B33" s="3">
        <v>65</v>
      </c>
      <c r="C33" s="3">
        <v>67</v>
      </c>
      <c r="D33" s="3">
        <v>68</v>
      </c>
      <c r="E33" s="3">
        <v>0</v>
      </c>
      <c r="F33" s="3">
        <v>0</v>
      </c>
      <c r="G33" s="3">
        <v>97</v>
      </c>
      <c r="H33" s="3">
        <v>70</v>
      </c>
      <c r="I33" s="3">
        <v>58</v>
      </c>
      <c r="J33" s="3">
        <v>60</v>
      </c>
      <c r="K33" s="3">
        <v>59</v>
      </c>
      <c r="L33" s="3">
        <v>0</v>
      </c>
      <c r="M33" s="3">
        <v>0</v>
      </c>
      <c r="N33" s="3">
        <v>86</v>
      </c>
      <c r="O33" s="3">
        <v>67</v>
      </c>
      <c r="P33" s="3">
        <v>60</v>
      </c>
      <c r="Q33" s="3">
        <v>61</v>
      </c>
      <c r="R33" s="3">
        <v>57</v>
      </c>
      <c r="S33" s="3">
        <v>0</v>
      </c>
      <c r="T33" s="3">
        <v>0</v>
      </c>
      <c r="U33" s="3">
        <v>87</v>
      </c>
      <c r="V33" s="3">
        <v>64</v>
      </c>
      <c r="W33" s="3">
        <v>56</v>
      </c>
      <c r="X33" s="3">
        <v>57</v>
      </c>
      <c r="Y33" s="3">
        <v>57</v>
      </c>
      <c r="Z33" s="3">
        <v>0</v>
      </c>
      <c r="AA33" s="3">
        <v>0</v>
      </c>
      <c r="AB33" s="3">
        <v>84</v>
      </c>
      <c r="AC33" s="3">
        <v>68</v>
      </c>
      <c r="AD33" s="3">
        <v>55</v>
      </c>
      <c r="AE33" s="3">
        <v>60</v>
      </c>
    </row>
    <row r="34" spans="1:31" x14ac:dyDescent="0.25">
      <c r="A34" s="16">
        <v>0.66666666666666663</v>
      </c>
      <c r="B34" s="3">
        <v>68</v>
      </c>
      <c r="C34" s="3">
        <v>65</v>
      </c>
      <c r="D34" s="3">
        <v>71</v>
      </c>
      <c r="E34" s="3">
        <v>0</v>
      </c>
      <c r="F34" s="3">
        <v>0</v>
      </c>
      <c r="G34" s="3">
        <v>98</v>
      </c>
      <c r="H34" s="3">
        <v>72</v>
      </c>
      <c r="I34" s="3">
        <v>60</v>
      </c>
      <c r="J34" s="3">
        <v>59</v>
      </c>
      <c r="K34" s="3">
        <v>62</v>
      </c>
      <c r="L34" s="3">
        <v>0</v>
      </c>
      <c r="M34" s="3">
        <v>0</v>
      </c>
      <c r="N34" s="3">
        <v>87</v>
      </c>
      <c r="O34" s="3">
        <v>69</v>
      </c>
      <c r="P34" s="3">
        <v>62</v>
      </c>
      <c r="Q34" s="3">
        <v>60</v>
      </c>
      <c r="R34" s="3">
        <v>59</v>
      </c>
      <c r="S34" s="3">
        <v>0</v>
      </c>
      <c r="T34" s="3">
        <v>0</v>
      </c>
      <c r="U34" s="3">
        <v>88</v>
      </c>
      <c r="V34" s="3">
        <v>67</v>
      </c>
      <c r="W34" s="3">
        <v>59</v>
      </c>
      <c r="X34" s="3">
        <v>55</v>
      </c>
      <c r="Y34" s="3">
        <v>60</v>
      </c>
      <c r="Z34" s="3">
        <v>0</v>
      </c>
      <c r="AA34" s="3">
        <v>0</v>
      </c>
      <c r="AB34" s="3">
        <v>86</v>
      </c>
      <c r="AC34" s="3">
        <v>71</v>
      </c>
      <c r="AD34" s="3">
        <v>57</v>
      </c>
      <c r="AE34" s="3">
        <v>59</v>
      </c>
    </row>
    <row r="35" spans="1:31" x14ac:dyDescent="0.25">
      <c r="A35" s="16">
        <v>0.6875</v>
      </c>
      <c r="B35" s="3">
        <v>73</v>
      </c>
      <c r="C35" s="3">
        <v>67</v>
      </c>
      <c r="D35" s="3">
        <v>75</v>
      </c>
      <c r="E35" s="3">
        <v>0</v>
      </c>
      <c r="F35" s="3">
        <v>0</v>
      </c>
      <c r="G35" s="3">
        <v>102</v>
      </c>
      <c r="H35" s="3">
        <v>76</v>
      </c>
      <c r="I35" s="3">
        <v>65</v>
      </c>
      <c r="J35" s="3">
        <v>59</v>
      </c>
      <c r="K35" s="3">
        <v>65</v>
      </c>
      <c r="L35" s="3">
        <v>0</v>
      </c>
      <c r="M35" s="3">
        <v>0</v>
      </c>
      <c r="N35" s="3">
        <v>90</v>
      </c>
      <c r="O35" s="3">
        <v>73</v>
      </c>
      <c r="P35" s="3">
        <v>68</v>
      </c>
      <c r="Q35" s="3">
        <v>60</v>
      </c>
      <c r="R35" s="3">
        <v>63</v>
      </c>
      <c r="S35" s="3">
        <v>0</v>
      </c>
      <c r="T35" s="3">
        <v>0</v>
      </c>
      <c r="U35" s="3">
        <v>92</v>
      </c>
      <c r="V35" s="3">
        <v>70</v>
      </c>
      <c r="W35" s="3">
        <v>64</v>
      </c>
      <c r="X35" s="3">
        <v>57</v>
      </c>
      <c r="Y35" s="3">
        <v>63</v>
      </c>
      <c r="Z35" s="3">
        <v>0</v>
      </c>
      <c r="AA35" s="3">
        <v>0</v>
      </c>
      <c r="AB35" s="3">
        <v>88</v>
      </c>
      <c r="AC35" s="3">
        <v>74</v>
      </c>
      <c r="AD35" s="3">
        <v>61</v>
      </c>
      <c r="AE35" s="3">
        <v>59</v>
      </c>
    </row>
    <row r="36" spans="1:31" x14ac:dyDescent="0.25">
      <c r="A36" s="16">
        <v>0.70833333333333337</v>
      </c>
      <c r="B36" s="3">
        <v>77</v>
      </c>
      <c r="C36" s="3">
        <v>69</v>
      </c>
      <c r="D36" s="3">
        <v>77</v>
      </c>
      <c r="E36" s="3">
        <v>0</v>
      </c>
      <c r="F36" s="3">
        <v>0</v>
      </c>
      <c r="G36" s="3">
        <v>101</v>
      </c>
      <c r="H36" s="3">
        <v>80</v>
      </c>
      <c r="I36" s="3">
        <v>68</v>
      </c>
      <c r="J36" s="3">
        <v>62</v>
      </c>
      <c r="K36" s="3">
        <v>68</v>
      </c>
      <c r="L36" s="3">
        <v>0</v>
      </c>
      <c r="M36" s="3">
        <v>0</v>
      </c>
      <c r="N36" s="3">
        <v>90</v>
      </c>
      <c r="O36" s="3">
        <v>76</v>
      </c>
      <c r="P36" s="3">
        <v>71</v>
      </c>
      <c r="Q36" s="3">
        <v>63</v>
      </c>
      <c r="R36" s="3">
        <v>64</v>
      </c>
      <c r="S36" s="3">
        <v>0</v>
      </c>
      <c r="T36" s="3">
        <v>0</v>
      </c>
      <c r="U36" s="3">
        <v>91</v>
      </c>
      <c r="V36" s="3">
        <v>73</v>
      </c>
      <c r="W36" s="3">
        <v>67</v>
      </c>
      <c r="X36" s="3">
        <v>59</v>
      </c>
      <c r="Y36" s="3">
        <v>65</v>
      </c>
      <c r="Z36" s="3">
        <v>0</v>
      </c>
      <c r="AA36" s="3">
        <v>0</v>
      </c>
      <c r="AB36" s="3">
        <v>88</v>
      </c>
      <c r="AC36" s="3">
        <v>78</v>
      </c>
      <c r="AD36" s="3">
        <v>65</v>
      </c>
      <c r="AE36" s="3">
        <v>62</v>
      </c>
    </row>
    <row r="37" spans="1:31" x14ac:dyDescent="0.25">
      <c r="A37" s="16">
        <v>0.72916666666666663</v>
      </c>
      <c r="B37" s="3">
        <v>76</v>
      </c>
      <c r="C37" s="3">
        <v>70</v>
      </c>
      <c r="D37" s="3">
        <v>78</v>
      </c>
      <c r="E37" s="3">
        <v>0</v>
      </c>
      <c r="F37" s="3">
        <v>0</v>
      </c>
      <c r="G37" s="3">
        <v>95</v>
      </c>
      <c r="H37" s="3">
        <v>81</v>
      </c>
      <c r="I37" s="3">
        <v>68</v>
      </c>
      <c r="J37" s="3">
        <v>62</v>
      </c>
      <c r="K37" s="3">
        <v>68</v>
      </c>
      <c r="L37" s="3">
        <v>0</v>
      </c>
      <c r="M37" s="3">
        <v>0</v>
      </c>
      <c r="N37" s="3">
        <v>84</v>
      </c>
      <c r="O37" s="3">
        <v>78</v>
      </c>
      <c r="P37" s="3">
        <v>70</v>
      </c>
      <c r="Q37" s="3">
        <v>63</v>
      </c>
      <c r="R37" s="3">
        <v>65</v>
      </c>
      <c r="S37" s="3">
        <v>0</v>
      </c>
      <c r="T37" s="3">
        <v>0</v>
      </c>
      <c r="U37" s="3">
        <v>86</v>
      </c>
      <c r="V37" s="3">
        <v>75</v>
      </c>
      <c r="W37" s="3">
        <v>65</v>
      </c>
      <c r="X37" s="3">
        <v>59</v>
      </c>
      <c r="Y37" s="3">
        <v>65</v>
      </c>
      <c r="Z37" s="3">
        <v>0</v>
      </c>
      <c r="AA37" s="3">
        <v>0</v>
      </c>
      <c r="AB37" s="3">
        <v>82</v>
      </c>
      <c r="AC37" s="3">
        <v>79</v>
      </c>
      <c r="AD37" s="3">
        <v>64</v>
      </c>
      <c r="AE37" s="3">
        <v>62</v>
      </c>
    </row>
    <row r="38" spans="1:31" x14ac:dyDescent="0.25">
      <c r="A38" s="16">
        <v>0.75</v>
      </c>
      <c r="B38" s="3">
        <v>68</v>
      </c>
      <c r="C38" s="3">
        <v>64</v>
      </c>
      <c r="D38" s="3">
        <v>73</v>
      </c>
      <c r="E38" s="3">
        <v>0</v>
      </c>
      <c r="F38" s="3">
        <v>0</v>
      </c>
      <c r="G38" s="3">
        <v>85</v>
      </c>
      <c r="H38" s="3">
        <v>73</v>
      </c>
      <c r="I38" s="3">
        <v>61</v>
      </c>
      <c r="J38" s="3">
        <v>57</v>
      </c>
      <c r="K38" s="3">
        <v>63</v>
      </c>
      <c r="L38" s="3">
        <v>0</v>
      </c>
      <c r="M38" s="3">
        <v>0</v>
      </c>
      <c r="N38" s="3">
        <v>75</v>
      </c>
      <c r="O38" s="3">
        <v>70</v>
      </c>
      <c r="P38" s="3">
        <v>63</v>
      </c>
      <c r="Q38" s="3">
        <v>58</v>
      </c>
      <c r="R38" s="3">
        <v>60</v>
      </c>
      <c r="S38" s="3">
        <v>0</v>
      </c>
      <c r="T38" s="3">
        <v>0</v>
      </c>
      <c r="U38" s="3">
        <v>76</v>
      </c>
      <c r="V38" s="3">
        <v>68</v>
      </c>
      <c r="W38" s="3">
        <v>60</v>
      </c>
      <c r="X38" s="3">
        <v>55</v>
      </c>
      <c r="Y38" s="3">
        <v>61</v>
      </c>
      <c r="Z38" s="3">
        <v>0</v>
      </c>
      <c r="AA38" s="3">
        <v>0</v>
      </c>
      <c r="AB38" s="3">
        <v>74</v>
      </c>
      <c r="AC38" s="3">
        <v>72</v>
      </c>
      <c r="AD38" s="3">
        <v>58</v>
      </c>
      <c r="AE38" s="3">
        <v>57</v>
      </c>
    </row>
    <row r="39" spans="1:31" x14ac:dyDescent="0.25">
      <c r="A39" s="16">
        <v>0.77083333333333337</v>
      </c>
      <c r="B39" s="3">
        <v>58</v>
      </c>
      <c r="C39" s="3">
        <v>53</v>
      </c>
      <c r="D39" s="3">
        <v>62</v>
      </c>
      <c r="E39" s="3">
        <v>0</v>
      </c>
      <c r="F39" s="3">
        <v>0</v>
      </c>
      <c r="G39" s="3">
        <v>73</v>
      </c>
      <c r="H39" s="3">
        <v>60</v>
      </c>
      <c r="I39" s="3">
        <v>52</v>
      </c>
      <c r="J39" s="3">
        <v>47</v>
      </c>
      <c r="K39" s="3">
        <v>54</v>
      </c>
      <c r="L39" s="3">
        <v>0</v>
      </c>
      <c r="M39" s="3">
        <v>0</v>
      </c>
      <c r="N39" s="3">
        <v>64</v>
      </c>
      <c r="O39" s="3">
        <v>57</v>
      </c>
      <c r="P39" s="3">
        <v>53</v>
      </c>
      <c r="Q39" s="3">
        <v>48</v>
      </c>
      <c r="R39" s="3">
        <v>52</v>
      </c>
      <c r="S39" s="3">
        <v>0</v>
      </c>
      <c r="T39" s="3">
        <v>0</v>
      </c>
      <c r="U39" s="3">
        <v>65</v>
      </c>
      <c r="V39" s="3">
        <v>55</v>
      </c>
      <c r="W39" s="3">
        <v>50</v>
      </c>
      <c r="X39" s="3">
        <v>45</v>
      </c>
      <c r="Y39" s="3">
        <v>52</v>
      </c>
      <c r="Z39" s="3">
        <v>0</v>
      </c>
      <c r="AA39" s="3">
        <v>0</v>
      </c>
      <c r="AB39" s="3">
        <v>63</v>
      </c>
      <c r="AC39" s="3">
        <v>58</v>
      </c>
      <c r="AD39" s="3">
        <v>48</v>
      </c>
      <c r="AE39" s="3">
        <v>47</v>
      </c>
    </row>
    <row r="40" spans="1:31" x14ac:dyDescent="0.25">
      <c r="A40" s="16">
        <v>0.79166666666666663</v>
      </c>
      <c r="B40" s="3">
        <v>46</v>
      </c>
      <c r="C40" s="3">
        <v>41</v>
      </c>
      <c r="D40" s="3">
        <v>48</v>
      </c>
      <c r="E40" s="3">
        <v>0</v>
      </c>
      <c r="F40" s="3">
        <v>0</v>
      </c>
      <c r="G40" s="3">
        <v>60</v>
      </c>
      <c r="H40" s="3">
        <v>46</v>
      </c>
      <c r="I40" s="3">
        <v>41</v>
      </c>
      <c r="J40" s="3">
        <v>36</v>
      </c>
      <c r="K40" s="3">
        <v>42</v>
      </c>
      <c r="L40" s="3">
        <v>0</v>
      </c>
      <c r="M40" s="3">
        <v>0</v>
      </c>
      <c r="N40" s="3">
        <v>53</v>
      </c>
      <c r="O40" s="3">
        <v>44</v>
      </c>
      <c r="P40" s="3">
        <v>42</v>
      </c>
      <c r="Q40" s="3">
        <v>37</v>
      </c>
      <c r="R40" s="3">
        <v>40</v>
      </c>
      <c r="S40" s="3">
        <v>0</v>
      </c>
      <c r="T40" s="3">
        <v>0</v>
      </c>
      <c r="U40" s="3">
        <v>54</v>
      </c>
      <c r="V40" s="3">
        <v>43</v>
      </c>
      <c r="W40" s="3">
        <v>40</v>
      </c>
      <c r="X40" s="3">
        <v>35</v>
      </c>
      <c r="Y40" s="3">
        <v>41</v>
      </c>
      <c r="Z40" s="3">
        <v>0</v>
      </c>
      <c r="AA40" s="3">
        <v>0</v>
      </c>
      <c r="AB40" s="3">
        <v>52</v>
      </c>
      <c r="AC40" s="3">
        <v>45</v>
      </c>
      <c r="AD40" s="3">
        <v>39</v>
      </c>
      <c r="AE40" s="3">
        <v>36</v>
      </c>
    </row>
    <row r="41" spans="1:31" x14ac:dyDescent="0.25">
      <c r="A41" s="16">
        <v>0.8125</v>
      </c>
      <c r="B41" s="3">
        <v>37</v>
      </c>
      <c r="C41" s="3">
        <v>32</v>
      </c>
      <c r="D41" s="3">
        <v>37</v>
      </c>
      <c r="E41" s="3">
        <v>0</v>
      </c>
      <c r="F41" s="3">
        <v>0</v>
      </c>
      <c r="G41" s="3">
        <v>48</v>
      </c>
      <c r="H41" s="3">
        <v>37</v>
      </c>
      <c r="I41" s="3">
        <v>33</v>
      </c>
      <c r="J41" s="3">
        <v>28</v>
      </c>
      <c r="K41" s="3">
        <v>32</v>
      </c>
      <c r="L41" s="3">
        <v>0</v>
      </c>
      <c r="M41" s="3">
        <v>0</v>
      </c>
      <c r="N41" s="3">
        <v>43</v>
      </c>
      <c r="O41" s="3">
        <v>36</v>
      </c>
      <c r="P41" s="3">
        <v>34</v>
      </c>
      <c r="Q41" s="3">
        <v>29</v>
      </c>
      <c r="R41" s="3">
        <v>31</v>
      </c>
      <c r="S41" s="3">
        <v>0</v>
      </c>
      <c r="T41" s="3">
        <v>0</v>
      </c>
      <c r="U41" s="3">
        <v>43</v>
      </c>
      <c r="V41" s="3">
        <v>35</v>
      </c>
      <c r="W41" s="3">
        <v>32</v>
      </c>
      <c r="X41" s="3">
        <v>27</v>
      </c>
      <c r="Y41" s="3">
        <v>31</v>
      </c>
      <c r="Z41" s="3">
        <v>0</v>
      </c>
      <c r="AA41" s="3">
        <v>0</v>
      </c>
      <c r="AB41" s="3">
        <v>42</v>
      </c>
      <c r="AC41" s="3">
        <v>37</v>
      </c>
      <c r="AD41" s="3">
        <v>31</v>
      </c>
      <c r="AE41" s="3">
        <v>28</v>
      </c>
    </row>
    <row r="42" spans="1:31" x14ac:dyDescent="0.25">
      <c r="A42" s="16">
        <v>0.83333333333333337</v>
      </c>
      <c r="B42" s="3">
        <v>30</v>
      </c>
      <c r="C42" s="3">
        <v>27</v>
      </c>
      <c r="D42" s="3">
        <v>30</v>
      </c>
      <c r="E42" s="3">
        <v>0</v>
      </c>
      <c r="F42" s="3">
        <v>0</v>
      </c>
      <c r="G42" s="3">
        <v>38</v>
      </c>
      <c r="H42" s="3">
        <v>32</v>
      </c>
      <c r="I42" s="3">
        <v>27</v>
      </c>
      <c r="J42" s="3">
        <v>24</v>
      </c>
      <c r="K42" s="3">
        <v>26</v>
      </c>
      <c r="L42" s="3">
        <v>0</v>
      </c>
      <c r="M42" s="3">
        <v>0</v>
      </c>
      <c r="N42" s="3">
        <v>34</v>
      </c>
      <c r="O42" s="3">
        <v>31</v>
      </c>
      <c r="P42" s="3">
        <v>28</v>
      </c>
      <c r="Q42" s="3">
        <v>25</v>
      </c>
      <c r="R42" s="3">
        <v>25</v>
      </c>
      <c r="S42" s="3">
        <v>0</v>
      </c>
      <c r="T42" s="3">
        <v>0</v>
      </c>
      <c r="U42" s="3">
        <v>34</v>
      </c>
      <c r="V42" s="3">
        <v>30</v>
      </c>
      <c r="W42" s="3">
        <v>26</v>
      </c>
      <c r="X42" s="3">
        <v>23</v>
      </c>
      <c r="Y42" s="3">
        <v>25</v>
      </c>
      <c r="Z42" s="3">
        <v>0</v>
      </c>
      <c r="AA42" s="3">
        <v>0</v>
      </c>
      <c r="AB42" s="3">
        <v>33</v>
      </c>
      <c r="AC42" s="3">
        <v>31</v>
      </c>
      <c r="AD42" s="3">
        <v>25</v>
      </c>
      <c r="AE42" s="3">
        <v>24</v>
      </c>
    </row>
    <row r="43" spans="1:31" x14ac:dyDescent="0.25">
      <c r="A43" s="16">
        <v>0.85416666666666663</v>
      </c>
      <c r="B43" s="3">
        <v>25</v>
      </c>
      <c r="C43" s="3">
        <v>25</v>
      </c>
      <c r="D43" s="3">
        <v>27</v>
      </c>
      <c r="E43" s="3">
        <v>0</v>
      </c>
      <c r="F43" s="3">
        <v>0</v>
      </c>
      <c r="G43" s="3">
        <v>32</v>
      </c>
      <c r="H43" s="3">
        <v>28</v>
      </c>
      <c r="I43" s="3">
        <v>23</v>
      </c>
      <c r="J43" s="3">
        <v>22</v>
      </c>
      <c r="K43" s="3">
        <v>23</v>
      </c>
      <c r="L43" s="3">
        <v>0</v>
      </c>
      <c r="M43" s="3">
        <v>0</v>
      </c>
      <c r="N43" s="3">
        <v>29</v>
      </c>
      <c r="O43" s="3">
        <v>27</v>
      </c>
      <c r="P43" s="3">
        <v>24</v>
      </c>
      <c r="Q43" s="3">
        <v>22</v>
      </c>
      <c r="R43" s="3">
        <v>22</v>
      </c>
      <c r="S43" s="3">
        <v>0</v>
      </c>
      <c r="T43" s="3">
        <v>0</v>
      </c>
      <c r="U43" s="3">
        <v>29</v>
      </c>
      <c r="V43" s="3">
        <v>26</v>
      </c>
      <c r="W43" s="3">
        <v>22</v>
      </c>
      <c r="X43" s="3">
        <v>21</v>
      </c>
      <c r="Y43" s="3">
        <v>23</v>
      </c>
      <c r="Z43" s="3">
        <v>0</v>
      </c>
      <c r="AA43" s="3">
        <v>0</v>
      </c>
      <c r="AB43" s="3">
        <v>28</v>
      </c>
      <c r="AC43" s="3">
        <v>27</v>
      </c>
      <c r="AD43" s="3">
        <v>22</v>
      </c>
      <c r="AE43" s="3">
        <v>22</v>
      </c>
    </row>
    <row r="44" spans="1:31" x14ac:dyDescent="0.25">
      <c r="A44" s="16">
        <v>0.875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25">
      <c r="A45" s="16">
        <v>0.89583333333333337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25">
      <c r="A46" s="16">
        <v>0.91666666666666663</v>
      </c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25">
      <c r="A47" s="16">
        <v>0.9375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25">
      <c r="A48" s="16">
        <v>0.95833333333333337</v>
      </c>
      <c r="B48" s="19">
        <v>0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2" x14ac:dyDescent="0.25">
      <c r="A49" s="16">
        <v>0.97916666666666663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2" x14ac:dyDescent="0.25">
      <c r="A50" s="17" t="s">
        <v>60</v>
      </c>
      <c r="B50" s="18">
        <f>SUM(B2:B49)</f>
        <v>1475</v>
      </c>
      <c r="C50" s="18">
        <f t="shared" ref="C50:AF50" si="1">SUM(C2:C49)</f>
        <v>1415</v>
      </c>
      <c r="D50" s="18">
        <f t="shared" si="1"/>
        <v>1462</v>
      </c>
      <c r="E50" s="18">
        <f t="shared" si="1"/>
        <v>0</v>
      </c>
      <c r="F50" s="18">
        <f t="shared" si="1"/>
        <v>0</v>
      </c>
      <c r="G50" s="18">
        <f t="shared" si="1"/>
        <v>1948</v>
      </c>
      <c r="H50" s="18">
        <f t="shared" si="1"/>
        <v>1481</v>
      </c>
      <c r="I50" s="18">
        <f t="shared" si="1"/>
        <v>1316</v>
      </c>
      <c r="J50" s="18">
        <f t="shared" si="1"/>
        <v>1259</v>
      </c>
      <c r="K50" s="18">
        <f t="shared" si="1"/>
        <v>1272</v>
      </c>
      <c r="L50" s="18">
        <f t="shared" si="1"/>
        <v>0</v>
      </c>
      <c r="M50" s="18">
        <f t="shared" si="1"/>
        <v>0</v>
      </c>
      <c r="N50" s="18">
        <f t="shared" si="1"/>
        <v>1726</v>
      </c>
      <c r="O50" s="18">
        <f t="shared" si="1"/>
        <v>1419</v>
      </c>
      <c r="P50" s="18">
        <f t="shared" si="1"/>
        <v>1363</v>
      </c>
      <c r="Q50" s="18">
        <f t="shared" si="1"/>
        <v>1281</v>
      </c>
      <c r="R50" s="18">
        <f t="shared" si="1"/>
        <v>1220</v>
      </c>
      <c r="S50" s="18">
        <f t="shared" si="1"/>
        <v>0</v>
      </c>
      <c r="T50" s="18">
        <f t="shared" si="1"/>
        <v>0</v>
      </c>
      <c r="U50" s="18">
        <f t="shared" si="1"/>
        <v>1754</v>
      </c>
      <c r="V50" s="18">
        <f t="shared" si="1"/>
        <v>1369</v>
      </c>
      <c r="W50" s="18">
        <f t="shared" si="1"/>
        <v>1279</v>
      </c>
      <c r="X50" s="18">
        <f t="shared" si="1"/>
        <v>1203</v>
      </c>
      <c r="Y50" s="18">
        <f t="shared" si="1"/>
        <v>1233</v>
      </c>
      <c r="Z50" s="18">
        <f t="shared" si="1"/>
        <v>0</v>
      </c>
      <c r="AA50" s="18">
        <f t="shared" si="1"/>
        <v>0</v>
      </c>
      <c r="AB50" s="18">
        <f t="shared" si="1"/>
        <v>1690</v>
      </c>
      <c r="AC50" s="18">
        <f t="shared" si="1"/>
        <v>1448</v>
      </c>
      <c r="AD50" s="18">
        <f t="shared" si="1"/>
        <v>1242</v>
      </c>
      <c r="AE50" s="18">
        <f t="shared" si="1"/>
        <v>1258</v>
      </c>
      <c r="AF50" s="18">
        <f t="shared" si="1"/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8E529-D557-442D-B7C0-C41BD490CFCC}">
  <sheetPr>
    <tabColor rgb="FF7030A0"/>
  </sheetPr>
  <dimension ref="A1:AG51"/>
  <sheetViews>
    <sheetView tabSelected="1" zoomScale="75" zoomScaleNormal="75" workbookViewId="0">
      <selection activeCell="Y35" sqref="Y35"/>
    </sheetView>
  </sheetViews>
  <sheetFormatPr defaultRowHeight="15" x14ac:dyDescent="0.25"/>
  <cols>
    <col min="1" max="1" width="11" style="3" bestFit="1" customWidth="1"/>
    <col min="2" max="10" width="7.7109375" style="3" bestFit="1" customWidth="1"/>
    <col min="11" max="32" width="8.85546875" style="3" bestFit="1" customWidth="1"/>
    <col min="33" max="33" width="6.42578125" style="3" bestFit="1" customWidth="1"/>
    <col min="34" max="16384" width="9.140625" style="3"/>
  </cols>
  <sheetData>
    <row r="1" spans="1:32" x14ac:dyDescent="0.25">
      <c r="A1" s="14" t="s">
        <v>0</v>
      </c>
      <c r="B1" s="2">
        <f>'V-FTE Apr'!B1</f>
        <v>46113</v>
      </c>
      <c r="C1" s="2">
        <f>'V-FTE Apr'!C1</f>
        <v>46114</v>
      </c>
      <c r="D1" s="2">
        <f>'V-FTE Apr'!D1</f>
        <v>46115</v>
      </c>
      <c r="E1" s="2">
        <f>'V-FTE Apr'!E1</f>
        <v>46116</v>
      </c>
      <c r="F1" s="2">
        <f>'V-FTE Apr'!F1</f>
        <v>46117</v>
      </c>
      <c r="G1" s="2">
        <f>'V-FTE Apr'!G1</f>
        <v>46118</v>
      </c>
      <c r="H1" s="2">
        <f>'V-FTE Apr'!H1</f>
        <v>46119</v>
      </c>
      <c r="I1" s="2">
        <f>'V-FTE Apr'!I1</f>
        <v>46120</v>
      </c>
      <c r="J1" s="2">
        <f>'V-FTE Apr'!J1</f>
        <v>46121</v>
      </c>
      <c r="K1" s="2">
        <f>'V-FTE Apr'!K1</f>
        <v>46122</v>
      </c>
      <c r="L1" s="2">
        <f>'V-FTE Apr'!L1</f>
        <v>46123</v>
      </c>
      <c r="M1" s="2">
        <f>'V-FTE Apr'!M1</f>
        <v>46124</v>
      </c>
      <c r="N1" s="2">
        <f>'V-FTE Apr'!N1</f>
        <v>46125</v>
      </c>
      <c r="O1" s="2">
        <f>'V-FTE Apr'!O1</f>
        <v>46126</v>
      </c>
      <c r="P1" s="2">
        <f>'V-FTE Apr'!P1</f>
        <v>46127</v>
      </c>
      <c r="Q1" s="2">
        <f>'V-FTE Apr'!Q1</f>
        <v>46128</v>
      </c>
      <c r="R1" s="2">
        <f>'V-FTE Apr'!R1</f>
        <v>46129</v>
      </c>
      <c r="S1" s="2">
        <f>'V-FTE Apr'!S1</f>
        <v>46130</v>
      </c>
      <c r="T1" s="2">
        <f>'V-FTE Apr'!T1</f>
        <v>46131</v>
      </c>
      <c r="U1" s="2">
        <f>'V-FTE Apr'!U1</f>
        <v>46132</v>
      </c>
      <c r="V1" s="2">
        <f>'V-FTE Apr'!V1</f>
        <v>46133</v>
      </c>
      <c r="W1" s="2">
        <f>'V-FTE Apr'!W1</f>
        <v>46134</v>
      </c>
      <c r="X1" s="2">
        <f>'V-FTE Apr'!X1</f>
        <v>46135</v>
      </c>
      <c r="Y1" s="2">
        <f>'V-FTE Apr'!Y1</f>
        <v>46136</v>
      </c>
      <c r="Z1" s="2">
        <f>'V-FTE Apr'!Z1</f>
        <v>46137</v>
      </c>
      <c r="AA1" s="2">
        <f>'V-FTE Apr'!AA1</f>
        <v>46138</v>
      </c>
      <c r="AB1" s="2">
        <f>'V-FTE Apr'!AB1</f>
        <v>46139</v>
      </c>
      <c r="AC1" s="2">
        <f>'V-FTE Apr'!AC1</f>
        <v>46140</v>
      </c>
      <c r="AD1" s="2">
        <f>'V-FTE Apr'!AD1</f>
        <v>46141</v>
      </c>
      <c r="AE1" s="2">
        <f>'V-FTE Apr'!AE1</f>
        <v>46142</v>
      </c>
      <c r="AF1" s="2">
        <f>'V-FTE Apr'!AF1</f>
        <v>46143</v>
      </c>
    </row>
    <row r="2" spans="1:32" x14ac:dyDescent="0.25">
      <c r="A2" s="15"/>
      <c r="B2" s="5" t="str">
        <f>TEXT(B1,"ddd")</f>
        <v>Wed</v>
      </c>
      <c r="C2" s="5" t="str">
        <f t="shared" ref="C2:AF2" si="0">TEXT(C1,"ddd")</f>
        <v>Thu</v>
      </c>
      <c r="D2" s="5" t="str">
        <f t="shared" si="0"/>
        <v>Fri</v>
      </c>
      <c r="E2" s="5" t="str">
        <f t="shared" si="0"/>
        <v>Sat</v>
      </c>
      <c r="F2" s="5" t="str">
        <f t="shared" si="0"/>
        <v>Sun</v>
      </c>
      <c r="G2" s="5" t="str">
        <f t="shared" si="0"/>
        <v>Mon</v>
      </c>
      <c r="H2" s="5" t="str">
        <f t="shared" si="0"/>
        <v>Tue</v>
      </c>
      <c r="I2" s="5" t="str">
        <f t="shared" si="0"/>
        <v>Wed</v>
      </c>
      <c r="J2" s="5" t="str">
        <f t="shared" si="0"/>
        <v>Thu</v>
      </c>
      <c r="K2" s="5" t="str">
        <f t="shared" si="0"/>
        <v>Fri</v>
      </c>
      <c r="L2" s="5" t="str">
        <f t="shared" si="0"/>
        <v>Sat</v>
      </c>
      <c r="M2" s="5" t="str">
        <f t="shared" si="0"/>
        <v>Sun</v>
      </c>
      <c r="N2" s="5" t="str">
        <f t="shared" si="0"/>
        <v>Mon</v>
      </c>
      <c r="O2" s="5" t="str">
        <f t="shared" si="0"/>
        <v>Tue</v>
      </c>
      <c r="P2" s="5" t="str">
        <f t="shared" si="0"/>
        <v>Wed</v>
      </c>
      <c r="Q2" s="5" t="str">
        <f t="shared" si="0"/>
        <v>Thu</v>
      </c>
      <c r="R2" s="5" t="str">
        <f t="shared" si="0"/>
        <v>Fri</v>
      </c>
      <c r="S2" s="5" t="str">
        <f t="shared" si="0"/>
        <v>Sat</v>
      </c>
      <c r="T2" s="5" t="str">
        <f t="shared" si="0"/>
        <v>Sun</v>
      </c>
      <c r="U2" s="5" t="str">
        <f t="shared" si="0"/>
        <v>Mon</v>
      </c>
      <c r="V2" s="5" t="str">
        <f t="shared" si="0"/>
        <v>Tue</v>
      </c>
      <c r="W2" s="5" t="str">
        <f t="shared" si="0"/>
        <v>Wed</v>
      </c>
      <c r="X2" s="5" t="str">
        <f t="shared" si="0"/>
        <v>Thu</v>
      </c>
      <c r="Y2" s="5" t="str">
        <f t="shared" si="0"/>
        <v>Fri</v>
      </c>
      <c r="Z2" s="5" t="str">
        <f t="shared" si="0"/>
        <v>Sat</v>
      </c>
      <c r="AA2" s="5" t="str">
        <f t="shared" si="0"/>
        <v>Sun</v>
      </c>
      <c r="AB2" s="5" t="str">
        <f t="shared" si="0"/>
        <v>Mon</v>
      </c>
      <c r="AC2" s="5" t="str">
        <f t="shared" si="0"/>
        <v>Tue</v>
      </c>
      <c r="AD2" s="5" t="str">
        <f t="shared" si="0"/>
        <v>Wed</v>
      </c>
      <c r="AE2" s="5" t="str">
        <f t="shared" si="0"/>
        <v>Thu</v>
      </c>
      <c r="AF2" s="5" t="str">
        <f t="shared" si="0"/>
        <v>Fri</v>
      </c>
    </row>
    <row r="3" spans="1:32" x14ac:dyDescent="0.25">
      <c r="A3" s="3" t="s">
        <v>8</v>
      </c>
      <c r="B3" s="7">
        <f>'V-FTE Mar'!B3/2</f>
        <v>0</v>
      </c>
      <c r="C3" s="7">
        <f>'V-FTE Mar'!C3/2</f>
        <v>0</v>
      </c>
      <c r="D3" s="7">
        <f>'V-FTE Mar'!D3/2</f>
        <v>0</v>
      </c>
      <c r="E3" s="7">
        <f>'V-FTE Mar'!E3/2</f>
        <v>0</v>
      </c>
      <c r="F3" s="7">
        <f>'V-FTE Mar'!F3/2</f>
        <v>0</v>
      </c>
      <c r="G3" s="7">
        <f>'V-FTE Mar'!G3/2</f>
        <v>0</v>
      </c>
      <c r="H3" s="7">
        <f>'V-FTE Mar'!H3/2</f>
        <v>0</v>
      </c>
      <c r="I3" s="7">
        <f>'V-FTE Mar'!I3/2</f>
        <v>0</v>
      </c>
      <c r="J3" s="7">
        <f>'V-FTE Mar'!J3/2</f>
        <v>0</v>
      </c>
      <c r="K3" s="7">
        <f>'V-FTE Mar'!K3/2</f>
        <v>0</v>
      </c>
      <c r="L3" s="7">
        <f>'V-FTE Mar'!L3/2</f>
        <v>0</v>
      </c>
      <c r="M3" s="7">
        <f>'V-FTE Mar'!M3/2</f>
        <v>0</v>
      </c>
      <c r="N3" s="7">
        <f>'V-FTE Mar'!N3/2</f>
        <v>0</v>
      </c>
      <c r="O3" s="7">
        <f>'V-FTE Mar'!O3/2</f>
        <v>0</v>
      </c>
      <c r="P3" s="7">
        <f>'V-FTE Mar'!P3/2</f>
        <v>0</v>
      </c>
      <c r="Q3" s="7">
        <f>'V-FTE Mar'!Q3/2</f>
        <v>0</v>
      </c>
      <c r="R3" s="7">
        <f>'V-FTE Mar'!R3/2</f>
        <v>0</v>
      </c>
      <c r="S3" s="7">
        <f>'V-FTE Mar'!S3/2</f>
        <v>0</v>
      </c>
      <c r="T3" s="7">
        <f>'V-FTE Mar'!T3/2</f>
        <v>0</v>
      </c>
      <c r="U3" s="7">
        <f>'V-FTE Mar'!U3/2</f>
        <v>0</v>
      </c>
      <c r="V3" s="7">
        <f>'V-FTE Mar'!V3/2</f>
        <v>0</v>
      </c>
      <c r="W3" s="7">
        <f>'V-FTE Mar'!W3/2</f>
        <v>0</v>
      </c>
      <c r="X3" s="7">
        <f>'V-FTE Mar'!X3/2</f>
        <v>0</v>
      </c>
      <c r="Y3" s="7">
        <f>'V-FTE Mar'!Y3/2</f>
        <v>0</v>
      </c>
      <c r="Z3" s="7">
        <f>'V-FTE Mar'!Z3/2</f>
        <v>0</v>
      </c>
      <c r="AA3" s="7">
        <f>'V-FTE Mar'!AA3/2</f>
        <v>0</v>
      </c>
      <c r="AB3" s="7">
        <f>'V-FTE Mar'!AB3/2</f>
        <v>0</v>
      </c>
      <c r="AC3" s="7">
        <f>'V-FTE Mar'!AC3/2</f>
        <v>0</v>
      </c>
      <c r="AD3" s="7">
        <f>'V-FTE Mar'!AD3/2</f>
        <v>0</v>
      </c>
      <c r="AE3" s="7">
        <f>'V-FTE Mar'!AE3/2</f>
        <v>0</v>
      </c>
      <c r="AF3" s="7"/>
    </row>
    <row r="4" spans="1:32" x14ac:dyDescent="0.25">
      <c r="A4" s="3" t="s">
        <v>9</v>
      </c>
      <c r="B4" s="7">
        <f>'V-FTE Mar'!B4/2</f>
        <v>0</v>
      </c>
      <c r="C4" s="7">
        <f>'V-FTE Mar'!C4/2</f>
        <v>0</v>
      </c>
      <c r="D4" s="7">
        <f>'V-FTE Mar'!D4/2</f>
        <v>0</v>
      </c>
      <c r="E4" s="7">
        <f>'V-FTE Mar'!E4/2</f>
        <v>0</v>
      </c>
      <c r="F4" s="7">
        <f>'V-FTE Mar'!F4/2</f>
        <v>0</v>
      </c>
      <c r="G4" s="7">
        <f>'V-FTE Mar'!G4/2</f>
        <v>0</v>
      </c>
      <c r="H4" s="7">
        <f>'V-FTE Mar'!H4/2</f>
        <v>0</v>
      </c>
      <c r="I4" s="7">
        <f>'V-FTE Mar'!I4/2</f>
        <v>0</v>
      </c>
      <c r="J4" s="7">
        <f>'V-FTE Mar'!J4/2</f>
        <v>0</v>
      </c>
      <c r="K4" s="7">
        <f>'V-FTE Mar'!K4/2</f>
        <v>0</v>
      </c>
      <c r="L4" s="7">
        <f>'V-FTE Mar'!L4/2</f>
        <v>0</v>
      </c>
      <c r="M4" s="7">
        <f>'V-FTE Mar'!M4/2</f>
        <v>0</v>
      </c>
      <c r="N4" s="7">
        <f>'V-FTE Mar'!N4/2</f>
        <v>0</v>
      </c>
      <c r="O4" s="7">
        <f>'V-FTE Mar'!O4/2</f>
        <v>0</v>
      </c>
      <c r="P4" s="7">
        <f>'V-FTE Mar'!P4/2</f>
        <v>0</v>
      </c>
      <c r="Q4" s="7">
        <f>'V-FTE Mar'!Q4/2</f>
        <v>0</v>
      </c>
      <c r="R4" s="7">
        <f>'V-FTE Mar'!R4/2</f>
        <v>0</v>
      </c>
      <c r="S4" s="7">
        <f>'V-FTE Mar'!S4/2</f>
        <v>0</v>
      </c>
      <c r="T4" s="7">
        <f>'V-FTE Mar'!T4/2</f>
        <v>0</v>
      </c>
      <c r="U4" s="7">
        <f>'V-FTE Mar'!U4/2</f>
        <v>0</v>
      </c>
      <c r="V4" s="7">
        <f>'V-FTE Mar'!V4/2</f>
        <v>0</v>
      </c>
      <c r="W4" s="7">
        <f>'V-FTE Mar'!W4/2</f>
        <v>0</v>
      </c>
      <c r="X4" s="7">
        <f>'V-FTE Mar'!X4/2</f>
        <v>0</v>
      </c>
      <c r="Y4" s="7">
        <f>'V-FTE Mar'!Y4/2</f>
        <v>0</v>
      </c>
      <c r="Z4" s="7">
        <f>'V-FTE Mar'!Z4/2</f>
        <v>0</v>
      </c>
      <c r="AA4" s="7">
        <f>'V-FTE Mar'!AA4/2</f>
        <v>0</v>
      </c>
      <c r="AB4" s="7">
        <f>'V-FTE Mar'!AB4/2</f>
        <v>0</v>
      </c>
      <c r="AC4" s="7">
        <f>'V-FTE Mar'!AC4/2</f>
        <v>0</v>
      </c>
      <c r="AD4" s="7">
        <f>'V-FTE Mar'!AD4/2</f>
        <v>0</v>
      </c>
      <c r="AE4" s="7">
        <f>'V-FTE Mar'!AE4/2</f>
        <v>0</v>
      </c>
      <c r="AF4" s="7"/>
    </row>
    <row r="5" spans="1:32" x14ac:dyDescent="0.25">
      <c r="A5" s="3" t="s">
        <v>10</v>
      </c>
      <c r="B5" s="7">
        <f>'V-FTE Mar'!B5/2</f>
        <v>0</v>
      </c>
      <c r="C5" s="7">
        <f>'V-FTE Mar'!C5/2</f>
        <v>0</v>
      </c>
      <c r="D5" s="7">
        <f>'V-FTE Mar'!D5/2</f>
        <v>0</v>
      </c>
      <c r="E5" s="7">
        <f>'V-FTE Mar'!E5/2</f>
        <v>0</v>
      </c>
      <c r="F5" s="7">
        <f>'V-FTE Mar'!F5/2</f>
        <v>0</v>
      </c>
      <c r="G5" s="7">
        <f>'V-FTE Mar'!G5/2</f>
        <v>0</v>
      </c>
      <c r="H5" s="7">
        <f>'V-FTE Mar'!H5/2</f>
        <v>0</v>
      </c>
      <c r="I5" s="7">
        <f>'V-FTE Mar'!I5/2</f>
        <v>0</v>
      </c>
      <c r="J5" s="7">
        <f>'V-FTE Mar'!J5/2</f>
        <v>0</v>
      </c>
      <c r="K5" s="7">
        <f>'V-FTE Mar'!K5/2</f>
        <v>0</v>
      </c>
      <c r="L5" s="7">
        <f>'V-FTE Mar'!L5/2</f>
        <v>0</v>
      </c>
      <c r="M5" s="7">
        <f>'V-FTE Mar'!M5/2</f>
        <v>0</v>
      </c>
      <c r="N5" s="7">
        <f>'V-FTE Mar'!N5/2</f>
        <v>0</v>
      </c>
      <c r="O5" s="7">
        <f>'V-FTE Mar'!O5/2</f>
        <v>0</v>
      </c>
      <c r="P5" s="7">
        <f>'V-FTE Mar'!P5/2</f>
        <v>0</v>
      </c>
      <c r="Q5" s="7">
        <f>'V-FTE Mar'!Q5/2</f>
        <v>0</v>
      </c>
      <c r="R5" s="7">
        <f>'V-FTE Mar'!R5/2</f>
        <v>0</v>
      </c>
      <c r="S5" s="7">
        <f>'V-FTE Mar'!S5/2</f>
        <v>0</v>
      </c>
      <c r="T5" s="7">
        <f>'V-FTE Mar'!T5/2</f>
        <v>0</v>
      </c>
      <c r="U5" s="7">
        <f>'V-FTE Mar'!U5/2</f>
        <v>0</v>
      </c>
      <c r="V5" s="7">
        <f>'V-FTE Mar'!V5/2</f>
        <v>0</v>
      </c>
      <c r="W5" s="7">
        <f>'V-FTE Mar'!W5/2</f>
        <v>0</v>
      </c>
      <c r="X5" s="7">
        <f>'V-FTE Mar'!X5/2</f>
        <v>0</v>
      </c>
      <c r="Y5" s="7">
        <f>'V-FTE Mar'!Y5/2</f>
        <v>0</v>
      </c>
      <c r="Z5" s="7">
        <f>'V-FTE Mar'!Z5/2</f>
        <v>0</v>
      </c>
      <c r="AA5" s="7">
        <f>'V-FTE Mar'!AA5/2</f>
        <v>0</v>
      </c>
      <c r="AB5" s="7">
        <f>'V-FTE Mar'!AB5/2</f>
        <v>0</v>
      </c>
      <c r="AC5" s="7">
        <f>'V-FTE Mar'!AC5/2</f>
        <v>0</v>
      </c>
      <c r="AD5" s="7">
        <f>'V-FTE Mar'!AD5/2</f>
        <v>0</v>
      </c>
      <c r="AE5" s="7">
        <f>'V-FTE Mar'!AE5/2</f>
        <v>0</v>
      </c>
      <c r="AF5" s="7"/>
    </row>
    <row r="6" spans="1:32" x14ac:dyDescent="0.25">
      <c r="A6" s="3" t="s">
        <v>11</v>
      </c>
      <c r="B6" s="7">
        <f>'V-FTE Mar'!B6/2</f>
        <v>0</v>
      </c>
      <c r="C6" s="7">
        <f>'V-FTE Mar'!C6/2</f>
        <v>0</v>
      </c>
      <c r="D6" s="7">
        <f>'V-FTE Mar'!D6/2</f>
        <v>0</v>
      </c>
      <c r="E6" s="7">
        <f>'V-FTE Mar'!E6/2</f>
        <v>0</v>
      </c>
      <c r="F6" s="7">
        <f>'V-FTE Mar'!F6/2</f>
        <v>0</v>
      </c>
      <c r="G6" s="7">
        <f>'V-FTE Mar'!G6/2</f>
        <v>0</v>
      </c>
      <c r="H6" s="7">
        <f>'V-FTE Mar'!H6/2</f>
        <v>0</v>
      </c>
      <c r="I6" s="7">
        <f>'V-FTE Mar'!I6/2</f>
        <v>0</v>
      </c>
      <c r="J6" s="7">
        <f>'V-FTE Mar'!J6/2</f>
        <v>0</v>
      </c>
      <c r="K6" s="7">
        <f>'V-FTE Mar'!K6/2</f>
        <v>0</v>
      </c>
      <c r="L6" s="7">
        <f>'V-FTE Mar'!L6/2</f>
        <v>0</v>
      </c>
      <c r="M6" s="7">
        <f>'V-FTE Mar'!M6/2</f>
        <v>0</v>
      </c>
      <c r="N6" s="7">
        <f>'V-FTE Mar'!N6/2</f>
        <v>0</v>
      </c>
      <c r="O6" s="7">
        <f>'V-FTE Mar'!O6/2</f>
        <v>0</v>
      </c>
      <c r="P6" s="7">
        <f>'V-FTE Mar'!P6/2</f>
        <v>0</v>
      </c>
      <c r="Q6" s="7">
        <f>'V-FTE Mar'!Q6/2</f>
        <v>0</v>
      </c>
      <c r="R6" s="7">
        <f>'V-FTE Mar'!R6/2</f>
        <v>0</v>
      </c>
      <c r="S6" s="7">
        <f>'V-FTE Mar'!S6/2</f>
        <v>0</v>
      </c>
      <c r="T6" s="7">
        <f>'V-FTE Mar'!T6/2</f>
        <v>0</v>
      </c>
      <c r="U6" s="7">
        <f>'V-FTE Mar'!U6/2</f>
        <v>0</v>
      </c>
      <c r="V6" s="7">
        <f>'V-FTE Mar'!V6/2</f>
        <v>0</v>
      </c>
      <c r="W6" s="7">
        <f>'V-FTE Mar'!W6/2</f>
        <v>0</v>
      </c>
      <c r="X6" s="7">
        <f>'V-FTE Mar'!X6/2</f>
        <v>0</v>
      </c>
      <c r="Y6" s="7">
        <f>'V-FTE Mar'!Y6/2</f>
        <v>0</v>
      </c>
      <c r="Z6" s="7">
        <f>'V-FTE Mar'!Z6/2</f>
        <v>0</v>
      </c>
      <c r="AA6" s="7">
        <f>'V-FTE Mar'!AA6/2</f>
        <v>0</v>
      </c>
      <c r="AB6" s="7">
        <f>'V-FTE Mar'!AB6/2</f>
        <v>0</v>
      </c>
      <c r="AC6" s="7">
        <f>'V-FTE Mar'!AC6/2</f>
        <v>0</v>
      </c>
      <c r="AD6" s="7">
        <f>'V-FTE Mar'!AD6/2</f>
        <v>0</v>
      </c>
      <c r="AE6" s="7">
        <f>'V-FTE Mar'!AE6/2</f>
        <v>0</v>
      </c>
      <c r="AF6" s="7"/>
    </row>
    <row r="7" spans="1:32" x14ac:dyDescent="0.25">
      <c r="A7" s="3" t="s">
        <v>12</v>
      </c>
      <c r="B7" s="7">
        <f>'V-FTE Mar'!B7/2</f>
        <v>0</v>
      </c>
      <c r="C7" s="7">
        <f>'V-FTE Mar'!C7/2</f>
        <v>0</v>
      </c>
      <c r="D7" s="7">
        <f>'V-FTE Mar'!D7/2</f>
        <v>0</v>
      </c>
      <c r="E7" s="7">
        <f>'V-FTE Mar'!E7/2</f>
        <v>0</v>
      </c>
      <c r="F7" s="7">
        <f>'V-FTE Mar'!F7/2</f>
        <v>0</v>
      </c>
      <c r="G7" s="7">
        <f>'V-FTE Mar'!G7/2</f>
        <v>0</v>
      </c>
      <c r="H7" s="7">
        <f>'V-FTE Mar'!H7/2</f>
        <v>0</v>
      </c>
      <c r="I7" s="7">
        <f>'V-FTE Mar'!I7/2</f>
        <v>0</v>
      </c>
      <c r="J7" s="7">
        <f>'V-FTE Mar'!J7/2</f>
        <v>0</v>
      </c>
      <c r="K7" s="7">
        <f>'V-FTE Mar'!K7/2</f>
        <v>0</v>
      </c>
      <c r="L7" s="7">
        <f>'V-FTE Mar'!L7/2</f>
        <v>0</v>
      </c>
      <c r="M7" s="7">
        <f>'V-FTE Mar'!M7/2</f>
        <v>0</v>
      </c>
      <c r="N7" s="7">
        <f>'V-FTE Mar'!N7/2</f>
        <v>0</v>
      </c>
      <c r="O7" s="7">
        <f>'V-FTE Mar'!O7/2</f>
        <v>0</v>
      </c>
      <c r="P7" s="7">
        <f>'V-FTE Mar'!P7/2</f>
        <v>0</v>
      </c>
      <c r="Q7" s="7">
        <f>'V-FTE Mar'!Q7/2</f>
        <v>0</v>
      </c>
      <c r="R7" s="7">
        <f>'V-FTE Mar'!R7/2</f>
        <v>0</v>
      </c>
      <c r="S7" s="7">
        <f>'V-FTE Mar'!S7/2</f>
        <v>0</v>
      </c>
      <c r="T7" s="7">
        <f>'V-FTE Mar'!T7/2</f>
        <v>0</v>
      </c>
      <c r="U7" s="7">
        <f>'V-FTE Mar'!U7/2</f>
        <v>0</v>
      </c>
      <c r="V7" s="7">
        <f>'V-FTE Mar'!V7/2</f>
        <v>0</v>
      </c>
      <c r="W7" s="7">
        <f>'V-FTE Mar'!W7/2</f>
        <v>0</v>
      </c>
      <c r="X7" s="7">
        <f>'V-FTE Mar'!X7/2</f>
        <v>0</v>
      </c>
      <c r="Y7" s="7">
        <f>'V-FTE Mar'!Y7/2</f>
        <v>0</v>
      </c>
      <c r="Z7" s="7">
        <f>'V-FTE Mar'!Z7/2</f>
        <v>0</v>
      </c>
      <c r="AA7" s="7">
        <f>'V-FTE Mar'!AA7/2</f>
        <v>0</v>
      </c>
      <c r="AB7" s="7">
        <f>'V-FTE Mar'!AB7/2</f>
        <v>0</v>
      </c>
      <c r="AC7" s="7">
        <f>'V-FTE Mar'!AC7/2</f>
        <v>0</v>
      </c>
      <c r="AD7" s="7">
        <f>'V-FTE Mar'!AD7/2</f>
        <v>0</v>
      </c>
      <c r="AE7" s="7">
        <f>'V-FTE Mar'!AE7/2</f>
        <v>0</v>
      </c>
      <c r="AF7" s="7"/>
    </row>
    <row r="8" spans="1:32" x14ac:dyDescent="0.25">
      <c r="A8" s="3" t="s">
        <v>13</v>
      </c>
      <c r="B8" s="7">
        <f>'V-FTE Mar'!B8/2</f>
        <v>0</v>
      </c>
      <c r="C8" s="7">
        <f>'V-FTE Mar'!C8/2</f>
        <v>0</v>
      </c>
      <c r="D8" s="7">
        <f>'V-FTE Mar'!D8/2</f>
        <v>0</v>
      </c>
      <c r="E8" s="7">
        <f>'V-FTE Mar'!E8/2</f>
        <v>0</v>
      </c>
      <c r="F8" s="7">
        <f>'V-FTE Mar'!F8/2</f>
        <v>0</v>
      </c>
      <c r="G8" s="7">
        <f>'V-FTE Mar'!G8/2</f>
        <v>0</v>
      </c>
      <c r="H8" s="7">
        <f>'V-FTE Mar'!H8/2</f>
        <v>0</v>
      </c>
      <c r="I8" s="7">
        <f>'V-FTE Mar'!I8/2</f>
        <v>0</v>
      </c>
      <c r="J8" s="7">
        <f>'V-FTE Mar'!J8/2</f>
        <v>0</v>
      </c>
      <c r="K8" s="7">
        <f>'V-FTE Mar'!K8/2</f>
        <v>0</v>
      </c>
      <c r="L8" s="7">
        <f>'V-FTE Mar'!L8/2</f>
        <v>0</v>
      </c>
      <c r="M8" s="7">
        <f>'V-FTE Mar'!M8/2</f>
        <v>0</v>
      </c>
      <c r="N8" s="7">
        <f>'V-FTE Mar'!N8/2</f>
        <v>0</v>
      </c>
      <c r="O8" s="7">
        <f>'V-FTE Mar'!O8/2</f>
        <v>0</v>
      </c>
      <c r="P8" s="7">
        <f>'V-FTE Mar'!P8/2</f>
        <v>0</v>
      </c>
      <c r="Q8" s="7">
        <f>'V-FTE Mar'!Q8/2</f>
        <v>0</v>
      </c>
      <c r="R8" s="7">
        <f>'V-FTE Mar'!R8/2</f>
        <v>0</v>
      </c>
      <c r="S8" s="7">
        <f>'V-FTE Mar'!S8/2</f>
        <v>0</v>
      </c>
      <c r="T8" s="7">
        <f>'V-FTE Mar'!T8/2</f>
        <v>0</v>
      </c>
      <c r="U8" s="7">
        <f>'V-FTE Mar'!U8/2</f>
        <v>0</v>
      </c>
      <c r="V8" s="7">
        <f>'V-FTE Mar'!V8/2</f>
        <v>0</v>
      </c>
      <c r="W8" s="7">
        <f>'V-FTE Mar'!W8/2</f>
        <v>0</v>
      </c>
      <c r="X8" s="7">
        <f>'V-FTE Mar'!X8/2</f>
        <v>0</v>
      </c>
      <c r="Y8" s="7">
        <f>'V-FTE Mar'!Y8/2</f>
        <v>0</v>
      </c>
      <c r="Z8" s="7">
        <f>'V-FTE Mar'!Z8/2</f>
        <v>0</v>
      </c>
      <c r="AA8" s="7">
        <f>'V-FTE Mar'!AA8/2</f>
        <v>0</v>
      </c>
      <c r="AB8" s="7">
        <f>'V-FTE Mar'!AB8/2</f>
        <v>0</v>
      </c>
      <c r="AC8" s="7">
        <f>'V-FTE Mar'!AC8/2</f>
        <v>0</v>
      </c>
      <c r="AD8" s="7">
        <f>'V-FTE Mar'!AD8/2</f>
        <v>0</v>
      </c>
      <c r="AE8" s="7">
        <f>'V-FTE Mar'!AE8/2</f>
        <v>0</v>
      </c>
      <c r="AF8" s="7"/>
    </row>
    <row r="9" spans="1:32" x14ac:dyDescent="0.25">
      <c r="A9" s="3" t="s">
        <v>14</v>
      </c>
      <c r="B9" s="7">
        <f>'V-FTE Mar'!B9/2</f>
        <v>0</v>
      </c>
      <c r="C9" s="7">
        <f>'V-FTE Mar'!C9/2</f>
        <v>0</v>
      </c>
      <c r="D9" s="7">
        <f>'V-FTE Mar'!D9/2</f>
        <v>0</v>
      </c>
      <c r="E9" s="7">
        <f>'V-FTE Mar'!E9/2</f>
        <v>0</v>
      </c>
      <c r="F9" s="7">
        <f>'V-FTE Mar'!F9/2</f>
        <v>0</v>
      </c>
      <c r="G9" s="7">
        <f>'V-FTE Mar'!G9/2</f>
        <v>0</v>
      </c>
      <c r="H9" s="7">
        <f>'V-FTE Mar'!H9/2</f>
        <v>0</v>
      </c>
      <c r="I9" s="7">
        <f>'V-FTE Mar'!I9/2</f>
        <v>0</v>
      </c>
      <c r="J9" s="7">
        <f>'V-FTE Mar'!J9/2</f>
        <v>0</v>
      </c>
      <c r="K9" s="7">
        <f>'V-FTE Mar'!K9/2</f>
        <v>0</v>
      </c>
      <c r="L9" s="7">
        <f>'V-FTE Mar'!L9/2</f>
        <v>0</v>
      </c>
      <c r="M9" s="7">
        <f>'V-FTE Mar'!M9/2</f>
        <v>0</v>
      </c>
      <c r="N9" s="7">
        <f>'V-FTE Mar'!N9/2</f>
        <v>0</v>
      </c>
      <c r="O9" s="7">
        <f>'V-FTE Mar'!O9/2</f>
        <v>0</v>
      </c>
      <c r="P9" s="7">
        <f>'V-FTE Mar'!P9/2</f>
        <v>0</v>
      </c>
      <c r="Q9" s="7">
        <f>'V-FTE Mar'!Q9/2</f>
        <v>0</v>
      </c>
      <c r="R9" s="7">
        <f>'V-FTE Mar'!R9/2</f>
        <v>0</v>
      </c>
      <c r="S9" s="7">
        <f>'V-FTE Mar'!S9/2</f>
        <v>0</v>
      </c>
      <c r="T9" s="7">
        <f>'V-FTE Mar'!T9/2</f>
        <v>0</v>
      </c>
      <c r="U9" s="7">
        <f>'V-FTE Mar'!U9/2</f>
        <v>0</v>
      </c>
      <c r="V9" s="7">
        <f>'V-FTE Mar'!V9/2</f>
        <v>0</v>
      </c>
      <c r="W9" s="7">
        <f>'V-FTE Mar'!W9/2</f>
        <v>0</v>
      </c>
      <c r="X9" s="7">
        <f>'V-FTE Mar'!X9/2</f>
        <v>0</v>
      </c>
      <c r="Y9" s="7">
        <f>'V-FTE Mar'!Y9/2</f>
        <v>0</v>
      </c>
      <c r="Z9" s="7">
        <f>'V-FTE Mar'!Z9/2</f>
        <v>0</v>
      </c>
      <c r="AA9" s="7">
        <f>'V-FTE Mar'!AA9/2</f>
        <v>0</v>
      </c>
      <c r="AB9" s="7">
        <f>'V-FTE Mar'!AB9/2</f>
        <v>0</v>
      </c>
      <c r="AC9" s="7">
        <f>'V-FTE Mar'!AC9/2</f>
        <v>0</v>
      </c>
      <c r="AD9" s="7">
        <f>'V-FTE Mar'!AD9/2</f>
        <v>0</v>
      </c>
      <c r="AE9" s="7">
        <f>'V-FTE Mar'!AE9/2</f>
        <v>0</v>
      </c>
      <c r="AF9" s="7"/>
    </row>
    <row r="10" spans="1:32" x14ac:dyDescent="0.25">
      <c r="A10" s="3" t="s">
        <v>15</v>
      </c>
      <c r="B10" s="7">
        <f>'V-FTE Mar'!B10/2</f>
        <v>0</v>
      </c>
      <c r="C10" s="7">
        <f>'V-FTE Mar'!C10/2</f>
        <v>0</v>
      </c>
      <c r="D10" s="7">
        <f>'V-FTE Mar'!D10/2</f>
        <v>0</v>
      </c>
      <c r="E10" s="7">
        <f>'V-FTE Mar'!E10/2</f>
        <v>0</v>
      </c>
      <c r="F10" s="7">
        <f>'V-FTE Mar'!F10/2</f>
        <v>0</v>
      </c>
      <c r="G10" s="7">
        <f>'V-FTE Mar'!G10/2</f>
        <v>0</v>
      </c>
      <c r="H10" s="7">
        <f>'V-FTE Mar'!H10/2</f>
        <v>0</v>
      </c>
      <c r="I10" s="7">
        <f>'V-FTE Mar'!I10/2</f>
        <v>0</v>
      </c>
      <c r="J10" s="7">
        <f>'V-FTE Mar'!J10/2</f>
        <v>0</v>
      </c>
      <c r="K10" s="7">
        <f>'V-FTE Mar'!K10/2</f>
        <v>0</v>
      </c>
      <c r="L10" s="7">
        <f>'V-FTE Mar'!L10/2</f>
        <v>0</v>
      </c>
      <c r="M10" s="7">
        <f>'V-FTE Mar'!M10/2</f>
        <v>0</v>
      </c>
      <c r="N10" s="7">
        <f>'V-FTE Mar'!N10/2</f>
        <v>0</v>
      </c>
      <c r="O10" s="7">
        <f>'V-FTE Mar'!O10/2</f>
        <v>0</v>
      </c>
      <c r="P10" s="7">
        <f>'V-FTE Mar'!P10/2</f>
        <v>0</v>
      </c>
      <c r="Q10" s="7">
        <f>'V-FTE Mar'!Q10/2</f>
        <v>0</v>
      </c>
      <c r="R10" s="7">
        <f>'V-FTE Mar'!R10/2</f>
        <v>0</v>
      </c>
      <c r="S10" s="7">
        <f>'V-FTE Mar'!S10/2</f>
        <v>0</v>
      </c>
      <c r="T10" s="7">
        <f>'V-FTE Mar'!T10/2</f>
        <v>0</v>
      </c>
      <c r="U10" s="7">
        <f>'V-FTE Mar'!U10/2</f>
        <v>0</v>
      </c>
      <c r="V10" s="7">
        <f>'V-FTE Mar'!V10/2</f>
        <v>0</v>
      </c>
      <c r="W10" s="7">
        <f>'V-FTE Mar'!W10/2</f>
        <v>0</v>
      </c>
      <c r="X10" s="7">
        <f>'V-FTE Mar'!X10/2</f>
        <v>0</v>
      </c>
      <c r="Y10" s="7">
        <f>'V-FTE Mar'!Y10/2</f>
        <v>0</v>
      </c>
      <c r="Z10" s="7">
        <f>'V-FTE Mar'!Z10/2</f>
        <v>0</v>
      </c>
      <c r="AA10" s="7">
        <f>'V-FTE Mar'!AA10/2</f>
        <v>0</v>
      </c>
      <c r="AB10" s="7">
        <f>'V-FTE Mar'!AB10/2</f>
        <v>0</v>
      </c>
      <c r="AC10" s="7">
        <f>'V-FTE Mar'!AC10/2</f>
        <v>0</v>
      </c>
      <c r="AD10" s="7">
        <f>'V-FTE Mar'!AD10/2</f>
        <v>0</v>
      </c>
      <c r="AE10" s="7">
        <f>'V-FTE Mar'!AE10/2</f>
        <v>0</v>
      </c>
      <c r="AF10" s="7"/>
    </row>
    <row r="11" spans="1:32" x14ac:dyDescent="0.25">
      <c r="A11" s="3" t="s">
        <v>16</v>
      </c>
      <c r="B11" s="7">
        <f>'V-FTE Mar'!B11/2</f>
        <v>0</v>
      </c>
      <c r="C11" s="7">
        <f>'V-FTE Mar'!C11/2</f>
        <v>0</v>
      </c>
      <c r="D11" s="7">
        <f>'V-FTE Mar'!D11/2</f>
        <v>0</v>
      </c>
      <c r="E11" s="7">
        <f>'V-FTE Mar'!E11/2</f>
        <v>0</v>
      </c>
      <c r="F11" s="7">
        <f>'V-FTE Mar'!F11/2</f>
        <v>0</v>
      </c>
      <c r="G11" s="7">
        <f>'V-FTE Mar'!G11/2</f>
        <v>0</v>
      </c>
      <c r="H11" s="7">
        <f>'V-FTE Mar'!H11/2</f>
        <v>0</v>
      </c>
      <c r="I11" s="7">
        <f>'V-FTE Mar'!I11/2</f>
        <v>0</v>
      </c>
      <c r="J11" s="7">
        <f>'V-FTE Mar'!J11/2</f>
        <v>0</v>
      </c>
      <c r="K11" s="7">
        <f>'V-FTE Mar'!K11/2</f>
        <v>0</v>
      </c>
      <c r="L11" s="7">
        <f>'V-FTE Mar'!L11/2</f>
        <v>0</v>
      </c>
      <c r="M11" s="7">
        <f>'V-FTE Mar'!M11/2</f>
        <v>0</v>
      </c>
      <c r="N11" s="7">
        <f>'V-FTE Mar'!N11/2</f>
        <v>0</v>
      </c>
      <c r="O11" s="7">
        <f>'V-FTE Mar'!O11/2</f>
        <v>0</v>
      </c>
      <c r="P11" s="7">
        <f>'V-FTE Mar'!P11/2</f>
        <v>0</v>
      </c>
      <c r="Q11" s="7">
        <f>'V-FTE Mar'!Q11/2</f>
        <v>0</v>
      </c>
      <c r="R11" s="7">
        <f>'V-FTE Mar'!R11/2</f>
        <v>0</v>
      </c>
      <c r="S11" s="7">
        <f>'V-FTE Mar'!S11/2</f>
        <v>0</v>
      </c>
      <c r="T11" s="7">
        <f>'V-FTE Mar'!T11/2</f>
        <v>0</v>
      </c>
      <c r="U11" s="7">
        <f>'V-FTE Mar'!U11/2</f>
        <v>0</v>
      </c>
      <c r="V11" s="7">
        <f>'V-FTE Mar'!V11/2</f>
        <v>0</v>
      </c>
      <c r="W11" s="7">
        <f>'V-FTE Mar'!W11/2</f>
        <v>0</v>
      </c>
      <c r="X11" s="7">
        <f>'V-FTE Mar'!X11/2</f>
        <v>0</v>
      </c>
      <c r="Y11" s="7">
        <f>'V-FTE Mar'!Y11/2</f>
        <v>0</v>
      </c>
      <c r="Z11" s="7">
        <f>'V-FTE Mar'!Z11/2</f>
        <v>0</v>
      </c>
      <c r="AA11" s="7">
        <f>'V-FTE Mar'!AA11/2</f>
        <v>0</v>
      </c>
      <c r="AB11" s="7">
        <f>'V-FTE Mar'!AB11/2</f>
        <v>0</v>
      </c>
      <c r="AC11" s="7">
        <f>'V-FTE Mar'!AC11/2</f>
        <v>0</v>
      </c>
      <c r="AD11" s="7">
        <f>'V-FTE Mar'!AD11/2</f>
        <v>0</v>
      </c>
      <c r="AE11" s="7">
        <f>'V-FTE Mar'!AE11/2</f>
        <v>0</v>
      </c>
      <c r="AF11" s="7"/>
    </row>
    <row r="12" spans="1:32" x14ac:dyDescent="0.25">
      <c r="A12" s="3" t="s">
        <v>17</v>
      </c>
      <c r="B12" s="7">
        <f>'V-FTE Mar'!B12/2</f>
        <v>0</v>
      </c>
      <c r="C12" s="7">
        <f>'V-FTE Mar'!C12/2</f>
        <v>0</v>
      </c>
      <c r="D12" s="7">
        <f>'V-FTE Mar'!D12/2</f>
        <v>0</v>
      </c>
      <c r="E12" s="7">
        <f>'V-FTE Mar'!E12/2</f>
        <v>0</v>
      </c>
      <c r="F12" s="7">
        <f>'V-FTE Mar'!F12/2</f>
        <v>0</v>
      </c>
      <c r="G12" s="7">
        <f>'V-FTE Mar'!G12/2</f>
        <v>0</v>
      </c>
      <c r="H12" s="7">
        <f>'V-FTE Mar'!H12/2</f>
        <v>0</v>
      </c>
      <c r="I12" s="7">
        <f>'V-FTE Mar'!I12/2</f>
        <v>0</v>
      </c>
      <c r="J12" s="7">
        <f>'V-FTE Mar'!J12/2</f>
        <v>0</v>
      </c>
      <c r="K12" s="7">
        <f>'V-FTE Mar'!K12/2</f>
        <v>0</v>
      </c>
      <c r="L12" s="7">
        <f>'V-FTE Mar'!L12/2</f>
        <v>0</v>
      </c>
      <c r="M12" s="7">
        <f>'V-FTE Mar'!M12/2</f>
        <v>0</v>
      </c>
      <c r="N12" s="7">
        <f>'V-FTE Mar'!N12/2</f>
        <v>0</v>
      </c>
      <c r="O12" s="7">
        <f>'V-FTE Mar'!O12/2</f>
        <v>0</v>
      </c>
      <c r="P12" s="7">
        <f>'V-FTE Mar'!P12/2</f>
        <v>0</v>
      </c>
      <c r="Q12" s="7">
        <f>'V-FTE Mar'!Q12/2</f>
        <v>0</v>
      </c>
      <c r="R12" s="7">
        <f>'V-FTE Mar'!R12/2</f>
        <v>0</v>
      </c>
      <c r="S12" s="7">
        <f>'V-FTE Mar'!S12/2</f>
        <v>0</v>
      </c>
      <c r="T12" s="7">
        <f>'V-FTE Mar'!T12/2</f>
        <v>0</v>
      </c>
      <c r="U12" s="7">
        <f>'V-FTE Mar'!U12/2</f>
        <v>0</v>
      </c>
      <c r="V12" s="7">
        <f>'V-FTE Mar'!V12/2</f>
        <v>0</v>
      </c>
      <c r="W12" s="7">
        <f>'V-FTE Mar'!W12/2</f>
        <v>0</v>
      </c>
      <c r="X12" s="7">
        <f>'V-FTE Mar'!X12/2</f>
        <v>0</v>
      </c>
      <c r="Y12" s="7">
        <f>'V-FTE Mar'!Y12/2</f>
        <v>0</v>
      </c>
      <c r="Z12" s="7">
        <f>'V-FTE Mar'!Z12/2</f>
        <v>0</v>
      </c>
      <c r="AA12" s="7">
        <f>'V-FTE Mar'!AA12/2</f>
        <v>0</v>
      </c>
      <c r="AB12" s="7">
        <f>'V-FTE Mar'!AB12/2</f>
        <v>0</v>
      </c>
      <c r="AC12" s="7">
        <f>'V-FTE Mar'!AC12/2</f>
        <v>0</v>
      </c>
      <c r="AD12" s="7">
        <f>'V-FTE Mar'!AD12/2</f>
        <v>0</v>
      </c>
      <c r="AE12" s="7">
        <f>'V-FTE Mar'!AE12/2</f>
        <v>0</v>
      </c>
      <c r="AF12" s="7"/>
    </row>
    <row r="13" spans="1:32" x14ac:dyDescent="0.25">
      <c r="A13" s="3" t="s">
        <v>18</v>
      </c>
      <c r="B13" s="7">
        <f>'V-FTE Mar'!B13/2</f>
        <v>0</v>
      </c>
      <c r="C13" s="7">
        <f>'V-FTE Mar'!C13/2</f>
        <v>0</v>
      </c>
      <c r="D13" s="7">
        <f>'V-FTE Mar'!D13/2</f>
        <v>0</v>
      </c>
      <c r="E13" s="7">
        <f>'V-FTE Mar'!E13/2</f>
        <v>0</v>
      </c>
      <c r="F13" s="7">
        <f>'V-FTE Mar'!F13/2</f>
        <v>0</v>
      </c>
      <c r="G13" s="7">
        <f>'V-FTE Mar'!G13/2</f>
        <v>0</v>
      </c>
      <c r="H13" s="7">
        <f>'V-FTE Mar'!H13/2</f>
        <v>0</v>
      </c>
      <c r="I13" s="7">
        <f>'V-FTE Mar'!I13/2</f>
        <v>0</v>
      </c>
      <c r="J13" s="7">
        <f>'V-FTE Mar'!J13/2</f>
        <v>0</v>
      </c>
      <c r="K13" s="7">
        <f>'V-FTE Mar'!K13/2</f>
        <v>0</v>
      </c>
      <c r="L13" s="7">
        <f>'V-FTE Mar'!L13/2</f>
        <v>0</v>
      </c>
      <c r="M13" s="7">
        <f>'V-FTE Mar'!M13/2</f>
        <v>0</v>
      </c>
      <c r="N13" s="7">
        <f>'V-FTE Mar'!N13/2</f>
        <v>0</v>
      </c>
      <c r="O13" s="7">
        <f>'V-FTE Mar'!O13/2</f>
        <v>0</v>
      </c>
      <c r="P13" s="7">
        <f>'V-FTE Mar'!P13/2</f>
        <v>0</v>
      </c>
      <c r="Q13" s="7">
        <f>'V-FTE Mar'!Q13/2</f>
        <v>0</v>
      </c>
      <c r="R13" s="7">
        <f>'V-FTE Mar'!R13/2</f>
        <v>0</v>
      </c>
      <c r="S13" s="7">
        <f>'V-FTE Mar'!S13/2</f>
        <v>0</v>
      </c>
      <c r="T13" s="7">
        <f>'V-FTE Mar'!T13/2</f>
        <v>0</v>
      </c>
      <c r="U13" s="7">
        <f>'V-FTE Mar'!U13/2</f>
        <v>0</v>
      </c>
      <c r="V13" s="7">
        <f>'V-FTE Mar'!V13/2</f>
        <v>0</v>
      </c>
      <c r="W13" s="7">
        <f>'V-FTE Mar'!W13/2</f>
        <v>0</v>
      </c>
      <c r="X13" s="7">
        <f>'V-FTE Mar'!X13/2</f>
        <v>0</v>
      </c>
      <c r="Y13" s="7">
        <f>'V-FTE Mar'!Y13/2</f>
        <v>0</v>
      </c>
      <c r="Z13" s="7">
        <f>'V-FTE Mar'!Z13/2</f>
        <v>0</v>
      </c>
      <c r="AA13" s="7">
        <f>'V-FTE Mar'!AA13/2</f>
        <v>0</v>
      </c>
      <c r="AB13" s="7">
        <f>'V-FTE Mar'!AB13/2</f>
        <v>0</v>
      </c>
      <c r="AC13" s="7">
        <f>'V-FTE Mar'!AC13/2</f>
        <v>0</v>
      </c>
      <c r="AD13" s="7">
        <f>'V-FTE Mar'!AD13/2</f>
        <v>0</v>
      </c>
      <c r="AE13" s="7">
        <f>'V-FTE Mar'!AE13/2</f>
        <v>0</v>
      </c>
      <c r="AF13" s="7"/>
    </row>
    <row r="14" spans="1:32" x14ac:dyDescent="0.25">
      <c r="A14" s="3" t="s">
        <v>19</v>
      </c>
      <c r="B14" s="7">
        <f>'V-FTE Mar'!B14/2</f>
        <v>0</v>
      </c>
      <c r="C14" s="7">
        <f>'V-FTE Mar'!C14/2</f>
        <v>0</v>
      </c>
      <c r="D14" s="7">
        <f>'V-FTE Mar'!D14/2</f>
        <v>0</v>
      </c>
      <c r="E14" s="7">
        <f>'V-FTE Mar'!E14/2</f>
        <v>0</v>
      </c>
      <c r="F14" s="7">
        <f>'V-FTE Mar'!F14/2</f>
        <v>0</v>
      </c>
      <c r="G14" s="7">
        <f>'V-FTE Mar'!G14/2</f>
        <v>0</v>
      </c>
      <c r="H14" s="7">
        <f>'V-FTE Mar'!H14/2</f>
        <v>0</v>
      </c>
      <c r="I14" s="7">
        <f>'V-FTE Mar'!I14/2</f>
        <v>0</v>
      </c>
      <c r="J14" s="7">
        <f>'V-FTE Mar'!J14/2</f>
        <v>0</v>
      </c>
      <c r="K14" s="7">
        <f>'V-FTE Mar'!K14/2</f>
        <v>0</v>
      </c>
      <c r="L14" s="7">
        <f>'V-FTE Mar'!L14/2</f>
        <v>0</v>
      </c>
      <c r="M14" s="7">
        <f>'V-FTE Mar'!M14/2</f>
        <v>0</v>
      </c>
      <c r="N14" s="7">
        <f>'V-FTE Mar'!N14/2</f>
        <v>0</v>
      </c>
      <c r="O14" s="7">
        <f>'V-FTE Mar'!O14/2</f>
        <v>0</v>
      </c>
      <c r="P14" s="7">
        <f>'V-FTE Mar'!P14/2</f>
        <v>0</v>
      </c>
      <c r="Q14" s="7">
        <f>'V-FTE Mar'!Q14/2</f>
        <v>0</v>
      </c>
      <c r="R14" s="7">
        <f>'V-FTE Mar'!R14/2</f>
        <v>0</v>
      </c>
      <c r="S14" s="7">
        <f>'V-FTE Mar'!S14/2</f>
        <v>0</v>
      </c>
      <c r="T14" s="7">
        <f>'V-FTE Mar'!T14/2</f>
        <v>0</v>
      </c>
      <c r="U14" s="7">
        <f>'V-FTE Mar'!U14/2</f>
        <v>0</v>
      </c>
      <c r="V14" s="7">
        <f>'V-FTE Mar'!V14/2</f>
        <v>0</v>
      </c>
      <c r="W14" s="7">
        <f>'V-FTE Mar'!W14/2</f>
        <v>0</v>
      </c>
      <c r="X14" s="7">
        <f>'V-FTE Mar'!X14/2</f>
        <v>0</v>
      </c>
      <c r="Y14" s="7">
        <f>'V-FTE Mar'!Y14/2</f>
        <v>0</v>
      </c>
      <c r="Z14" s="7">
        <f>'V-FTE Mar'!Z14/2</f>
        <v>0</v>
      </c>
      <c r="AA14" s="7">
        <f>'V-FTE Mar'!AA14/2</f>
        <v>0</v>
      </c>
      <c r="AB14" s="7">
        <f>'V-FTE Mar'!AB14/2</f>
        <v>0</v>
      </c>
      <c r="AC14" s="7">
        <f>'V-FTE Mar'!AC14/2</f>
        <v>0</v>
      </c>
      <c r="AD14" s="7">
        <f>'V-FTE Mar'!AD14/2</f>
        <v>0</v>
      </c>
      <c r="AE14" s="7">
        <f>'V-FTE Mar'!AE14/2</f>
        <v>0</v>
      </c>
      <c r="AF14" s="7"/>
    </row>
    <row r="15" spans="1:32" x14ac:dyDescent="0.25">
      <c r="A15" s="3" t="s">
        <v>20</v>
      </c>
      <c r="B15" s="7">
        <f>'V-FTE Mar'!B15/2</f>
        <v>0</v>
      </c>
      <c r="C15" s="7">
        <f>'V-FTE Mar'!C15/2</f>
        <v>0</v>
      </c>
      <c r="D15" s="7">
        <f>'V-FTE Mar'!D15/2</f>
        <v>0</v>
      </c>
      <c r="E15" s="7">
        <f>'V-FTE Mar'!E15/2</f>
        <v>0</v>
      </c>
      <c r="F15" s="7">
        <f>'V-FTE Mar'!F15/2</f>
        <v>0</v>
      </c>
      <c r="G15" s="7">
        <f>'V-FTE Mar'!G15/2</f>
        <v>0</v>
      </c>
      <c r="H15" s="7">
        <f>'V-FTE Mar'!H15/2</f>
        <v>0</v>
      </c>
      <c r="I15" s="7">
        <f>'V-FTE Mar'!I15/2</f>
        <v>0</v>
      </c>
      <c r="J15" s="7">
        <f>'V-FTE Mar'!J15/2</f>
        <v>0</v>
      </c>
      <c r="K15" s="7">
        <f>'V-FTE Mar'!K15/2</f>
        <v>0</v>
      </c>
      <c r="L15" s="7">
        <f>'V-FTE Mar'!L15/2</f>
        <v>0</v>
      </c>
      <c r="M15" s="7">
        <f>'V-FTE Mar'!M15/2</f>
        <v>0</v>
      </c>
      <c r="N15" s="7">
        <f>'V-FTE Mar'!N15/2</f>
        <v>0</v>
      </c>
      <c r="O15" s="7">
        <f>'V-FTE Mar'!O15/2</f>
        <v>0</v>
      </c>
      <c r="P15" s="7">
        <f>'V-FTE Mar'!P15/2</f>
        <v>0</v>
      </c>
      <c r="Q15" s="7">
        <f>'V-FTE Mar'!Q15/2</f>
        <v>0</v>
      </c>
      <c r="R15" s="7">
        <f>'V-FTE Mar'!R15/2</f>
        <v>0</v>
      </c>
      <c r="S15" s="7">
        <f>'V-FTE Mar'!S15/2</f>
        <v>0</v>
      </c>
      <c r="T15" s="7">
        <f>'V-FTE Mar'!T15/2</f>
        <v>0</v>
      </c>
      <c r="U15" s="7">
        <f>'V-FTE Mar'!U15/2</f>
        <v>0</v>
      </c>
      <c r="V15" s="7">
        <f>'V-FTE Mar'!V15/2</f>
        <v>0</v>
      </c>
      <c r="W15" s="7">
        <f>'V-FTE Mar'!W15/2</f>
        <v>0</v>
      </c>
      <c r="X15" s="7">
        <f>'V-FTE Mar'!X15/2</f>
        <v>0</v>
      </c>
      <c r="Y15" s="7">
        <f>'V-FTE Mar'!Y15/2</f>
        <v>0</v>
      </c>
      <c r="Z15" s="7">
        <f>'V-FTE Mar'!Z15/2</f>
        <v>0</v>
      </c>
      <c r="AA15" s="7">
        <f>'V-FTE Mar'!AA15/2</f>
        <v>0</v>
      </c>
      <c r="AB15" s="7">
        <f>'V-FTE Mar'!AB15/2</f>
        <v>0</v>
      </c>
      <c r="AC15" s="7">
        <f>'V-FTE Mar'!AC15/2</f>
        <v>0</v>
      </c>
      <c r="AD15" s="7">
        <f>'V-FTE Mar'!AD15/2</f>
        <v>0</v>
      </c>
      <c r="AE15" s="7">
        <f>'V-FTE Mar'!AE15/2</f>
        <v>0</v>
      </c>
      <c r="AF15" s="7"/>
    </row>
    <row r="16" spans="1:32" x14ac:dyDescent="0.25">
      <c r="A16" s="3" t="s">
        <v>21</v>
      </c>
      <c r="B16" s="7">
        <f>'V-FTE Mar'!B16/2</f>
        <v>0</v>
      </c>
      <c r="C16" s="7">
        <f>'V-FTE Mar'!C16/2</f>
        <v>0</v>
      </c>
      <c r="D16" s="7">
        <f>'V-FTE Mar'!D16/2</f>
        <v>0</v>
      </c>
      <c r="E16" s="7">
        <f>'V-FTE Mar'!E16/2</f>
        <v>0</v>
      </c>
      <c r="F16" s="7">
        <f>'V-FTE Mar'!F16/2</f>
        <v>0</v>
      </c>
      <c r="G16" s="7">
        <f>'V-FTE Mar'!G16/2</f>
        <v>0</v>
      </c>
      <c r="H16" s="7">
        <f>'V-FTE Mar'!H16/2</f>
        <v>0</v>
      </c>
      <c r="I16" s="7">
        <f>'V-FTE Mar'!I16/2</f>
        <v>0</v>
      </c>
      <c r="J16" s="7">
        <f>'V-FTE Mar'!J16/2</f>
        <v>0</v>
      </c>
      <c r="K16" s="7">
        <f>'V-FTE Mar'!K16/2</f>
        <v>0</v>
      </c>
      <c r="L16" s="7">
        <f>'V-FTE Mar'!L16/2</f>
        <v>0</v>
      </c>
      <c r="M16" s="7">
        <f>'V-FTE Mar'!M16/2</f>
        <v>0</v>
      </c>
      <c r="N16" s="7">
        <f>'V-FTE Mar'!N16/2</f>
        <v>0</v>
      </c>
      <c r="O16" s="7">
        <f>'V-FTE Mar'!O16/2</f>
        <v>0</v>
      </c>
      <c r="P16" s="7">
        <f>'V-FTE Mar'!P16/2</f>
        <v>0</v>
      </c>
      <c r="Q16" s="7">
        <f>'V-FTE Mar'!Q16/2</f>
        <v>0</v>
      </c>
      <c r="R16" s="7">
        <f>'V-FTE Mar'!R16/2</f>
        <v>0</v>
      </c>
      <c r="S16" s="7">
        <f>'V-FTE Mar'!S16/2</f>
        <v>0</v>
      </c>
      <c r="T16" s="7">
        <f>'V-FTE Mar'!T16/2</f>
        <v>0</v>
      </c>
      <c r="U16" s="7">
        <f>'V-FTE Mar'!U16/2</f>
        <v>0</v>
      </c>
      <c r="V16" s="7">
        <f>'V-FTE Mar'!V16/2</f>
        <v>0</v>
      </c>
      <c r="W16" s="7">
        <f>'V-FTE Mar'!W16/2</f>
        <v>0</v>
      </c>
      <c r="X16" s="7">
        <f>'V-FTE Mar'!X16/2</f>
        <v>0</v>
      </c>
      <c r="Y16" s="7">
        <f>'V-FTE Mar'!Y16/2</f>
        <v>0</v>
      </c>
      <c r="Z16" s="7">
        <f>'V-FTE Mar'!Z16/2</f>
        <v>0</v>
      </c>
      <c r="AA16" s="7">
        <f>'V-FTE Mar'!AA16/2</f>
        <v>0</v>
      </c>
      <c r="AB16" s="7">
        <f>'V-FTE Mar'!AB16/2</f>
        <v>0</v>
      </c>
      <c r="AC16" s="7">
        <f>'V-FTE Mar'!AC16/2</f>
        <v>0</v>
      </c>
      <c r="AD16" s="7">
        <f>'V-FTE Mar'!AD16/2</f>
        <v>0</v>
      </c>
      <c r="AE16" s="7">
        <f>'V-FTE Mar'!AE16/2</f>
        <v>0</v>
      </c>
      <c r="AF16" s="7"/>
    </row>
    <row r="17" spans="1:32" x14ac:dyDescent="0.25">
      <c r="A17" s="3" t="s">
        <v>22</v>
      </c>
      <c r="B17" s="7">
        <f>'V-FTE Mar'!B17/2</f>
        <v>0</v>
      </c>
      <c r="C17" s="7">
        <f>'V-FTE Mar'!C17/2</f>
        <v>0</v>
      </c>
      <c r="D17" s="7">
        <f>'V-FTE Mar'!D17/2</f>
        <v>0</v>
      </c>
      <c r="E17" s="7">
        <f>'V-FTE Mar'!E17/2</f>
        <v>0</v>
      </c>
      <c r="F17" s="7">
        <f>'V-FTE Mar'!F17/2</f>
        <v>0</v>
      </c>
      <c r="G17" s="7">
        <f>'V-FTE Mar'!G17/2</f>
        <v>0</v>
      </c>
      <c r="H17" s="7">
        <f>'V-FTE Mar'!H17/2</f>
        <v>0</v>
      </c>
      <c r="I17" s="7">
        <f>'V-FTE Mar'!I17/2</f>
        <v>0</v>
      </c>
      <c r="J17" s="7">
        <f>'V-FTE Mar'!J17/2</f>
        <v>0</v>
      </c>
      <c r="K17" s="7">
        <f>'V-FTE Mar'!K17/2</f>
        <v>0</v>
      </c>
      <c r="L17" s="7">
        <f>'V-FTE Mar'!L17/2</f>
        <v>0</v>
      </c>
      <c r="M17" s="7">
        <f>'V-FTE Mar'!M17/2</f>
        <v>0</v>
      </c>
      <c r="N17" s="7">
        <f>'V-FTE Mar'!N17/2</f>
        <v>0</v>
      </c>
      <c r="O17" s="7">
        <f>'V-FTE Mar'!O17/2</f>
        <v>0</v>
      </c>
      <c r="P17" s="7">
        <f>'V-FTE Mar'!P17/2</f>
        <v>0</v>
      </c>
      <c r="Q17" s="7">
        <f>'V-FTE Mar'!Q17/2</f>
        <v>0</v>
      </c>
      <c r="R17" s="7">
        <f>'V-FTE Mar'!R17/2</f>
        <v>0</v>
      </c>
      <c r="S17" s="7">
        <f>'V-FTE Mar'!S17/2</f>
        <v>0</v>
      </c>
      <c r="T17" s="7">
        <f>'V-FTE Mar'!T17/2</f>
        <v>0</v>
      </c>
      <c r="U17" s="7">
        <f>'V-FTE Mar'!U17/2</f>
        <v>0</v>
      </c>
      <c r="V17" s="7">
        <f>'V-FTE Mar'!V17/2</f>
        <v>0</v>
      </c>
      <c r="W17" s="7">
        <f>'V-FTE Mar'!W17/2</f>
        <v>0</v>
      </c>
      <c r="X17" s="7">
        <f>'V-FTE Mar'!X17/2</f>
        <v>0</v>
      </c>
      <c r="Y17" s="7">
        <f>'V-FTE Mar'!Y17/2</f>
        <v>0</v>
      </c>
      <c r="Z17" s="7">
        <f>'V-FTE Mar'!Z17/2</f>
        <v>0</v>
      </c>
      <c r="AA17" s="7">
        <f>'V-FTE Mar'!AA17/2</f>
        <v>0</v>
      </c>
      <c r="AB17" s="7">
        <f>'V-FTE Mar'!AB17/2</f>
        <v>0</v>
      </c>
      <c r="AC17" s="7">
        <f>'V-FTE Mar'!AC17/2</f>
        <v>0</v>
      </c>
      <c r="AD17" s="7">
        <f>'V-FTE Mar'!AD17/2</f>
        <v>0</v>
      </c>
      <c r="AE17" s="7">
        <f>'V-FTE Mar'!AE17/2</f>
        <v>0</v>
      </c>
      <c r="AF17" s="7"/>
    </row>
    <row r="18" spans="1:32" x14ac:dyDescent="0.25">
      <c r="A18" s="3" t="s">
        <v>23</v>
      </c>
      <c r="B18" s="7">
        <f>'V-FTE Mar'!B18/2</f>
        <v>0</v>
      </c>
      <c r="C18" s="7">
        <f>'V-FTE Mar'!C18/2</f>
        <v>0</v>
      </c>
      <c r="D18" s="7">
        <f>'V-FTE Mar'!D18/2</f>
        <v>0</v>
      </c>
      <c r="E18" s="7">
        <f>'V-FTE Mar'!E18/2</f>
        <v>0</v>
      </c>
      <c r="F18" s="7">
        <f>'V-FTE Mar'!F18/2</f>
        <v>0</v>
      </c>
      <c r="G18" s="7">
        <f>'V-FTE Mar'!G18/2</f>
        <v>0</v>
      </c>
      <c r="H18" s="7">
        <f>'V-FTE Mar'!H18/2</f>
        <v>0</v>
      </c>
      <c r="I18" s="7">
        <f>'V-FTE Mar'!I18/2</f>
        <v>0</v>
      </c>
      <c r="J18" s="7">
        <f>'V-FTE Mar'!J18/2</f>
        <v>0</v>
      </c>
      <c r="K18" s="7">
        <f>'V-FTE Mar'!K18/2</f>
        <v>0</v>
      </c>
      <c r="L18" s="7">
        <f>'V-FTE Mar'!L18/2</f>
        <v>0</v>
      </c>
      <c r="M18" s="7">
        <f>'V-FTE Mar'!M18/2</f>
        <v>0</v>
      </c>
      <c r="N18" s="7">
        <f>'V-FTE Mar'!N18/2</f>
        <v>0</v>
      </c>
      <c r="O18" s="7">
        <f>'V-FTE Mar'!O18/2</f>
        <v>0</v>
      </c>
      <c r="P18" s="7">
        <f>'V-FTE Mar'!P18/2</f>
        <v>0</v>
      </c>
      <c r="Q18" s="7">
        <f>'V-FTE Mar'!Q18/2</f>
        <v>0</v>
      </c>
      <c r="R18" s="7">
        <f>'V-FTE Mar'!R18/2</f>
        <v>0</v>
      </c>
      <c r="S18" s="7">
        <f>'V-FTE Mar'!S18/2</f>
        <v>0</v>
      </c>
      <c r="T18" s="7">
        <f>'V-FTE Mar'!T18/2</f>
        <v>0</v>
      </c>
      <c r="U18" s="7">
        <f>'V-FTE Mar'!U18/2</f>
        <v>0</v>
      </c>
      <c r="V18" s="7">
        <f>'V-FTE Mar'!V18/2</f>
        <v>0</v>
      </c>
      <c r="W18" s="7">
        <f>'V-FTE Mar'!W18/2</f>
        <v>0</v>
      </c>
      <c r="X18" s="7">
        <f>'V-FTE Mar'!X18/2</f>
        <v>0</v>
      </c>
      <c r="Y18" s="7">
        <f>'V-FTE Mar'!Y18/2</f>
        <v>0</v>
      </c>
      <c r="Z18" s="7">
        <f>'V-FTE Mar'!Z18/2</f>
        <v>0</v>
      </c>
      <c r="AA18" s="7">
        <f>'V-FTE Mar'!AA18/2</f>
        <v>0</v>
      </c>
      <c r="AB18" s="7">
        <f>'V-FTE Mar'!AB18/2</f>
        <v>0</v>
      </c>
      <c r="AC18" s="7">
        <f>'V-FTE Mar'!AC18/2</f>
        <v>0</v>
      </c>
      <c r="AD18" s="7">
        <f>'V-FTE Mar'!AD18/2</f>
        <v>0</v>
      </c>
      <c r="AE18" s="7">
        <f>'V-FTE Mar'!AE18/2</f>
        <v>0</v>
      </c>
      <c r="AF18" s="7"/>
    </row>
    <row r="19" spans="1:32" x14ac:dyDescent="0.25">
      <c r="A19" s="3" t="s">
        <v>24</v>
      </c>
      <c r="B19" s="7">
        <f>'B-FTE Apr'!B19/2</f>
        <v>0.84114019694499342</v>
      </c>
      <c r="C19" s="7">
        <f>'B-FTE Apr'!C19/2</f>
        <v>1.0260061742955415</v>
      </c>
      <c r="D19" s="7">
        <f>'B-FTE Apr'!D19/2</f>
        <v>0.89659999015015768</v>
      </c>
      <c r="E19" s="7">
        <f>'B-FTE Apr'!E19/2</f>
        <v>0</v>
      </c>
      <c r="F19" s="7">
        <f>'B-FTE Apr'!F19/2</f>
        <v>0</v>
      </c>
      <c r="G19" s="7">
        <f>'B-FTE Apr'!G19/2</f>
        <v>1.2894401920200722</v>
      </c>
      <c r="H19" s="7">
        <f>'B-FTE Apr'!H19/2</f>
        <v>0.91970823731897622</v>
      </c>
      <c r="I19" s="7">
        <f>'B-FTE Apr'!I19/2</f>
        <v>0.76719380600477416</v>
      </c>
      <c r="J19" s="7">
        <f>'B-FTE Apr'!J19/2</f>
        <v>0.93819483505403101</v>
      </c>
      <c r="K19" s="7">
        <f>'B-FTE Apr'!K19/2</f>
        <v>0.89659999015015768</v>
      </c>
      <c r="L19" s="7">
        <f>'B-FTE Apr'!L19/2</f>
        <v>0</v>
      </c>
      <c r="M19" s="7">
        <f>'B-FTE Apr'!M19/2</f>
        <v>0</v>
      </c>
      <c r="N19" s="7">
        <f>'B-FTE Apr'!N19/2</f>
        <v>1.2108721516460894</v>
      </c>
      <c r="O19" s="7">
        <f>'B-FTE Apr'!O19/2</f>
        <v>0.82727524864370228</v>
      </c>
      <c r="P19" s="7">
        <f>'B-FTE Apr'!P19/2</f>
        <v>0.76257215657101041</v>
      </c>
      <c r="Q19" s="7">
        <f>'B-FTE Apr'!Q19/2</f>
        <v>0.93357318562026725</v>
      </c>
      <c r="R19" s="7">
        <f>'B-FTE Apr'!R19/2</f>
        <v>0.80878865090864749</v>
      </c>
      <c r="S19" s="7">
        <f>'B-FTE Apr'!S19/2</f>
        <v>0</v>
      </c>
      <c r="T19" s="7">
        <f>'B-FTE Apr'!T19/2</f>
        <v>0</v>
      </c>
      <c r="U19" s="7">
        <f>'B-FTE Apr'!U19/2</f>
        <v>1.2293587493811442</v>
      </c>
      <c r="V19" s="7">
        <f>'B-FTE Apr'!V19/2</f>
        <v>0.84114019694499342</v>
      </c>
      <c r="W19" s="7">
        <f>'B-FTE Apr'!W19/2</f>
        <v>0.77643710487230144</v>
      </c>
      <c r="X19" s="7">
        <f>'B-FTE Apr'!X19/2</f>
        <v>0.94743813392155829</v>
      </c>
      <c r="Y19" s="7">
        <f>'B-FTE Apr'!Y19/2</f>
        <v>0.81803194977617488</v>
      </c>
      <c r="Z19" s="7">
        <f>'B-FTE Apr'!Z19/2</f>
        <v>0</v>
      </c>
      <c r="AA19" s="7">
        <f>'B-FTE Apr'!AA19/2</f>
        <v>0</v>
      </c>
      <c r="AB19" s="7">
        <f>'B-FTE Apr'!AB19/2</f>
        <v>1.1045742146695243</v>
      </c>
      <c r="AC19" s="7">
        <f>'B-FTE Apr'!AC19/2</f>
        <v>0.81341030034241113</v>
      </c>
      <c r="AD19" s="7">
        <f>'B-FTE Apr'!AD19/2</f>
        <v>0.74870720826971948</v>
      </c>
      <c r="AE19" s="7">
        <f>'B-FTE Apr'!AE19/2</f>
        <v>0.91508658788521258</v>
      </c>
      <c r="AF19" s="7"/>
    </row>
    <row r="20" spans="1:32" x14ac:dyDescent="0.25">
      <c r="A20" s="3" t="s">
        <v>25</v>
      </c>
      <c r="B20" s="7">
        <f>'B-FTE Apr'!B20/2</f>
        <v>1.2709535942850174</v>
      </c>
      <c r="C20" s="7">
        <f>'B-FTE Apr'!C20/2</f>
        <v>1.6083340029497677</v>
      </c>
      <c r="D20" s="7">
        <f>'B-FTE Apr'!D20/2</f>
        <v>1.2940618414538358</v>
      </c>
      <c r="E20" s="7">
        <f>'B-FTE Apr'!E20/2</f>
        <v>0</v>
      </c>
      <c r="F20" s="7">
        <f>'B-FTE Apr'!F20/2</f>
        <v>0</v>
      </c>
      <c r="G20" s="7">
        <f>'B-FTE Apr'!G20/2</f>
        <v>2.1767968833027025</v>
      </c>
      <c r="H20" s="7">
        <f>'B-FTE Apr'!H20/2</f>
        <v>1.2986834908875997</v>
      </c>
      <c r="I20" s="7">
        <f>'B-FTE Apr'!I20/2</f>
        <v>1.1877639044772708</v>
      </c>
      <c r="J20" s="7">
        <f>'B-FTE Apr'!J20/2</f>
        <v>1.4188463761654557</v>
      </c>
      <c r="K20" s="7">
        <f>'B-FTE Apr'!K20/2</f>
        <v>1.1369257607058703</v>
      </c>
      <c r="L20" s="7">
        <f>'B-FTE Apr'!L20/2</f>
        <v>0</v>
      </c>
      <c r="M20" s="7">
        <f>'B-FTE Apr'!M20/2</f>
        <v>0</v>
      </c>
      <c r="N20" s="7">
        <f>'B-FTE Apr'!N20/2</f>
        <v>1.876389670108062</v>
      </c>
      <c r="O20" s="7">
        <f>'B-FTE Apr'!O20/2</f>
        <v>1.2108721516460894</v>
      </c>
      <c r="P20" s="7">
        <f>'B-FTE Apr'!P20/2</f>
        <v>1.1877639044772708</v>
      </c>
      <c r="Q20" s="7">
        <f>'B-FTE Apr'!Q20/2</f>
        <v>1.5159010142744935</v>
      </c>
      <c r="R20" s="7">
        <f>'B-FTE Apr'!R20/2</f>
        <v>1.1323041112721064</v>
      </c>
      <c r="S20" s="7">
        <f>'B-FTE Apr'!S20/2</f>
        <v>0</v>
      </c>
      <c r="T20" s="7">
        <f>'B-FTE Apr'!T20/2</f>
        <v>0</v>
      </c>
      <c r="U20" s="7">
        <f>'B-FTE Apr'!U20/2</f>
        <v>2.0057958542534458</v>
      </c>
      <c r="V20" s="7">
        <f>'B-FTE Apr'!V20/2</f>
        <v>1.2293587493811442</v>
      </c>
      <c r="W20" s="7">
        <f>'B-FTE Apr'!W20/2</f>
        <v>1.2016288527785619</v>
      </c>
      <c r="X20" s="7">
        <f>'B-FTE Apr'!X20/2</f>
        <v>1.4373329739005107</v>
      </c>
      <c r="Y20" s="7">
        <f>'B-FTE Apr'!Y20/2</f>
        <v>1.1507907090071614</v>
      </c>
      <c r="Z20" s="7">
        <f>'B-FTE Apr'!Z20/2</f>
        <v>0</v>
      </c>
      <c r="AA20" s="7">
        <f>'B-FTE Apr'!AA20/2</f>
        <v>0</v>
      </c>
      <c r="AB20" s="7">
        <f>'B-FTE Apr'!AB20/2</f>
        <v>1.834794825204189</v>
      </c>
      <c r="AC20" s="7">
        <f>'B-FTE Apr'!AC20/2</f>
        <v>1.2663319448512538</v>
      </c>
      <c r="AD20" s="7">
        <f>'B-FTE Apr'!AD20/2</f>
        <v>1.076844318066942</v>
      </c>
      <c r="AE20" s="7">
        <f>'B-FTE Apr'!AE20/2</f>
        <v>1.3864948301291098</v>
      </c>
      <c r="AF20" s="7"/>
    </row>
    <row r="21" spans="1:32" x14ac:dyDescent="0.25">
      <c r="A21" s="3" t="s">
        <v>26</v>
      </c>
      <c r="B21" s="7">
        <f>'B-FTE Apr'!B21/2</f>
        <v>2.3293113146169047</v>
      </c>
      <c r="C21" s="7">
        <f>'B-FTE Apr'!C21/2</f>
        <v>2.5187989414012164</v>
      </c>
      <c r="D21" s="7">
        <f>'B-FTE Apr'!D21/2</f>
        <v>2.0982288429287199</v>
      </c>
      <c r="E21" s="7">
        <f>'B-FTE Apr'!E21/2</f>
        <v>0</v>
      </c>
      <c r="F21" s="7">
        <f>'B-FTE Apr'!F21/2</f>
        <v>0</v>
      </c>
      <c r="G21" s="7">
        <f>'B-FTE Apr'!G21/2</f>
        <v>4.191836036423676</v>
      </c>
      <c r="H21" s="7">
        <f>'B-FTE Apr'!H21/2</f>
        <v>2.2414999753753944</v>
      </c>
      <c r="I21" s="7">
        <f>'B-FTE Apr'!I21/2</f>
        <v>2.1398236878325929</v>
      </c>
      <c r="J21" s="7">
        <f>'B-FTE Apr'!J21/2</f>
        <v>2.2230133776403393</v>
      </c>
      <c r="K21" s="7">
        <f>'B-FTE Apr'!K21/2</f>
        <v>1.8440381240717163</v>
      </c>
      <c r="L21" s="7">
        <f>'B-FTE Apr'!L21/2</f>
        <v>0</v>
      </c>
      <c r="M21" s="7">
        <f>'B-FTE Apr'!M21/2</f>
        <v>0</v>
      </c>
      <c r="N21" s="7">
        <f>'B-FTE Apr'!N21/2</f>
        <v>3.8082391334212886</v>
      </c>
      <c r="O21" s="7">
        <f>'B-FTE Apr'!O21/2</f>
        <v>2.0520123485910831</v>
      </c>
      <c r="P21" s="7">
        <f>'B-FTE Apr'!P21/2</f>
        <v>2.2230133776403393</v>
      </c>
      <c r="Q21" s="7">
        <f>'B-FTE Apr'!Q21/2</f>
        <v>2.3154463663156135</v>
      </c>
      <c r="R21" s="7">
        <f>'B-FTE Apr'!R21/2</f>
        <v>1.7516051353964424</v>
      </c>
      <c r="S21" s="7">
        <f>'B-FTE Apr'!S21/2</f>
        <v>0</v>
      </c>
      <c r="T21" s="7">
        <f>'B-FTE Apr'!T21/2</f>
        <v>0</v>
      </c>
      <c r="U21" s="7">
        <f>'B-FTE Apr'!U21/2</f>
        <v>3.8683205760602162</v>
      </c>
      <c r="V21" s="7">
        <f>'B-FTE Apr'!V21/2</f>
        <v>2.0843638946274283</v>
      </c>
      <c r="W21" s="7">
        <f>'B-FTE Apr'!W21/2</f>
        <v>2.0658772968923738</v>
      </c>
      <c r="X21" s="7">
        <f>'B-FTE Apr'!X21/2</f>
        <v>2.2507432742429221</v>
      </c>
      <c r="Y21" s="7">
        <f>'B-FTE Apr'!Y21/2</f>
        <v>1.8625247218067711</v>
      </c>
      <c r="Z21" s="7">
        <f>'B-FTE Apr'!Z21/2</f>
        <v>0</v>
      </c>
      <c r="AA21" s="7">
        <f>'B-FTE Apr'!AA21/2</f>
        <v>0</v>
      </c>
      <c r="AB21" s="7">
        <f>'B-FTE Apr'!AB21/2</f>
        <v>3.5956432594681584</v>
      </c>
      <c r="AC21" s="7">
        <f>'B-FTE Apr'!AC21/2</f>
        <v>2.0982288429287199</v>
      </c>
      <c r="AD21" s="7">
        <f>'B-FTE Apr'!AD21/2</f>
        <v>1.9919309059521544</v>
      </c>
      <c r="AE21" s="7">
        <f>'B-FTE Apr'!AE21/2</f>
        <v>2.1675535844351757</v>
      </c>
      <c r="AF21" s="7"/>
    </row>
    <row r="22" spans="1:32" x14ac:dyDescent="0.25">
      <c r="A22" s="3" t="s">
        <v>27</v>
      </c>
      <c r="B22" s="7">
        <f>'B-FTE Apr'!B22/2</f>
        <v>3.9145370703978539</v>
      </c>
      <c r="C22" s="7">
        <f>'B-FTE Apr'!C22/2</f>
        <v>3.7065628458784872</v>
      </c>
      <c r="D22" s="7">
        <f>'B-FTE Apr'!D22/2</f>
        <v>3.2721277991046995</v>
      </c>
      <c r="E22" s="7">
        <f>'B-FTE Apr'!E22/2</f>
        <v>0</v>
      </c>
      <c r="F22" s="7">
        <f>'B-FTE Apr'!F22/2</f>
        <v>0</v>
      </c>
      <c r="G22" s="7">
        <f>'B-FTE Apr'!G22/2</f>
        <v>6.5766071442457452</v>
      </c>
      <c r="H22" s="7">
        <f>'B-FTE Apr'!H22/2</f>
        <v>3.5956432594681584</v>
      </c>
      <c r="I22" s="7">
        <f>'B-FTE Apr'!I22/2</f>
        <v>3.5863999606006307</v>
      </c>
      <c r="J22" s="7">
        <f>'B-FTE Apr'!J22/2</f>
        <v>3.3876690349487921</v>
      </c>
      <c r="K22" s="7">
        <f>'B-FTE Apr'!K22/2</f>
        <v>2.8885308961023126</v>
      </c>
      <c r="L22" s="7">
        <f>'B-FTE Apr'!L22/2</f>
        <v>0</v>
      </c>
      <c r="M22" s="7">
        <f>'B-FTE Apr'!M22/2</f>
        <v>0</v>
      </c>
      <c r="N22" s="7">
        <f>'B-FTE Apr'!N22/2</f>
        <v>5.8694947808798981</v>
      </c>
      <c r="O22" s="7">
        <f>'B-FTE Apr'!O22/2</f>
        <v>3.4893453224915931</v>
      </c>
      <c r="P22" s="7">
        <f>'B-FTE Apr'!P22/2</f>
        <v>3.6880762481434326</v>
      </c>
      <c r="Q22" s="7">
        <f>'B-FTE Apr'!Q22/2</f>
        <v>3.3784257360812644</v>
      </c>
      <c r="R22" s="7">
        <f>'B-FTE Apr'!R22/2</f>
        <v>2.7822329591257469</v>
      </c>
      <c r="S22" s="7">
        <f>'B-FTE Apr'!S22/2</f>
        <v>0</v>
      </c>
      <c r="T22" s="7">
        <f>'B-FTE Apr'!T22/2</f>
        <v>0</v>
      </c>
      <c r="U22" s="7">
        <f>'B-FTE Apr'!U22/2</f>
        <v>6.1051989020018471</v>
      </c>
      <c r="V22" s="7">
        <f>'B-FTE Apr'!V22/2</f>
        <v>3.336830891177391</v>
      </c>
      <c r="W22" s="7">
        <f>'B-FTE Apr'!W22/2</f>
        <v>3.5263185179617031</v>
      </c>
      <c r="X22" s="7">
        <f>'B-FTE Apr'!X22/2</f>
        <v>3.2120463564657715</v>
      </c>
      <c r="Y22" s="7">
        <f>'B-FTE Apr'!Y22/2</f>
        <v>2.8238278040296207</v>
      </c>
      <c r="Z22" s="7">
        <f>'B-FTE Apr'!Z22/2</f>
        <v>0</v>
      </c>
      <c r="AA22" s="7">
        <f>'B-FTE Apr'!AA22/2</f>
        <v>0</v>
      </c>
      <c r="AB22" s="7">
        <f>'B-FTE Apr'!AB22/2</f>
        <v>5.592195814854076</v>
      </c>
      <c r="AC22" s="7">
        <f>'B-FTE Apr'!AC22/2</f>
        <v>3.4015339832500828</v>
      </c>
      <c r="AD22" s="7">
        <f>'B-FTE Apr'!AD22/2</f>
        <v>3.2813710979722264</v>
      </c>
      <c r="AE22" s="7">
        <f>'B-FTE Apr'!AE22/2</f>
        <v>3.295236046273518</v>
      </c>
      <c r="AF22" s="7"/>
    </row>
    <row r="23" spans="1:32" x14ac:dyDescent="0.25">
      <c r="A23" s="3" t="s">
        <v>28</v>
      </c>
      <c r="B23" s="7">
        <f>'B-FTE Apr'!B23/2</f>
        <v>5.1346525209114704</v>
      </c>
      <c r="C23" s="7">
        <f>'B-FTE Apr'!C23/2</f>
        <v>4.8296236582830661</v>
      </c>
      <c r="D23" s="7">
        <f>'B-FTE Apr'!D23/2</f>
        <v>4.4552700541482064</v>
      </c>
      <c r="E23" s="7">
        <f>'B-FTE Apr'!E23/2</f>
        <v>0</v>
      </c>
      <c r="F23" s="7">
        <f>'B-FTE Apr'!F23/2</f>
        <v>0</v>
      </c>
      <c r="G23" s="7">
        <f>'B-FTE Apr'!G23/2</f>
        <v>7.6950463072165594</v>
      </c>
      <c r="H23" s="7">
        <f>'B-FTE Apr'!H23/2</f>
        <v>5.0422195322361967</v>
      </c>
      <c r="I23" s="7">
        <f>'B-FTE Apr'!I23/2</f>
        <v>4.6909741752701555</v>
      </c>
      <c r="J23" s="7">
        <f>'B-FTE Apr'!J23/2</f>
        <v>4.2842690250989497</v>
      </c>
      <c r="K23" s="7">
        <f>'B-FTE Apr'!K23/2</f>
        <v>3.9422669670004353</v>
      </c>
      <c r="L23" s="7">
        <f>'B-FTE Apr'!L23/2</f>
        <v>0</v>
      </c>
      <c r="M23" s="7">
        <f>'B-FTE Apr'!M23/2</f>
        <v>0</v>
      </c>
      <c r="N23" s="7">
        <f>'B-FTE Apr'!N23/2</f>
        <v>6.8076896159339295</v>
      </c>
      <c r="O23" s="7">
        <f>'B-FTE Apr'!O23/2</f>
        <v>4.8018937616804847</v>
      </c>
      <c r="P23" s="7">
        <f>'B-FTE Apr'!P23/2</f>
        <v>4.7880288133791922</v>
      </c>
      <c r="Q23" s="7">
        <f>'B-FTE Apr'!Q23/2</f>
        <v>4.3767020137742234</v>
      </c>
      <c r="R23" s="7">
        <f>'B-FTE Apr'!R23/2</f>
        <v>3.8267257311563432</v>
      </c>
      <c r="S23" s="7">
        <f>'B-FTE Apr'!S23/2</f>
        <v>0</v>
      </c>
      <c r="T23" s="7">
        <f>'B-FTE Apr'!T23/2</f>
        <v>0</v>
      </c>
      <c r="U23" s="7">
        <f>'B-FTE Apr'!U23/2</f>
        <v>7.0480153864896424</v>
      </c>
      <c r="V23" s="7">
        <f>'B-FTE Apr'!V23/2</f>
        <v>4.6540009798000455</v>
      </c>
      <c r="W23" s="7">
        <f>'B-FTE Apr'!W23/2</f>
        <v>4.6401360314987539</v>
      </c>
      <c r="X23" s="7">
        <f>'B-FTE Apr'!X23/2</f>
        <v>4.2241875824600212</v>
      </c>
      <c r="Y23" s="7">
        <f>'B-FTE Apr'!Y23/2</f>
        <v>3.8868071737952716</v>
      </c>
      <c r="Z23" s="7">
        <f>'B-FTE Apr'!Z23/2</f>
        <v>0</v>
      </c>
      <c r="AA23" s="7">
        <f>'B-FTE Apr'!AA23/2</f>
        <v>0</v>
      </c>
      <c r="AB23" s="7">
        <f>'B-FTE Apr'!AB23/2</f>
        <v>6.5257690004743436</v>
      </c>
      <c r="AC23" s="7">
        <f>'B-FTE Apr'!AC23/2</f>
        <v>4.792650462812956</v>
      </c>
      <c r="AD23" s="7">
        <f>'B-FTE Apr'!AD23/2</f>
        <v>4.348972117171642</v>
      </c>
      <c r="AE23" s="7">
        <f>'B-FTE Apr'!AE23/2</f>
        <v>4.1687277892548567</v>
      </c>
      <c r="AF23" s="7"/>
    </row>
    <row r="24" spans="1:32" x14ac:dyDescent="0.25">
      <c r="A24" s="3" t="s">
        <v>29</v>
      </c>
      <c r="B24" s="7">
        <f>'B-FTE Apr'!B24/2</f>
        <v>7.2282597144064269</v>
      </c>
      <c r="C24" s="7">
        <f>'B-FTE Apr'!C24/2</f>
        <v>6.188388591809594</v>
      </c>
      <c r="D24" s="7">
        <f>'B-FTE Apr'!D24/2</f>
        <v>6.0820906548330296</v>
      </c>
      <c r="E24" s="7">
        <f>'B-FTE Apr'!E24/2</f>
        <v>0</v>
      </c>
      <c r="F24" s="7">
        <f>'B-FTE Apr'!F24/2</f>
        <v>0</v>
      </c>
      <c r="G24" s="7">
        <f>'B-FTE Apr'!G24/2</f>
        <v>9.5113545346856938</v>
      </c>
      <c r="H24" s="7">
        <f>'B-FTE Apr'!H24/2</f>
        <v>6.7568514721625288</v>
      </c>
      <c r="I24" s="7">
        <f>'B-FTE Apr'!I24/2</f>
        <v>6.507282402739289</v>
      </c>
      <c r="J24" s="7">
        <f>'B-FTE Apr'!J24/2</f>
        <v>5.6337906597579499</v>
      </c>
      <c r="K24" s="7">
        <f>'B-FTE Apr'!K24/2</f>
        <v>5.3333834465633094</v>
      </c>
      <c r="L24" s="7">
        <f>'B-FTE Apr'!L24/2</f>
        <v>0</v>
      </c>
      <c r="M24" s="7">
        <f>'B-FTE Apr'!M24/2</f>
        <v>0</v>
      </c>
      <c r="N24" s="7">
        <f>'B-FTE Apr'!N24/2</f>
        <v>8.4761050615226239</v>
      </c>
      <c r="O24" s="7">
        <f>'B-FTE Apr'!O24/2</f>
        <v>6.5026607533055252</v>
      </c>
      <c r="P24" s="7">
        <f>'B-FTE Apr'!P24/2</f>
        <v>6.6089586902820914</v>
      </c>
      <c r="Q24" s="7">
        <f>'B-FTE Apr'!Q24/2</f>
        <v>5.6106824125891315</v>
      </c>
      <c r="R24" s="7">
        <f>'B-FTE Apr'!R24/2</f>
        <v>5.1023009748751242</v>
      </c>
      <c r="S24" s="7">
        <f>'B-FTE Apr'!S24/2</f>
        <v>0</v>
      </c>
      <c r="T24" s="7">
        <f>'B-FTE Apr'!T24/2</f>
        <v>0</v>
      </c>
      <c r="U24" s="7">
        <f>'B-FTE Apr'!U24/2</f>
        <v>8.7487823781146847</v>
      </c>
      <c r="V24" s="7">
        <f>'B-FTE Apr'!V24/2</f>
        <v>6.3686329197263785</v>
      </c>
      <c r="W24" s="7">
        <f>'B-FTE Apr'!W24/2</f>
        <v>6.3547679714250878</v>
      </c>
      <c r="X24" s="7">
        <f>'B-FTE Apr'!X24/2</f>
        <v>5.3657349925996556</v>
      </c>
      <c r="Y24" s="7">
        <f>'B-FTE Apr'!Y24/2</f>
        <v>5.2917886016594355</v>
      </c>
      <c r="Z24" s="7">
        <f>'B-FTE Apr'!Z24/2</f>
        <v>0</v>
      </c>
      <c r="AA24" s="7">
        <f>'B-FTE Apr'!AA24/2</f>
        <v>0</v>
      </c>
      <c r="AB24" s="7">
        <f>'B-FTE Apr'!AB24/2</f>
        <v>8.147967951725402</v>
      </c>
      <c r="AC24" s="7">
        <f>'B-FTE Apr'!AC24/2</f>
        <v>6.4610659084016522</v>
      </c>
      <c r="AD24" s="7">
        <f>'B-FTE Apr'!AD24/2</f>
        <v>5.9850360167239911</v>
      </c>
      <c r="AE24" s="7">
        <f>'B-FTE Apr'!AE24/2</f>
        <v>5.4812762284437477</v>
      </c>
      <c r="AF24" s="7"/>
    </row>
    <row r="25" spans="1:32" x14ac:dyDescent="0.25">
      <c r="A25" s="3" t="s">
        <v>30</v>
      </c>
      <c r="B25" s="7">
        <f>'B-FTE Apr'!B25/2</f>
        <v>13.754028714880771</v>
      </c>
      <c r="C25" s="7">
        <f>'B-FTE Apr'!C25/2</f>
        <v>8.4529968143538063</v>
      </c>
      <c r="D25" s="7">
        <f>'B-FTE Apr'!D25/2</f>
        <v>8.3559421762447688</v>
      </c>
      <c r="E25" s="7">
        <f>'B-FTE Apr'!E25/2</f>
        <v>0</v>
      </c>
      <c r="F25" s="7">
        <f>'B-FTE Apr'!F25/2</f>
        <v>0</v>
      </c>
      <c r="G25" s="7">
        <f>'B-FTE Apr'!G25/2</f>
        <v>12.972969960574705</v>
      </c>
      <c r="H25" s="7">
        <f>'B-FTE Apr'!H25/2</f>
        <v>8.7718906252835023</v>
      </c>
      <c r="I25" s="7">
        <f>'B-FTE Apr'!I25/2</f>
        <v>12.265857597208861</v>
      </c>
      <c r="J25" s="7">
        <f>'B-FTE Apr'!J25/2</f>
        <v>7.5979916691075235</v>
      </c>
      <c r="K25" s="7">
        <f>'B-FTE Apr'!K25/2</f>
        <v>7.2929628064791174</v>
      </c>
      <c r="L25" s="7">
        <f>'B-FTE Apr'!L25/2</f>
        <v>0</v>
      </c>
      <c r="M25" s="7">
        <f>'B-FTE Apr'!M25/2</f>
        <v>0</v>
      </c>
      <c r="N25" s="7">
        <f>'B-FTE Apr'!N25/2</f>
        <v>11.526393687806669</v>
      </c>
      <c r="O25" s="7">
        <f>'B-FTE Apr'!O25/2</f>
        <v>8.3744287739798242</v>
      </c>
      <c r="P25" s="7">
        <f>'B-FTE Apr'!P25/2</f>
        <v>12.783482333790394</v>
      </c>
      <c r="Q25" s="7">
        <f>'B-FTE Apr'!Q25/2</f>
        <v>7.6996679566503241</v>
      </c>
      <c r="R25" s="7">
        <f>'B-FTE Apr'!R25/2</f>
        <v>7.0387720876221156</v>
      </c>
      <c r="S25" s="7">
        <f>'B-FTE Apr'!S25/2</f>
        <v>0</v>
      </c>
      <c r="T25" s="7">
        <f>'B-FTE Apr'!T25/2</f>
        <v>0</v>
      </c>
      <c r="U25" s="7">
        <f>'B-FTE Apr'!U25/2</f>
        <v>11.863774096471419</v>
      </c>
      <c r="V25" s="7">
        <f>'B-FTE Apr'!V25/2</f>
        <v>8.3929153717148797</v>
      </c>
      <c r="W25" s="7">
        <f>'B-FTE Apr'!W25/2</f>
        <v>12.048640073821966</v>
      </c>
      <c r="X25" s="7">
        <f>'B-FTE Apr'!X25/2</f>
        <v>7.4547205366608473</v>
      </c>
      <c r="Y25" s="7">
        <f>'B-FTE Apr'!Y25/2</f>
        <v>7.2744762087440638</v>
      </c>
      <c r="Z25" s="7">
        <f>'B-FTE Apr'!Z25/2</f>
        <v>0</v>
      </c>
      <c r="AA25" s="7">
        <f>'B-FTE Apr'!AA25/2</f>
        <v>0</v>
      </c>
      <c r="AB25" s="7">
        <f>'B-FTE Apr'!AB25/2</f>
        <v>10.962552456887495</v>
      </c>
      <c r="AC25" s="7">
        <f>'B-FTE Apr'!AC25/2</f>
        <v>8.4114019694499333</v>
      </c>
      <c r="AD25" s="7">
        <f>'B-FTE Apr'!AD25/2</f>
        <v>11.378500905926229</v>
      </c>
      <c r="AE25" s="7">
        <f>'B-FTE Apr'!AE25/2</f>
        <v>7.3946390940219198</v>
      </c>
      <c r="AF25" s="7"/>
    </row>
    <row r="26" spans="1:32" x14ac:dyDescent="0.25">
      <c r="A26" s="3" t="s">
        <v>31</v>
      </c>
      <c r="B26" s="7">
        <f>'B-FTE Apr'!B26/2</f>
        <v>21.915861614907463</v>
      </c>
      <c r="C26" s="7">
        <f>'B-FTE Apr'!C26/2</f>
        <v>10.019735972399701</v>
      </c>
      <c r="D26" s="7">
        <f>'B-FTE Apr'!D26/2</f>
        <v>9.8810864893867887</v>
      </c>
      <c r="E26" s="7">
        <f>'B-FTE Apr'!E26/2</f>
        <v>0</v>
      </c>
      <c r="F26" s="7">
        <f>'B-FTE Apr'!F26/2</f>
        <v>0</v>
      </c>
      <c r="G26" s="7">
        <f>'B-FTE Apr'!G26/2</f>
        <v>15.852257557809487</v>
      </c>
      <c r="H26" s="7">
        <f>'B-FTE Apr'!H26/2</f>
        <v>10.250818444087885</v>
      </c>
      <c r="I26" s="7">
        <f>'B-FTE Apr'!I26/2</f>
        <v>19.752929679906053</v>
      </c>
      <c r="J26" s="7">
        <f>'B-FTE Apr'!J26/2</f>
        <v>8.9983514475379227</v>
      </c>
      <c r="K26" s="7">
        <f>'B-FTE Apr'!K26/2</f>
        <v>8.739539079247157</v>
      </c>
      <c r="L26" s="7">
        <f>'B-FTE Apr'!L26/2</f>
        <v>0</v>
      </c>
      <c r="M26" s="7">
        <f>'B-FTE Apr'!M26/2</f>
        <v>0</v>
      </c>
      <c r="N26" s="7">
        <f>'B-FTE Apr'!N26/2</f>
        <v>14.091409123545519</v>
      </c>
      <c r="O26" s="7">
        <f>'B-FTE Apr'!O26/2</f>
        <v>9.8441132939166813</v>
      </c>
      <c r="P26" s="7">
        <f>'B-FTE Apr'!P26/2</f>
        <v>20.228959571583715</v>
      </c>
      <c r="Q26" s="7">
        <f>'B-FTE Apr'!Q26/2</f>
        <v>9.1000277350807242</v>
      </c>
      <c r="R26" s="7">
        <f>'B-FTE Apr'!R26/2</f>
        <v>8.3282122796421874</v>
      </c>
      <c r="S26" s="7">
        <f>'B-FTE Apr'!S26/2</f>
        <v>0</v>
      </c>
      <c r="T26" s="7">
        <f>'B-FTE Apr'!T26/2</f>
        <v>0</v>
      </c>
      <c r="U26" s="7">
        <f>'B-FTE Apr'!U26/2</f>
        <v>14.488870974849199</v>
      </c>
      <c r="V26" s="7">
        <f>'B-FTE Apr'!V26/2</f>
        <v>9.6315174199635507</v>
      </c>
      <c r="W26" s="7">
        <f>'B-FTE Apr'!W26/2</f>
        <v>19.471009064446466</v>
      </c>
      <c r="X26" s="7">
        <f>'B-FTE Apr'!X26/2</f>
        <v>8.739539079247157</v>
      </c>
      <c r="Y26" s="7">
        <f>'B-FTE Apr'!Y26/2</f>
        <v>8.5962679468004826</v>
      </c>
      <c r="Z26" s="7">
        <f>'B-FTE Apr'!Z26/2</f>
        <v>0</v>
      </c>
      <c r="AA26" s="7">
        <f>'B-FTE Apr'!AA26/2</f>
        <v>0</v>
      </c>
      <c r="AB26" s="7">
        <f>'B-FTE Apr'!AB26/2</f>
        <v>13.439756553384838</v>
      </c>
      <c r="AC26" s="7">
        <f>'B-FTE Apr'!AC26/2</f>
        <v>9.7193287592050623</v>
      </c>
      <c r="AD26" s="7">
        <f>'B-FTE Apr'!AD26/2</f>
        <v>18.149217326390051</v>
      </c>
      <c r="AE26" s="7">
        <f>'B-FTE Apr'!AE26/2</f>
        <v>8.7534040275484468</v>
      </c>
      <c r="AF26" s="7"/>
    </row>
    <row r="27" spans="1:32" x14ac:dyDescent="0.25">
      <c r="A27" s="3" t="s">
        <v>32</v>
      </c>
      <c r="B27" s="7">
        <f>'B-FTE Apr'!B27/2</f>
        <v>15.394714263866886</v>
      </c>
      <c r="C27" s="7">
        <f>'B-FTE Apr'!C27/2</f>
        <v>9.945789581459481</v>
      </c>
      <c r="D27" s="7">
        <f>'B-FTE Apr'!D27/2</f>
        <v>9.945789581459481</v>
      </c>
      <c r="E27" s="7">
        <f>'B-FTE Apr'!E27/2</f>
        <v>0</v>
      </c>
      <c r="F27" s="7">
        <f>'B-FTE Apr'!F27/2</f>
        <v>0</v>
      </c>
      <c r="G27" s="7">
        <f>'B-FTE Apr'!G27/2</f>
        <v>17.75175547508637</v>
      </c>
      <c r="H27" s="7">
        <f>'B-FTE Apr'!H27/2</f>
        <v>10.902471014248569</v>
      </c>
      <c r="I27" s="7">
        <f>'B-FTE Apr'!I27/2</f>
        <v>13.906543146194972</v>
      </c>
      <c r="J27" s="7">
        <f>'B-FTE Apr'!J27/2</f>
        <v>8.9613782520678136</v>
      </c>
      <c r="K27" s="7">
        <f>'B-FTE Apr'!K27/2</f>
        <v>8.7903772230185577</v>
      </c>
      <c r="L27" s="7">
        <f>'B-FTE Apr'!L27/2</f>
        <v>0</v>
      </c>
      <c r="M27" s="7">
        <f>'B-FTE Apr'!M27/2</f>
        <v>0</v>
      </c>
      <c r="N27" s="7">
        <f>'B-FTE Apr'!N27/2</f>
        <v>15.819906011773142</v>
      </c>
      <c r="O27" s="7">
        <f>'B-FTE Apr'!O27/2</f>
        <v>10.472657616908544</v>
      </c>
      <c r="P27" s="7">
        <f>'B-FTE Apr'!P27/2</f>
        <v>14.234680255992194</v>
      </c>
      <c r="Q27" s="7">
        <f>'B-FTE Apr'!Q27/2</f>
        <v>9.0584328901768512</v>
      </c>
      <c r="R27" s="7">
        <f>'B-FTE Apr'!R27/2</f>
        <v>8.3790504234135881</v>
      </c>
      <c r="S27" s="7">
        <f>'B-FTE Apr'!S27/2</f>
        <v>0</v>
      </c>
      <c r="T27" s="7">
        <f>'B-FTE Apr'!T27/2</f>
        <v>0</v>
      </c>
      <c r="U27" s="7">
        <f>'B-FTE Apr'!U27/2</f>
        <v>16.263584357414459</v>
      </c>
      <c r="V27" s="7">
        <f>'B-FTE Apr'!V27/2</f>
        <v>10.250818444087885</v>
      </c>
      <c r="W27" s="7">
        <f>'B-FTE Apr'!W27/2</f>
        <v>13.532189542060115</v>
      </c>
      <c r="X27" s="7">
        <f>'B-FTE Apr'!X27/2</f>
        <v>8.7118091826445756</v>
      </c>
      <c r="Y27" s="7">
        <f>'B-FTE Apr'!Y27/2</f>
        <v>8.6471060905718833</v>
      </c>
      <c r="Z27" s="7">
        <f>'B-FTE Apr'!Z27/2</f>
        <v>0</v>
      </c>
      <c r="AA27" s="7">
        <f>'B-FTE Apr'!AA27/2</f>
        <v>0</v>
      </c>
      <c r="AB27" s="7">
        <f>'B-FTE Apr'!AB27/2</f>
        <v>15.089685401238478</v>
      </c>
      <c r="AC27" s="7">
        <f>'B-FTE Apr'!AC27/2</f>
        <v>10.343251432763159</v>
      </c>
      <c r="AD27" s="7">
        <f>'B-FTE Apr'!AD27/2</f>
        <v>12.797347282091685</v>
      </c>
      <c r="AE27" s="7">
        <f>'B-FTE Apr'!AE27/2</f>
        <v>8.7164308320783377</v>
      </c>
      <c r="AF27" s="7"/>
    </row>
    <row r="28" spans="1:32" x14ac:dyDescent="0.25">
      <c r="A28" s="3" t="s">
        <v>33</v>
      </c>
      <c r="B28" s="7">
        <f>'B-FTE Apr'!B28/2</f>
        <v>12.224262752304986</v>
      </c>
      <c r="C28" s="7">
        <f>'B-FTE Apr'!C28/2</f>
        <v>10.015114322965939</v>
      </c>
      <c r="D28" s="7">
        <f>'B-FTE Apr'!D28/2</f>
        <v>10.260061742955413</v>
      </c>
      <c r="E28" s="7">
        <f>'B-FTE Apr'!E28/2</f>
        <v>0</v>
      </c>
      <c r="F28" s="7">
        <f>'B-FTE Apr'!F28/2</f>
        <v>0</v>
      </c>
      <c r="G28" s="7">
        <f>'B-FTE Apr'!G28/2</f>
        <v>18.458867838452214</v>
      </c>
      <c r="H28" s="7">
        <f>'B-FTE Apr'!H28/2</f>
        <v>11.054985445562771</v>
      </c>
      <c r="I28" s="7">
        <f>'B-FTE Apr'!I28/2</f>
        <v>10.893227715381041</v>
      </c>
      <c r="J28" s="7">
        <f>'B-FTE Apr'!J28/2</f>
        <v>9.0075947464054504</v>
      </c>
      <c r="K28" s="7">
        <f>'B-FTE Apr'!K28/2</f>
        <v>8.9151617577301767</v>
      </c>
      <c r="L28" s="7">
        <f>'B-FTE Apr'!L28/2</f>
        <v>0</v>
      </c>
      <c r="M28" s="7">
        <f>'B-FTE Apr'!M28/2</f>
        <v>0</v>
      </c>
      <c r="N28" s="7">
        <f>'B-FTE Apr'!N28/2</f>
        <v>16.268206006848224</v>
      </c>
      <c r="O28" s="7">
        <f>'B-FTE Apr'!O28/2</f>
        <v>10.611307099921456</v>
      </c>
      <c r="P28" s="7">
        <f>'B-FTE Apr'!P28/2</f>
        <v>11.299932865552245</v>
      </c>
      <c r="Q28" s="7">
        <f>'B-FTE Apr'!Q28/2</f>
        <v>9.1092710339482519</v>
      </c>
      <c r="R28" s="7">
        <f>'B-FTE Apr'!R28/2</f>
        <v>8.623997843403064</v>
      </c>
      <c r="S28" s="7">
        <f>'B-FTE Apr'!S28/2</f>
        <v>0</v>
      </c>
      <c r="T28" s="7">
        <f>'B-FTE Apr'!T28/2</f>
        <v>0</v>
      </c>
      <c r="U28" s="7">
        <f>'B-FTE Apr'!U28/2</f>
        <v>16.901371979273851</v>
      </c>
      <c r="V28" s="7">
        <f>'B-FTE Apr'!V28/2</f>
        <v>10.370981329365744</v>
      </c>
      <c r="W28" s="7">
        <f>'B-FTE Apr'!W28/2</f>
        <v>10.740713284066837</v>
      </c>
      <c r="X28" s="7">
        <f>'B-FTE Apr'!X28/2</f>
        <v>8.7534040275484468</v>
      </c>
      <c r="Y28" s="7">
        <f>'B-FTE Apr'!Y28/2</f>
        <v>8.7672689758497384</v>
      </c>
      <c r="Z28" s="7">
        <f>'B-FTE Apr'!Z28/2</f>
        <v>0</v>
      </c>
      <c r="AA28" s="7">
        <f>'B-FTE Apr'!AA28/2</f>
        <v>0</v>
      </c>
      <c r="AB28" s="7">
        <f>'B-FTE Apr'!AB28/2</f>
        <v>15.685878178193997</v>
      </c>
      <c r="AC28" s="7">
        <f>'B-FTE Apr'!AC28/2</f>
        <v>10.48190091577607</v>
      </c>
      <c r="AD28" s="7">
        <f>'B-FTE Apr'!AD28/2</f>
        <v>10.015114322965939</v>
      </c>
      <c r="AE28" s="7">
        <f>'B-FTE Apr'!AE28/2</f>
        <v>8.7626473264159745</v>
      </c>
      <c r="AF28" s="7"/>
    </row>
    <row r="29" spans="1:32" x14ac:dyDescent="0.25">
      <c r="A29" s="3" t="s">
        <v>34</v>
      </c>
      <c r="B29" s="7">
        <f>'B-FTE Apr'!B29/2</f>
        <v>13.64310912847044</v>
      </c>
      <c r="C29" s="7">
        <f>'B-FTE Apr'!C29/2</f>
        <v>10.68063184142791</v>
      </c>
      <c r="D29" s="7">
        <f>'B-FTE Apr'!D29/2</f>
        <v>11.64193492365076</v>
      </c>
      <c r="E29" s="7">
        <f>'B-FTE Apr'!E29/2</f>
        <v>0</v>
      </c>
      <c r="F29" s="7">
        <f>'B-FTE Apr'!F29/2</f>
        <v>0</v>
      </c>
      <c r="G29" s="7">
        <f>'B-FTE Apr'!G29/2</f>
        <v>17.908891555834337</v>
      </c>
      <c r="H29" s="7">
        <f>'B-FTE Apr'!H29/2</f>
        <v>11.42933904969763</v>
      </c>
      <c r="I29" s="7">
        <f>'B-FTE Apr'!I29/2</f>
        <v>12.145694711931004</v>
      </c>
      <c r="J29" s="7">
        <f>'B-FTE Apr'!J29/2</f>
        <v>9.622274121096023</v>
      </c>
      <c r="K29" s="7">
        <f>'B-FTE Apr'!K29/2</f>
        <v>10.287791639557996</v>
      </c>
      <c r="L29" s="7">
        <f>'B-FTE Apr'!L29/2</f>
        <v>0</v>
      </c>
      <c r="M29" s="7">
        <f>'B-FTE Apr'!M29/2</f>
        <v>0</v>
      </c>
      <c r="N29" s="7">
        <f>'B-FTE Apr'!N29/2</f>
        <v>15.958555494786056</v>
      </c>
      <c r="O29" s="7">
        <f>'B-FTE Apr'!O29/2</f>
        <v>10.962552456887495</v>
      </c>
      <c r="P29" s="7">
        <f>'B-FTE Apr'!P29/2</f>
        <v>12.607859655307374</v>
      </c>
      <c r="Q29" s="7">
        <f>'B-FTE Apr'!Q29/2</f>
        <v>9.7239504086388244</v>
      </c>
      <c r="R29" s="7">
        <f>'B-FTE Apr'!R29/2</f>
        <v>9.8071400984465704</v>
      </c>
      <c r="S29" s="7">
        <f>'B-FTE Apr'!S29/2</f>
        <v>0</v>
      </c>
      <c r="T29" s="7">
        <f>'B-FTE Apr'!T29/2</f>
        <v>0</v>
      </c>
      <c r="U29" s="7">
        <f>'B-FTE Apr'!U29/2</f>
        <v>16.577856518910391</v>
      </c>
      <c r="V29" s="7">
        <f>'B-FTE Apr'!V29/2</f>
        <v>10.699118439162964</v>
      </c>
      <c r="W29" s="7">
        <f>'B-FTE Apr'!W29/2</f>
        <v>12.14107306249724</v>
      </c>
      <c r="X29" s="7">
        <f>'B-FTE Apr'!X29/2</f>
        <v>9.2201906203585811</v>
      </c>
      <c r="Y29" s="7">
        <f>'B-FTE Apr'!Y29/2</f>
        <v>10.121412259942502</v>
      </c>
      <c r="Z29" s="7">
        <f>'B-FTE Apr'!Z29/2</f>
        <v>0</v>
      </c>
      <c r="AA29" s="7">
        <f>'B-FTE Apr'!AA29/2</f>
        <v>0</v>
      </c>
      <c r="AB29" s="7">
        <f>'B-FTE Apr'!AB29/2</f>
        <v>15.223713234817625</v>
      </c>
      <c r="AC29" s="7">
        <f>'B-FTE Apr'!AC29/2</f>
        <v>10.971795755755023</v>
      </c>
      <c r="AD29" s="7">
        <f>'B-FTE Apr'!AD29/2</f>
        <v>11.161283382539333</v>
      </c>
      <c r="AE29" s="7">
        <f>'B-FTE Apr'!AE29/2</f>
        <v>9.229433919226107</v>
      </c>
      <c r="AF29" s="7"/>
    </row>
    <row r="30" spans="1:32" x14ac:dyDescent="0.25">
      <c r="A30" s="3" t="s">
        <v>35</v>
      </c>
      <c r="B30" s="7">
        <f>'B-FTE Apr'!B30/2</f>
        <v>13.841840054122279</v>
      </c>
      <c r="C30" s="7">
        <f>'B-FTE Apr'!C30/2</f>
        <v>11.142796784804279</v>
      </c>
      <c r="D30" s="7">
        <f>'B-FTE Apr'!D30/2</f>
        <v>13.02842975377987</v>
      </c>
      <c r="E30" s="7">
        <f>'B-FTE Apr'!E30/2</f>
        <v>0</v>
      </c>
      <c r="F30" s="7">
        <f>'B-FTE Apr'!F30/2</f>
        <v>0</v>
      </c>
      <c r="G30" s="7">
        <f>'B-FTE Apr'!G30/2</f>
        <v>18.144595676956286</v>
      </c>
      <c r="H30" s="7">
        <f>'B-FTE Apr'!H30/2</f>
        <v>11.808314303266252</v>
      </c>
      <c r="I30" s="7">
        <f>'B-FTE Apr'!I30/2</f>
        <v>12.492318419463281</v>
      </c>
      <c r="J30" s="7">
        <f>'B-FTE Apr'!J30/2</f>
        <v>9.9134380354231357</v>
      </c>
      <c r="K30" s="7">
        <f>'B-FTE Apr'!K30/2</f>
        <v>11.401609153095048</v>
      </c>
      <c r="L30" s="7">
        <f>'B-FTE Apr'!L30/2</f>
        <v>0</v>
      </c>
      <c r="M30" s="7">
        <f>'B-FTE Apr'!M30/2</f>
        <v>0</v>
      </c>
      <c r="N30" s="7">
        <f>'B-FTE Apr'!N30/2</f>
        <v>16.032501885726273</v>
      </c>
      <c r="O30" s="7">
        <f>'B-FTE Apr'!O30/2</f>
        <v>11.313797813853537</v>
      </c>
      <c r="P30" s="7">
        <f>'B-FTE Apr'!P30/2</f>
        <v>12.959105012273415</v>
      </c>
      <c r="Q30" s="7">
        <f>'B-FTE Apr'!Q30/2</f>
        <v>10.024357621833467</v>
      </c>
      <c r="R30" s="7">
        <f>'B-FTE Apr'!R30/2</f>
        <v>11.041120497261478</v>
      </c>
      <c r="S30" s="7">
        <f>'B-FTE Apr'!S30/2</f>
        <v>0</v>
      </c>
      <c r="T30" s="7">
        <f>'B-FTE Apr'!T30/2</f>
        <v>0</v>
      </c>
      <c r="U30" s="7">
        <f>'B-FTE Apr'!U30/2</f>
        <v>16.651802909850613</v>
      </c>
      <c r="V30" s="7">
        <f>'B-FTE Apr'!V30/2</f>
        <v>11.198256578009444</v>
      </c>
      <c r="W30" s="7">
        <f>'B-FTE Apr'!W30/2</f>
        <v>12.321317390414023</v>
      </c>
      <c r="X30" s="7">
        <f>'B-FTE Apr'!X30/2</f>
        <v>9.6361390693973146</v>
      </c>
      <c r="Y30" s="7">
        <f>'B-FTE Apr'!Y30/2</f>
        <v>11.392365854227519</v>
      </c>
      <c r="Z30" s="7">
        <f>'B-FTE Apr'!Z30/2</f>
        <v>0</v>
      </c>
      <c r="AA30" s="7">
        <f>'B-FTE Apr'!AA30/2</f>
        <v>0</v>
      </c>
      <c r="AB30" s="7">
        <f>'B-FTE Apr'!AB30/2</f>
        <v>15.464039005373341</v>
      </c>
      <c r="AC30" s="7">
        <f>'B-FTE Apr'!AC30/2</f>
        <v>11.332284411588592</v>
      </c>
      <c r="AD30" s="7">
        <f>'B-FTE Apr'!AD30/2</f>
        <v>11.494042141770322</v>
      </c>
      <c r="AE30" s="7">
        <f>'B-FTE Apr'!AE30/2</f>
        <v>9.6453823682648423</v>
      </c>
      <c r="AF30" s="7"/>
    </row>
    <row r="31" spans="1:32" x14ac:dyDescent="0.25">
      <c r="A31" s="3" t="s">
        <v>36</v>
      </c>
      <c r="B31" s="7">
        <f>'B-FTE Apr'!B31/2</f>
        <v>13.592270984699041</v>
      </c>
      <c r="C31" s="7">
        <f>'B-FTE Apr'!C31/2</f>
        <v>11.470933894601504</v>
      </c>
      <c r="D31" s="7">
        <f>'B-FTE Apr'!D31/2</f>
        <v>14.368708089571342</v>
      </c>
      <c r="E31" s="7">
        <f>'B-FTE Apr'!E31/2</f>
        <v>0</v>
      </c>
      <c r="F31" s="7">
        <f>'B-FTE Apr'!F31/2</f>
        <v>0</v>
      </c>
      <c r="G31" s="7">
        <f>'B-FTE Apr'!G31/2</f>
        <v>19.905444111220255</v>
      </c>
      <c r="H31" s="7">
        <f>'B-FTE Apr'!H31/2</f>
        <v>12.783482333790394</v>
      </c>
      <c r="I31" s="7">
        <f>'B-FTE Apr'!I31/2</f>
        <v>12.108721516460893</v>
      </c>
      <c r="J31" s="7">
        <f>'B-FTE Apr'!J31/2</f>
        <v>10.204601949750248</v>
      </c>
      <c r="K31" s="7">
        <f>'B-FTE Apr'!K31/2</f>
        <v>12.593994707006082</v>
      </c>
      <c r="L31" s="7">
        <f>'B-FTE Apr'!L31/2</f>
        <v>0</v>
      </c>
      <c r="M31" s="7">
        <f>'B-FTE Apr'!M31/2</f>
        <v>0</v>
      </c>
      <c r="N31" s="7">
        <f>'B-FTE Apr'!N31/2</f>
        <v>17.770242072821429</v>
      </c>
      <c r="O31" s="7">
        <f>'B-FTE Apr'!O31/2</f>
        <v>12.251992648907567</v>
      </c>
      <c r="P31" s="7">
        <f>'B-FTE Apr'!P31/2</f>
        <v>12.566264810403501</v>
      </c>
      <c r="Q31" s="7">
        <f>'B-FTE Apr'!Q31/2</f>
        <v>10.315521536160578</v>
      </c>
      <c r="R31" s="7">
        <f>'B-FTE Apr'!R31/2</f>
        <v>12.201154505136167</v>
      </c>
      <c r="S31" s="7">
        <f>'B-FTE Apr'!S31/2</f>
        <v>0</v>
      </c>
      <c r="T31" s="7">
        <f>'B-FTE Apr'!T31/2</f>
        <v>0</v>
      </c>
      <c r="U31" s="7">
        <f>'B-FTE Apr'!U31/2</f>
        <v>18.264758562234142</v>
      </c>
      <c r="V31" s="7">
        <f>'B-FTE Apr'!V31/2</f>
        <v>12.122586464762186</v>
      </c>
      <c r="W31" s="7">
        <f>'B-FTE Apr'!W31/2</f>
        <v>11.933098837977873</v>
      </c>
      <c r="X31" s="7">
        <f>'B-FTE Apr'!X31/2</f>
        <v>9.9134380354231357</v>
      </c>
      <c r="Y31" s="7">
        <f>'B-FTE Apr'!Y31/2</f>
        <v>12.409128729655533</v>
      </c>
      <c r="Z31" s="7">
        <f>'B-FTE Apr'!Z31/2</f>
        <v>0</v>
      </c>
      <c r="AA31" s="7">
        <f>'B-FTE Apr'!AA31/2</f>
        <v>0</v>
      </c>
      <c r="AB31" s="7">
        <f>'B-FTE Apr'!AB31/2</f>
        <v>16.961453421912779</v>
      </c>
      <c r="AC31" s="7">
        <f>'B-FTE Apr'!AC31/2</f>
        <v>12.108721516460893</v>
      </c>
      <c r="AD31" s="7">
        <f>'B-FTE Apr'!AD31/2</f>
        <v>11.124310187069225</v>
      </c>
      <c r="AE31" s="7">
        <f>'B-FTE Apr'!AE31/2</f>
        <v>9.9226813342906617</v>
      </c>
      <c r="AF31" s="7"/>
    </row>
    <row r="32" spans="1:32" x14ac:dyDescent="0.25">
      <c r="A32" s="3" t="s">
        <v>37</v>
      </c>
      <c r="B32" s="7">
        <f>'B-FTE Apr'!B32/2</f>
        <v>12.506183367764571</v>
      </c>
      <c r="C32" s="7">
        <f>'B-FTE Apr'!C32/2</f>
        <v>11.466312245167739</v>
      </c>
      <c r="D32" s="7">
        <f>'B-FTE Apr'!D32/2</f>
        <v>14.345599842402523</v>
      </c>
      <c r="E32" s="7">
        <f>'B-FTE Apr'!E32/2</f>
        <v>0</v>
      </c>
      <c r="F32" s="7">
        <f>'B-FTE Apr'!F32/2</f>
        <v>0</v>
      </c>
      <c r="G32" s="7">
        <f>'B-FTE Apr'!G32/2</f>
        <v>24.129631693680277</v>
      </c>
      <c r="H32" s="7">
        <f>'B-FTE Apr'!H32/2</f>
        <v>13.439756553384838</v>
      </c>
      <c r="I32" s="7">
        <f>'B-FTE Apr'!I32/2</f>
        <v>11.064228744430297</v>
      </c>
      <c r="J32" s="7">
        <f>'B-FTE Apr'!J32/2</f>
        <v>10.329386484461869</v>
      </c>
      <c r="K32" s="7">
        <f>'B-FTE Apr'!K32/2</f>
        <v>12.501561718330809</v>
      </c>
      <c r="L32" s="7">
        <f>'B-FTE Apr'!L32/2</f>
        <v>0</v>
      </c>
      <c r="M32" s="7">
        <f>'B-FTE Apr'!M32/2</f>
        <v>0</v>
      </c>
      <c r="N32" s="7">
        <f>'B-FTE Apr'!N32/2</f>
        <v>21.32429048738571</v>
      </c>
      <c r="O32" s="7">
        <f>'B-FTE Apr'!O32/2</f>
        <v>12.871293673031904</v>
      </c>
      <c r="P32" s="7">
        <f>'B-FTE Apr'!P32/2</f>
        <v>11.512528739505377</v>
      </c>
      <c r="Q32" s="7">
        <f>'B-FTE Apr'!Q32/2</f>
        <v>10.440306070872198</v>
      </c>
      <c r="R32" s="7">
        <f>'B-FTE Apr'!R32/2</f>
        <v>11.909990590809054</v>
      </c>
      <c r="S32" s="7">
        <f>'B-FTE Apr'!S32/2</f>
        <v>0</v>
      </c>
      <c r="T32" s="7">
        <f>'B-FTE Apr'!T32/2</f>
        <v>0</v>
      </c>
      <c r="U32" s="7">
        <f>'B-FTE Apr'!U32/2</f>
        <v>22.151565736029411</v>
      </c>
      <c r="V32" s="7">
        <f>'B-FTE Apr'!V32/2</f>
        <v>12.728022540585229</v>
      </c>
      <c r="W32" s="7">
        <f>'B-FTE Apr'!W32/2</f>
        <v>11.054985445562771</v>
      </c>
      <c r="X32" s="7">
        <f>'B-FTE Apr'!X32/2</f>
        <v>10.033600920700993</v>
      </c>
      <c r="Y32" s="7">
        <f>'B-FTE Apr'!Y32/2</f>
        <v>12.298209143245206</v>
      </c>
      <c r="Z32" s="7">
        <f>'B-FTE Apr'!Z32/2</f>
        <v>0</v>
      </c>
      <c r="AA32" s="7">
        <f>'B-FTE Apr'!AA32/2</f>
        <v>0</v>
      </c>
      <c r="AB32" s="7">
        <f>'B-FTE Apr'!AB32/2</f>
        <v>20.349122456861569</v>
      </c>
      <c r="AC32" s="7">
        <f>'B-FTE Apr'!AC32/2</f>
        <v>12.894401920200723</v>
      </c>
      <c r="AD32" s="7">
        <f>'B-FTE Apr'!AD32/2</f>
        <v>10.292413288991758</v>
      </c>
      <c r="AE32" s="7">
        <f>'B-FTE Apr'!AE32/2</f>
        <v>10.04284421956852</v>
      </c>
      <c r="AF32" s="7"/>
    </row>
    <row r="33" spans="1:32" x14ac:dyDescent="0.25">
      <c r="A33" s="3" t="s">
        <v>38</v>
      </c>
      <c r="B33" s="7">
        <f>'B-FTE Apr'!B33/2</f>
        <v>12.261235947775095</v>
      </c>
      <c r="C33" s="7">
        <f>'B-FTE Apr'!C33/2</f>
        <v>11.757476159494852</v>
      </c>
      <c r="D33" s="7">
        <f>'B-FTE Apr'!D33/2</f>
        <v>14.220815307690906</v>
      </c>
      <c r="E33" s="7">
        <f>'B-FTE Apr'!E33/2</f>
        <v>0</v>
      </c>
      <c r="F33" s="7">
        <f>'B-FTE Apr'!F33/2</f>
        <v>0</v>
      </c>
      <c r="G33" s="7">
        <f>'B-FTE Apr'!G33/2</f>
        <v>25.918210024546831</v>
      </c>
      <c r="H33" s="7">
        <f>'B-FTE Apr'!H33/2</f>
        <v>13.32883696697451</v>
      </c>
      <c r="I33" s="7">
        <f>'B-FTE Apr'!I33/2</f>
        <v>11.064228744430297</v>
      </c>
      <c r="J33" s="7">
        <f>'B-FTE Apr'!J33/2</f>
        <v>10.523495760679944</v>
      </c>
      <c r="K33" s="7">
        <f>'B-FTE Apr'!K33/2</f>
        <v>12.45534522399317</v>
      </c>
      <c r="L33" s="7">
        <f>'B-FTE Apr'!L33/2</f>
        <v>0</v>
      </c>
      <c r="M33" s="7">
        <f>'B-FTE Apr'!M33/2</f>
        <v>0</v>
      </c>
      <c r="N33" s="7">
        <f>'B-FTE Apr'!N33/2</f>
        <v>23.066652323914624</v>
      </c>
      <c r="O33" s="7">
        <f>'B-FTE Apr'!O33/2</f>
        <v>12.926753466237068</v>
      </c>
      <c r="P33" s="7">
        <f>'B-FTE Apr'!P33/2</f>
        <v>11.373879256492465</v>
      </c>
      <c r="Q33" s="7">
        <f>'B-FTE Apr'!Q33/2</f>
        <v>10.648280295391563</v>
      </c>
      <c r="R33" s="7">
        <f>'B-FTE Apr'!R33/2</f>
        <v>12.025531826653147</v>
      </c>
      <c r="S33" s="7">
        <f>'B-FTE Apr'!S33/2</f>
        <v>0</v>
      </c>
      <c r="T33" s="7">
        <f>'B-FTE Apr'!T33/2</f>
        <v>0</v>
      </c>
      <c r="U33" s="7">
        <f>'B-FTE Apr'!U33/2</f>
        <v>23.967873963498548</v>
      </c>
      <c r="V33" s="7">
        <f>'B-FTE Apr'!V33/2</f>
        <v>12.598616356439846</v>
      </c>
      <c r="W33" s="7">
        <f>'B-FTE Apr'!W33/2</f>
        <v>10.870119468212222</v>
      </c>
      <c r="X33" s="7">
        <f>'B-FTE Apr'!X33/2</f>
        <v>10.199980300316485</v>
      </c>
      <c r="Y33" s="7">
        <f>'B-FTE Apr'!Y33/2</f>
        <v>12.224262752304986</v>
      </c>
      <c r="Z33" s="7">
        <f>'B-FTE Apr'!Z33/2</f>
        <v>0</v>
      </c>
      <c r="AA33" s="7">
        <f>'B-FTE Apr'!AA33/2</f>
        <v>0</v>
      </c>
      <c r="AB33" s="7">
        <f>'B-FTE Apr'!AB33/2</f>
        <v>21.999051304715209</v>
      </c>
      <c r="AC33" s="7">
        <f>'B-FTE Apr'!AC33/2</f>
        <v>12.783482333790394</v>
      </c>
      <c r="AD33" s="7">
        <f>'B-FTE Apr'!AD33/2</f>
        <v>10.098304012773685</v>
      </c>
      <c r="AE33" s="7">
        <f>'B-FTE Apr'!AE33/2</f>
        <v>10.232331846352832</v>
      </c>
      <c r="AF33" s="7"/>
    </row>
    <row r="34" spans="1:32" x14ac:dyDescent="0.25">
      <c r="A34" s="3" t="s">
        <v>39</v>
      </c>
      <c r="B34" s="7">
        <f>'B-FTE Apr'!B34/2</f>
        <v>13.40278335791473</v>
      </c>
      <c r="C34" s="7">
        <f>'B-FTE Apr'!C34/2</f>
        <v>10.384846277667034</v>
      </c>
      <c r="D34" s="7">
        <f>'B-FTE Apr'!D34/2</f>
        <v>13.883434899026152</v>
      </c>
      <c r="E34" s="7">
        <f>'B-FTE Apr'!E34/2</f>
        <v>0</v>
      </c>
      <c r="F34" s="7">
        <f>'B-FTE Apr'!F34/2</f>
        <v>0</v>
      </c>
      <c r="G34" s="7">
        <f>'B-FTE Apr'!G34/2</f>
        <v>26.472807956598473</v>
      </c>
      <c r="H34" s="7">
        <f>'B-FTE Apr'!H34/2</f>
        <v>12.728022540585229</v>
      </c>
      <c r="I34" s="7">
        <f>'B-FTE Apr'!I34/2</f>
        <v>12.034775125520675</v>
      </c>
      <c r="J34" s="7">
        <f>'B-FTE Apr'!J34/2</f>
        <v>9.3680834022390194</v>
      </c>
      <c r="K34" s="7">
        <f>'B-FTE Apr'!K34/2</f>
        <v>12.14107306249724</v>
      </c>
      <c r="L34" s="7">
        <f>'B-FTE Apr'!L34/2</f>
        <v>0</v>
      </c>
      <c r="M34" s="7">
        <f>'B-FTE Apr'!M34/2</f>
        <v>0</v>
      </c>
      <c r="N34" s="7">
        <f>'B-FTE Apr'!N34/2</f>
        <v>23.501087370688413</v>
      </c>
      <c r="O34" s="7">
        <f>'B-FTE Apr'!O34/2</f>
        <v>12.173424608533585</v>
      </c>
      <c r="P34" s="7">
        <f>'B-FTE Apr'!P34/2</f>
        <v>12.386020482486716</v>
      </c>
      <c r="Q34" s="7">
        <f>'B-FTE Apr'!Q34/2</f>
        <v>9.4882462875168763</v>
      </c>
      <c r="R34" s="7">
        <f>'B-FTE Apr'!R34/2</f>
        <v>11.715881314590979</v>
      </c>
      <c r="S34" s="7">
        <f>'B-FTE Apr'!S34/2</f>
        <v>0</v>
      </c>
      <c r="T34" s="7">
        <f>'B-FTE Apr'!T34/2</f>
        <v>0</v>
      </c>
      <c r="U34" s="7">
        <f>'B-FTE Apr'!U34/2</f>
        <v>24.161983239716623</v>
      </c>
      <c r="V34" s="7">
        <f>'B-FTE Apr'!V34/2</f>
        <v>11.854530797603889</v>
      </c>
      <c r="W34" s="7">
        <f>'B-FTE Apr'!W34/2</f>
        <v>11.803692653832488</v>
      </c>
      <c r="X34" s="7">
        <f>'B-FTE Apr'!X34/2</f>
        <v>9.0538112407430873</v>
      </c>
      <c r="Y34" s="7">
        <f>'B-FTE Apr'!Y34/2</f>
        <v>11.909990590809054</v>
      </c>
      <c r="Z34" s="7">
        <f>'B-FTE Apr'!Z34/2</f>
        <v>0</v>
      </c>
      <c r="AA34" s="7">
        <f>'B-FTE Apr'!AA34/2</f>
        <v>0</v>
      </c>
      <c r="AB34" s="7">
        <f>'B-FTE Apr'!AB34/2</f>
        <v>22.396513156018887</v>
      </c>
      <c r="AC34" s="7">
        <f>'B-FTE Apr'!AC34/2</f>
        <v>12.039396774954438</v>
      </c>
      <c r="AD34" s="7">
        <f>'B-FTE Apr'!AD34/2</f>
        <v>11.128931836502987</v>
      </c>
      <c r="AE34" s="7">
        <f>'B-FTE Apr'!AE34/2</f>
        <v>9.1092710339482519</v>
      </c>
      <c r="AF34" s="7"/>
    </row>
    <row r="35" spans="1:32" x14ac:dyDescent="0.25">
      <c r="A35" s="3" t="s">
        <v>40</v>
      </c>
      <c r="B35" s="7">
        <f>'B-FTE Apr'!B35/2</f>
        <v>13.971246238267664</v>
      </c>
      <c r="C35" s="7">
        <f>'B-FTE Apr'!C35/2</f>
        <v>9.1277576316833073</v>
      </c>
      <c r="D35" s="7">
        <f>'B-FTE Apr'!D35/2</f>
        <v>14.812386435212657</v>
      </c>
      <c r="E35" s="7">
        <f>'B-FTE Apr'!E35/2</f>
        <v>0</v>
      </c>
      <c r="F35" s="7">
        <f>'B-FTE Apr'!F35/2</f>
        <v>0</v>
      </c>
      <c r="G35" s="7">
        <f>'B-FTE Apr'!G35/2</f>
        <v>26.861026509034623</v>
      </c>
      <c r="H35" s="7">
        <f>'B-FTE Apr'!H35/2</f>
        <v>12.312074091546496</v>
      </c>
      <c r="I35" s="7">
        <f>'B-FTE Apr'!I35/2</f>
        <v>12.409128729655533</v>
      </c>
      <c r="J35" s="7">
        <f>'B-FTE Apr'!J35/2</f>
        <v>8.3420772279434789</v>
      </c>
      <c r="K35" s="7">
        <f>'B-FTE Apr'!K35/2</f>
        <v>13.02842975377987</v>
      </c>
      <c r="L35" s="7">
        <f>'B-FTE Apr'!L35/2</f>
        <v>0</v>
      </c>
      <c r="M35" s="7">
        <f>'B-FTE Apr'!M35/2</f>
        <v>0</v>
      </c>
      <c r="N35" s="7">
        <f>'B-FTE Apr'!N35/2</f>
        <v>23.870819325389508</v>
      </c>
      <c r="O35" s="7">
        <f>'B-FTE Apr'!O35/2</f>
        <v>11.794449354964961</v>
      </c>
      <c r="P35" s="7">
        <f>'B-FTE Apr'!P35/2</f>
        <v>12.760374086621574</v>
      </c>
      <c r="Q35" s="7">
        <f>'B-FTE Apr'!Q35/2</f>
        <v>8.4483751649200425</v>
      </c>
      <c r="R35" s="7">
        <f>'B-FTE Apr'!R35/2</f>
        <v>12.390642131920478</v>
      </c>
      <c r="S35" s="7">
        <f>'B-FTE Apr'!S35/2</f>
        <v>0</v>
      </c>
      <c r="T35" s="7">
        <f>'B-FTE Apr'!T35/2</f>
        <v>0</v>
      </c>
      <c r="U35" s="7">
        <f>'B-FTE Apr'!U35/2</f>
        <v>24.545580142719011</v>
      </c>
      <c r="V35" s="7">
        <f>'B-FTE Apr'!V35/2</f>
        <v>11.660421521385814</v>
      </c>
      <c r="W35" s="7">
        <f>'B-FTE Apr'!W35/2</f>
        <v>12.376777183619188</v>
      </c>
      <c r="X35" s="7">
        <f>'B-FTE Apr'!X35/2</f>
        <v>7.9168854800372168</v>
      </c>
      <c r="Y35" s="7">
        <f>'B-FTE Apr'!Y35/2</f>
        <v>12.797347282091685</v>
      </c>
      <c r="Z35" s="7">
        <f>'B-FTE Apr'!Z35/2</f>
        <v>0</v>
      </c>
      <c r="AA35" s="7">
        <f>'B-FTE Apr'!AA35/2</f>
        <v>0</v>
      </c>
      <c r="AB35" s="7">
        <f>'B-FTE Apr'!AB35/2</f>
        <v>23.015814180143224</v>
      </c>
      <c r="AC35" s="7">
        <f>'B-FTE Apr'!AC35/2</f>
        <v>11.812935952700016</v>
      </c>
      <c r="AD35" s="7">
        <f>'B-FTE Apr'!AD35/2</f>
        <v>11.494042141770322</v>
      </c>
      <c r="AE35" s="7">
        <f>'B-FTE Apr'!AE35/2</f>
        <v>8.1109947562552929</v>
      </c>
      <c r="AF35" s="7"/>
    </row>
    <row r="36" spans="1:32" x14ac:dyDescent="0.25">
      <c r="A36" s="3" t="s">
        <v>41</v>
      </c>
      <c r="B36" s="7">
        <f>'B-FTE Apr'!B36/2</f>
        <v>14.932549320490514</v>
      </c>
      <c r="C36" s="7">
        <f>'B-FTE Apr'!C36/2</f>
        <v>9.1277576316833073</v>
      </c>
      <c r="D36" s="7">
        <f>'B-FTE Apr'!D36/2</f>
        <v>17.003048266816648</v>
      </c>
      <c r="E36" s="7">
        <f>'B-FTE Apr'!E36/2</f>
        <v>0</v>
      </c>
      <c r="F36" s="7">
        <f>'B-FTE Apr'!F36/2</f>
        <v>0</v>
      </c>
      <c r="G36" s="7">
        <f>'B-FTE Apr'!G36/2</f>
        <v>27.618977016171868</v>
      </c>
      <c r="H36" s="7">
        <f>'B-FTE Apr'!H36/2</f>
        <v>12.677184396813828</v>
      </c>
      <c r="I36" s="7">
        <f>'B-FTE Apr'!I36/2</f>
        <v>13.375053461312149</v>
      </c>
      <c r="J36" s="7">
        <f>'B-FTE Apr'!J36/2</f>
        <v>8.1109947562552929</v>
      </c>
      <c r="K36" s="7">
        <f>'B-FTE Apr'!K36/2</f>
        <v>14.830873032947713</v>
      </c>
      <c r="L36" s="7">
        <f>'B-FTE Apr'!L36/2</f>
        <v>0</v>
      </c>
      <c r="M36" s="7">
        <f>'B-FTE Apr'!M36/2</f>
        <v>0</v>
      </c>
      <c r="N36" s="7">
        <f>'B-FTE Apr'!N36/2</f>
        <v>24.397687360838571</v>
      </c>
      <c r="O36" s="7">
        <f>'B-FTE Apr'!O36/2</f>
        <v>12.164181309666059</v>
      </c>
      <c r="P36" s="7">
        <f>'B-FTE Apr'!P36/2</f>
        <v>13.9157864450625</v>
      </c>
      <c r="Q36" s="7">
        <f>'B-FTE Apr'!Q36/2</f>
        <v>8.2126710437980943</v>
      </c>
      <c r="R36" s="7">
        <f>'B-FTE Apr'!R36/2</f>
        <v>14.354843141270051</v>
      </c>
      <c r="S36" s="7">
        <f>'B-FTE Apr'!S36/2</f>
        <v>0</v>
      </c>
      <c r="T36" s="7">
        <f>'B-FTE Apr'!T36/2</f>
        <v>0</v>
      </c>
      <c r="U36" s="7">
        <f>'B-FTE Apr'!U36/2</f>
        <v>25.349747144193895</v>
      </c>
      <c r="V36" s="7">
        <f>'B-FTE Apr'!V36/2</f>
        <v>11.891503993074</v>
      </c>
      <c r="W36" s="7">
        <f>'B-FTE Apr'!W36/2</f>
        <v>13.361188513010857</v>
      </c>
      <c r="X36" s="7">
        <f>'B-FTE Apr'!X36/2</f>
        <v>7.9631019743748546</v>
      </c>
      <c r="Y36" s="7">
        <f>'B-FTE Apr'!Y36/2</f>
        <v>14.599790561259528</v>
      </c>
      <c r="Z36" s="7">
        <f>'B-FTE Apr'!Z36/2</f>
        <v>0</v>
      </c>
      <c r="AA36" s="7">
        <f>'B-FTE Apr'!AA36/2</f>
        <v>0</v>
      </c>
      <c r="AB36" s="7">
        <f>'B-FTE Apr'!AB36/2</f>
        <v>23.279248197867755</v>
      </c>
      <c r="AC36" s="7">
        <f>'B-FTE Apr'!AC36/2</f>
        <v>12.016288527785619</v>
      </c>
      <c r="AD36" s="7">
        <f>'B-FTE Apr'!AD36/2</f>
        <v>12.242749350040041</v>
      </c>
      <c r="AE36" s="7">
        <f>'B-FTE Apr'!AE36/2</f>
        <v>7.8845339340008707</v>
      </c>
      <c r="AF36" s="7"/>
    </row>
    <row r="37" spans="1:32" x14ac:dyDescent="0.25">
      <c r="A37" s="3" t="s">
        <v>42</v>
      </c>
      <c r="B37" s="7">
        <f>'B-FTE Apr'!B37/2</f>
        <v>14.456519428812854</v>
      </c>
      <c r="C37" s="7">
        <f>'B-FTE Apr'!C37/2</f>
        <v>10.126033909376266</v>
      </c>
      <c r="D37" s="7">
        <f>'B-FTE Apr'!D37/2</f>
        <v>18.329461654306833</v>
      </c>
      <c r="E37" s="7">
        <f>'B-FTE Apr'!E37/2</f>
        <v>0</v>
      </c>
      <c r="F37" s="7">
        <f>'B-FTE Apr'!F37/2</f>
        <v>0</v>
      </c>
      <c r="G37" s="7">
        <f>'B-FTE Apr'!G37/2</f>
        <v>26.791701767528167</v>
      </c>
      <c r="H37" s="7">
        <f>'B-FTE Apr'!H37/2</f>
        <v>12.903645219068249</v>
      </c>
      <c r="I37" s="7">
        <f>'B-FTE Apr'!I37/2</f>
        <v>12.848185425863086</v>
      </c>
      <c r="J37" s="7">
        <f>'B-FTE Apr'!J37/2</f>
        <v>9.1601091777196526</v>
      </c>
      <c r="K37" s="7">
        <f>'B-FTE Apr'!K37/2</f>
        <v>16.277449305715752</v>
      </c>
      <c r="L37" s="7">
        <f>'B-FTE Apr'!L37/2</f>
        <v>0</v>
      </c>
      <c r="M37" s="7">
        <f>'B-FTE Apr'!M37/2</f>
        <v>0</v>
      </c>
      <c r="N37" s="7">
        <f>'B-FTE Apr'!N37/2</f>
        <v>23.893927572558329</v>
      </c>
      <c r="O37" s="7">
        <f>'B-FTE Apr'!O37/2</f>
        <v>12.256614298341333</v>
      </c>
      <c r="P37" s="7">
        <f>'B-FTE Apr'!P37/2</f>
        <v>13.347323564709564</v>
      </c>
      <c r="Q37" s="7">
        <f>'B-FTE Apr'!Q37/2</f>
        <v>9.27102876412998</v>
      </c>
      <c r="R37" s="7">
        <f>'B-FTE Apr'!R37/2</f>
        <v>15.316146223492902</v>
      </c>
      <c r="S37" s="7">
        <f>'B-FTE Apr'!S37/2</f>
        <v>0</v>
      </c>
      <c r="T37" s="7">
        <f>'B-FTE Apr'!T37/2</f>
        <v>0</v>
      </c>
      <c r="U37" s="7">
        <f>'B-FTE Apr'!U37/2</f>
        <v>24.559445091020297</v>
      </c>
      <c r="V37" s="7">
        <f>'B-FTE Apr'!V37/2</f>
        <v>11.9931802806168</v>
      </c>
      <c r="W37" s="7">
        <f>'B-FTE Apr'!W37/2</f>
        <v>12.843563776429322</v>
      </c>
      <c r="X37" s="7">
        <f>'B-FTE Apr'!X37/2</f>
        <v>8.8689452633925399</v>
      </c>
      <c r="Y37" s="7">
        <f>'B-FTE Apr'!Y37/2</f>
        <v>15.806041063471854</v>
      </c>
      <c r="Z37" s="7">
        <f>'B-FTE Apr'!Z37/2</f>
        <v>0</v>
      </c>
      <c r="AA37" s="7">
        <f>'B-FTE Apr'!AA37/2</f>
        <v>0</v>
      </c>
      <c r="AB37" s="7">
        <f>'B-FTE Apr'!AB37/2</f>
        <v>22.798596656756331</v>
      </c>
      <c r="AC37" s="7">
        <f>'B-FTE Apr'!AC37/2</f>
        <v>12.242749350040041</v>
      </c>
      <c r="AD37" s="7">
        <f>'B-FTE Apr'!AD37/2</f>
        <v>11.974693682881746</v>
      </c>
      <c r="AE37" s="7">
        <f>'B-FTE Apr'!AE37/2</f>
        <v>8.9105401082964129</v>
      </c>
      <c r="AF37" s="7"/>
    </row>
    <row r="38" spans="1:32" x14ac:dyDescent="0.25">
      <c r="A38" s="3" t="s">
        <v>43</v>
      </c>
      <c r="B38" s="7">
        <f>'B-FTE Apr'!B38/2</f>
        <v>13.167079236792778</v>
      </c>
      <c r="C38" s="7">
        <f>'B-FTE Apr'!C38/2</f>
        <v>10.102925662207447</v>
      </c>
      <c r="D38" s="7">
        <f>'B-FTE Apr'!D38/2</f>
        <v>17.183292594733434</v>
      </c>
      <c r="E38" s="7">
        <f>'B-FTE Apr'!E38/2</f>
        <v>0</v>
      </c>
      <c r="F38" s="7">
        <f>'B-FTE Apr'!F38/2</f>
        <v>0</v>
      </c>
      <c r="G38" s="7">
        <f>'B-FTE Apr'!G38/2</f>
        <v>22.544405937899327</v>
      </c>
      <c r="H38" s="7">
        <f>'B-FTE Apr'!H38/2</f>
        <v>12.654076149645009</v>
      </c>
      <c r="I38" s="7">
        <f>'B-FTE Apr'!I38/2</f>
        <v>11.854530797603889</v>
      </c>
      <c r="J38" s="7">
        <f>'B-FTE Apr'!J38/2</f>
        <v>9.0168380452729799</v>
      </c>
      <c r="K38" s="7">
        <f>'B-FTE Apr'!K38/2</f>
        <v>15.075820452937188</v>
      </c>
      <c r="L38" s="7">
        <f>'B-FTE Apr'!L38/2</f>
        <v>0</v>
      </c>
      <c r="M38" s="7">
        <f>'B-FTE Apr'!M38/2</f>
        <v>0</v>
      </c>
      <c r="N38" s="7">
        <f>'B-FTE Apr'!N38/2</f>
        <v>19.974768852726712</v>
      </c>
      <c r="O38" s="7">
        <f>'B-FTE Apr'!O38/2</f>
        <v>12.173424608533585</v>
      </c>
      <c r="P38" s="7">
        <f>'B-FTE Apr'!P38/2</f>
        <v>12.145694711931004</v>
      </c>
      <c r="Q38" s="7">
        <f>'B-FTE Apr'!Q38/2</f>
        <v>9.1231359822495435</v>
      </c>
      <c r="R38" s="7">
        <f>'B-FTE Apr'!R38/2</f>
        <v>14.396437986173924</v>
      </c>
      <c r="S38" s="7">
        <f>'B-FTE Apr'!S38/2</f>
        <v>0</v>
      </c>
      <c r="T38" s="7">
        <f>'B-FTE Apr'!T38/2</f>
        <v>0</v>
      </c>
      <c r="U38" s="7">
        <f>'B-FTE Apr'!U38/2</f>
        <v>20.77431420476783</v>
      </c>
      <c r="V38" s="7">
        <f>'B-FTE Apr'!V38/2</f>
        <v>11.928477188544107</v>
      </c>
      <c r="W38" s="7">
        <f>'B-FTE Apr'!W38/2</f>
        <v>11.517150388939141</v>
      </c>
      <c r="X38" s="7">
        <f>'B-FTE Apr'!X38/2</f>
        <v>8.7256741309458654</v>
      </c>
      <c r="Y38" s="7">
        <f>'B-FTE Apr'!Y38/2</f>
        <v>14.636763756729639</v>
      </c>
      <c r="Z38" s="7">
        <f>'B-FTE Apr'!Z38/2</f>
        <v>0</v>
      </c>
      <c r="AA38" s="7">
        <f>'B-FTE Apr'!AA38/2</f>
        <v>0</v>
      </c>
      <c r="AB38" s="7">
        <f>'B-FTE Apr'!AB38/2</f>
        <v>19.031952368238915</v>
      </c>
      <c r="AC38" s="7">
        <f>'B-FTE Apr'!AC38/2</f>
        <v>12.016288527785619</v>
      </c>
      <c r="AD38" s="7">
        <f>'B-FTE Apr'!AD38/2</f>
        <v>10.888606065947277</v>
      </c>
      <c r="AE38" s="7">
        <f>'B-FTE Apr'!AE38/2</f>
        <v>8.7672689758497384</v>
      </c>
      <c r="AF38" s="7"/>
    </row>
    <row r="39" spans="1:32" x14ac:dyDescent="0.25">
      <c r="A39" s="3" t="s">
        <v>44</v>
      </c>
      <c r="B39" s="7">
        <f>'B-FTE Apr'!B39/2</f>
        <v>10.893227715381041</v>
      </c>
      <c r="C39" s="7">
        <f>'B-FTE Apr'!C39/2</f>
        <v>8.7857555735847939</v>
      </c>
      <c r="D39" s="7">
        <f>'B-FTE Apr'!D39/2</f>
        <v>13.864948301291099</v>
      </c>
      <c r="E39" s="7">
        <f>'B-FTE Apr'!E39/2</f>
        <v>0</v>
      </c>
      <c r="F39" s="7">
        <f>'B-FTE Apr'!F39/2</f>
        <v>0</v>
      </c>
      <c r="G39" s="7">
        <f>'B-FTE Apr'!G39/2</f>
        <v>18.847086390888368</v>
      </c>
      <c r="H39" s="7">
        <f>'B-FTE Apr'!H39/2</f>
        <v>10.541982358414998</v>
      </c>
      <c r="I39" s="7">
        <f>'B-FTE Apr'!I39/2</f>
        <v>9.8348699950491536</v>
      </c>
      <c r="J39" s="7">
        <f>'B-FTE Apr'!J39/2</f>
        <v>7.8891555834346354</v>
      </c>
      <c r="K39" s="7">
        <f>'B-FTE Apr'!K39/2</f>
        <v>12.057883372689494</v>
      </c>
      <c r="L39" s="7">
        <f>'B-FTE Apr'!L39/2</f>
        <v>0</v>
      </c>
      <c r="M39" s="7">
        <f>'B-FTE Apr'!M39/2</f>
        <v>0</v>
      </c>
      <c r="N39" s="7">
        <f>'B-FTE Apr'!N39/2</f>
        <v>16.670289507585665</v>
      </c>
      <c r="O39" s="7">
        <f>'B-FTE Apr'!O39/2</f>
        <v>10.107547311641211</v>
      </c>
      <c r="P39" s="7">
        <f>'B-FTE Apr'!P39/2</f>
        <v>10.107547311641211</v>
      </c>
      <c r="Q39" s="7">
        <f>'B-FTE Apr'!Q39/2</f>
        <v>7.9954535204112016</v>
      </c>
      <c r="R39" s="7">
        <f>'B-FTE Apr'!R39/2</f>
        <v>11.484798842902796</v>
      </c>
      <c r="S39" s="7">
        <f>'B-FTE Apr'!S39/2</f>
        <v>0</v>
      </c>
      <c r="T39" s="7">
        <f>'B-FTE Apr'!T39/2</f>
        <v>0</v>
      </c>
      <c r="U39" s="7">
        <f>'B-FTE Apr'!U39/2</f>
        <v>17.164805996998382</v>
      </c>
      <c r="V39" s="7">
        <f>'B-FTE Apr'!V39/2</f>
        <v>10.001249374664647</v>
      </c>
      <c r="W39" s="7">
        <f>'B-FTE Apr'!W39/2</f>
        <v>9.8163833973140981</v>
      </c>
      <c r="X39" s="7">
        <f>'B-FTE Apr'!X39/2</f>
        <v>7.7366411521204324</v>
      </c>
      <c r="Y39" s="7">
        <f>'B-FTE Apr'!Y39/2</f>
        <v>11.859152447037653</v>
      </c>
      <c r="Z39" s="7">
        <f>'B-FTE Apr'!Z39/2</f>
        <v>0</v>
      </c>
      <c r="AA39" s="7">
        <f>'B-FTE Apr'!AA39/2</f>
        <v>0</v>
      </c>
      <c r="AB39" s="7">
        <f>'B-FTE Apr'!AB39/2</f>
        <v>16.050988483461328</v>
      </c>
      <c r="AC39" s="7">
        <f>'B-FTE Apr'!AC39/2</f>
        <v>10.121412259942502</v>
      </c>
      <c r="AD39" s="7">
        <f>'B-FTE Apr'!AD39/2</f>
        <v>9.1231359822495435</v>
      </c>
      <c r="AE39" s="7">
        <f>'B-FTE Apr'!AE39/2</f>
        <v>7.6719380600477427</v>
      </c>
      <c r="AF39" s="7"/>
    </row>
    <row r="40" spans="1:32" x14ac:dyDescent="0.25">
      <c r="A40" s="3" t="s">
        <v>45</v>
      </c>
      <c r="B40" s="7">
        <f>'B-FTE Apr'!B40/2</f>
        <v>8.3513205268110067</v>
      </c>
      <c r="C40" s="7">
        <f>'B-FTE Apr'!C40/2</f>
        <v>7.0480153864896424</v>
      </c>
      <c r="D40" s="7">
        <f>'B-FTE Apr'!D40/2</f>
        <v>10.999525652357605</v>
      </c>
      <c r="E40" s="7">
        <f>'B-FTE Apr'!E40/2</f>
        <v>0</v>
      </c>
      <c r="F40" s="7">
        <f>'B-FTE Apr'!F40/2</f>
        <v>0</v>
      </c>
      <c r="G40" s="7">
        <f>'B-FTE Apr'!G40/2</f>
        <v>15.658148281591416</v>
      </c>
      <c r="H40" s="7">
        <f>'B-FTE Apr'!H40/2</f>
        <v>7.9446153766398009</v>
      </c>
      <c r="I40" s="7">
        <f>'B-FTE Apr'!I40/2</f>
        <v>7.547153525336121</v>
      </c>
      <c r="J40" s="7">
        <f>'B-FTE Apr'!J40/2</f>
        <v>6.30855147708745</v>
      </c>
      <c r="K40" s="7">
        <f>'B-FTE Apr'!K40/2</f>
        <v>9.663868965999896</v>
      </c>
      <c r="L40" s="7">
        <f>'B-FTE Apr'!L40/2</f>
        <v>0</v>
      </c>
      <c r="M40" s="7">
        <f>'B-FTE Apr'!M40/2</f>
        <v>0</v>
      </c>
      <c r="N40" s="7">
        <f>'B-FTE Apr'!N40/2</f>
        <v>13.772515312615825</v>
      </c>
      <c r="O40" s="7">
        <f>'B-FTE Apr'!O40/2</f>
        <v>7.5517751747698849</v>
      </c>
      <c r="P40" s="7">
        <f>'B-FTE Apr'!P40/2</f>
        <v>7.6626947611802132</v>
      </c>
      <c r="Q40" s="7">
        <f>'B-FTE Apr'!Q40/2</f>
        <v>6.4148494140640162</v>
      </c>
      <c r="R40" s="7">
        <f>'B-FTE Apr'!R40/2</f>
        <v>9.298758660732565</v>
      </c>
      <c r="S40" s="7">
        <f>'B-FTE Apr'!S40/2</f>
        <v>0</v>
      </c>
      <c r="T40" s="7">
        <f>'B-FTE Apr'!T40/2</f>
        <v>0</v>
      </c>
      <c r="U40" s="7">
        <f>'B-FTE Apr'!U40/2</f>
        <v>14.211572008823378</v>
      </c>
      <c r="V40" s="7">
        <f>'B-FTE Apr'!V40/2</f>
        <v>7.4269906400582659</v>
      </c>
      <c r="W40" s="7">
        <f>'B-FTE Apr'!W40/2</f>
        <v>7.3761524962868652</v>
      </c>
      <c r="X40" s="7">
        <f>'B-FTE Apr'!X40/2</f>
        <v>6.1421720974719571</v>
      </c>
      <c r="Y40" s="7">
        <f>'B-FTE Apr'!Y40/2</f>
        <v>9.4512730920467654</v>
      </c>
      <c r="Z40" s="7">
        <f>'B-FTE Apr'!Z40/2</f>
        <v>0</v>
      </c>
      <c r="AA40" s="7">
        <f>'B-FTE Apr'!AA40/2</f>
        <v>0</v>
      </c>
      <c r="AB40" s="7">
        <f>'B-FTE Apr'!AB40/2</f>
        <v>13.236403978299236</v>
      </c>
      <c r="AC40" s="7">
        <f>'B-FTE Apr'!AC40/2</f>
        <v>7.4870720826971935</v>
      </c>
      <c r="AD40" s="7">
        <f>'B-FTE Apr'!AD40/2</f>
        <v>6.8169329148014564</v>
      </c>
      <c r="AE40" s="7">
        <f>'B-FTE Apr'!AE40/2</f>
        <v>6.1375504480381933</v>
      </c>
      <c r="AF40" s="7"/>
    </row>
    <row r="41" spans="1:32" x14ac:dyDescent="0.25">
      <c r="A41" s="3" t="s">
        <v>46</v>
      </c>
      <c r="B41" s="7">
        <f>'B-FTE Apr'!B41/2</f>
        <v>6.7799597193313481</v>
      </c>
      <c r="C41" s="7">
        <f>'B-FTE Apr'!C41/2</f>
        <v>5.6199257114566592</v>
      </c>
      <c r="D41" s="7">
        <f>'B-FTE Apr'!D41/2</f>
        <v>9.2756504135637456</v>
      </c>
      <c r="E41" s="7">
        <f>'B-FTE Apr'!E41/2</f>
        <v>0</v>
      </c>
      <c r="F41" s="7">
        <f>'B-FTE Apr'!F41/2</f>
        <v>0</v>
      </c>
      <c r="G41" s="7">
        <f>'B-FTE Apr'!G41/2</f>
        <v>11.826800901001308</v>
      </c>
      <c r="H41" s="7">
        <f>'B-FTE Apr'!H41/2</f>
        <v>6.1236854997369026</v>
      </c>
      <c r="I41" s="7">
        <f>'B-FTE Apr'!I41/2</f>
        <v>6.1005772525680833</v>
      </c>
      <c r="J41" s="7">
        <f>'B-FTE Apr'!J41/2</f>
        <v>4.991381388464796</v>
      </c>
      <c r="K41" s="7">
        <f>'B-FTE Apr'!K41/2</f>
        <v>8.1895627966292768</v>
      </c>
      <c r="L41" s="7">
        <f>'B-FTE Apr'!L41/2</f>
        <v>0</v>
      </c>
      <c r="M41" s="7">
        <f>'B-FTE Apr'!M41/2</f>
        <v>0</v>
      </c>
      <c r="N41" s="7">
        <f>'B-FTE Apr'!N41/2</f>
        <v>10.486522565209835</v>
      </c>
      <c r="O41" s="7">
        <f>'B-FTE Apr'!O41/2</f>
        <v>5.8602514820123703</v>
      </c>
      <c r="P41" s="7">
        <f>'B-FTE Apr'!P41/2</f>
        <v>6.2161184884121754</v>
      </c>
      <c r="Q41" s="7">
        <f>'B-FTE Apr'!Q41/2</f>
        <v>5.1023009748751242</v>
      </c>
      <c r="R41" s="7">
        <f>'B-FTE Apr'!R41/2</f>
        <v>7.8059658936268885</v>
      </c>
      <c r="S41" s="7">
        <f>'B-FTE Apr'!S41/2</f>
        <v>0</v>
      </c>
      <c r="T41" s="7">
        <f>'B-FTE Apr'!T41/2</f>
        <v>0</v>
      </c>
      <c r="U41" s="7">
        <f>'B-FTE Apr'!U41/2</f>
        <v>10.851632870477168</v>
      </c>
      <c r="V41" s="7">
        <f>'B-FTE Apr'!V41/2</f>
        <v>5.8325215854097889</v>
      </c>
      <c r="W41" s="7">
        <f>'B-FTE Apr'!W41/2</f>
        <v>6.0404958099291557</v>
      </c>
      <c r="X41" s="7">
        <f>'B-FTE Apr'!X41/2</f>
        <v>4.9312999458258675</v>
      </c>
      <c r="Y41" s="7">
        <f>'B-FTE Apr'!Y41/2</f>
        <v>8.1202380551228206</v>
      </c>
      <c r="Z41" s="7">
        <f>'B-FTE Apr'!Z41/2</f>
        <v>0</v>
      </c>
      <c r="AA41" s="7">
        <f>'B-FTE Apr'!AA41/2</f>
        <v>0</v>
      </c>
      <c r="AB41" s="7">
        <f>'B-FTE Apr'!AB41/2</f>
        <v>10.052087518436048</v>
      </c>
      <c r="AC41" s="7">
        <f>'B-FTE Apr'!AC41/2</f>
        <v>5.8371432348435528</v>
      </c>
      <c r="AD41" s="7">
        <f>'B-FTE Apr'!AD41/2</f>
        <v>5.670763855228059</v>
      </c>
      <c r="AE41" s="7">
        <f>'B-FTE Apr'!AE41/2</f>
        <v>4.8619752043194122</v>
      </c>
      <c r="AF41" s="7"/>
    </row>
    <row r="42" spans="1:32" x14ac:dyDescent="0.25">
      <c r="A42" s="3" t="s">
        <v>47</v>
      </c>
      <c r="B42" s="7">
        <f>'B-FTE Apr'!B42/2</f>
        <v>5.6430339586254776</v>
      </c>
      <c r="C42" s="7">
        <f>'B-FTE Apr'!C42/2</f>
        <v>4.3720803643404604</v>
      </c>
      <c r="D42" s="7">
        <f>'B-FTE Apr'!D42/2</f>
        <v>7.6765597094815048</v>
      </c>
      <c r="E42" s="7">
        <f>'B-FTE Apr'!E42/2</f>
        <v>0</v>
      </c>
      <c r="F42" s="7">
        <f>'B-FTE Apr'!F42/2</f>
        <v>0</v>
      </c>
      <c r="G42" s="7">
        <f>'B-FTE Apr'!G42/2</f>
        <v>9.4327864943117117</v>
      </c>
      <c r="H42" s="7">
        <f>'B-FTE Apr'!H42/2</f>
        <v>5.0838143771400697</v>
      </c>
      <c r="I42" s="7">
        <f>'B-FTE Apr'!I42/2</f>
        <v>5.0838143771400697</v>
      </c>
      <c r="J42" s="7">
        <f>'B-FTE Apr'!J42/2</f>
        <v>3.8821855243615078</v>
      </c>
      <c r="K42" s="7">
        <f>'B-FTE Apr'!K42/2</f>
        <v>6.7106349778248919</v>
      </c>
      <c r="L42" s="7">
        <f>'B-FTE Apr'!L42/2</f>
        <v>0</v>
      </c>
      <c r="M42" s="7">
        <f>'B-FTE Apr'!M42/2</f>
        <v>0</v>
      </c>
      <c r="N42" s="7">
        <f>'B-FTE Apr'!N42/2</f>
        <v>8.4899700098239173</v>
      </c>
      <c r="O42" s="7">
        <f>'B-FTE Apr'!O42/2</f>
        <v>4.9451648941271582</v>
      </c>
      <c r="P42" s="7">
        <f>'B-FTE Apr'!P42/2</f>
        <v>5.2085989118516896</v>
      </c>
      <c r="Q42" s="7">
        <f>'B-FTE Apr'!Q42/2</f>
        <v>3.9931051107718369</v>
      </c>
      <c r="R42" s="7">
        <f>'B-FTE Apr'!R42/2</f>
        <v>6.4980391038717613</v>
      </c>
      <c r="S42" s="7">
        <f>'B-FTE Apr'!S42/2</f>
        <v>0</v>
      </c>
      <c r="T42" s="7">
        <f>'B-FTE Apr'!T42/2</f>
        <v>0</v>
      </c>
      <c r="U42" s="7">
        <f>'B-FTE Apr'!U42/2</f>
        <v>8.6286194928368278</v>
      </c>
      <c r="V42" s="7">
        <f>'B-FTE Apr'!V42/2</f>
        <v>4.8989483997895222</v>
      </c>
      <c r="W42" s="7">
        <f>'B-FTE Apr'!W42/2</f>
        <v>5.0144896356336144</v>
      </c>
      <c r="X42" s="7">
        <f>'B-FTE Apr'!X42/2</f>
        <v>3.8082391334212886</v>
      </c>
      <c r="Y42" s="7">
        <f>'B-FTE Apr'!Y42/2</f>
        <v>6.6043370408483266</v>
      </c>
      <c r="Z42" s="7">
        <f>'B-FTE Apr'!Z42/2</f>
        <v>0</v>
      </c>
      <c r="AA42" s="7">
        <f>'B-FTE Apr'!AA42/2</f>
        <v>0</v>
      </c>
      <c r="AB42" s="7">
        <f>'B-FTE Apr'!AB42/2</f>
        <v>8.106373106821529</v>
      </c>
      <c r="AC42" s="7">
        <f>'B-FTE Apr'!AC42/2</f>
        <v>4.9451648941271582</v>
      </c>
      <c r="AD42" s="7">
        <f>'B-FTE Apr'!AD42/2</f>
        <v>4.6771092269688639</v>
      </c>
      <c r="AE42" s="7">
        <f>'B-FTE Apr'!AE42/2</f>
        <v>3.7805092368187059</v>
      </c>
      <c r="AF42" s="7"/>
    </row>
    <row r="43" spans="1:32" x14ac:dyDescent="0.25">
      <c r="A43" s="3" t="s">
        <v>48</v>
      </c>
      <c r="B43" s="7">
        <f>'B-FTE Apr'!B43/2</f>
        <v>4.9405432446933943</v>
      </c>
      <c r="C43" s="7">
        <f>'B-FTE Apr'!C43/2</f>
        <v>4.0624298522782922</v>
      </c>
      <c r="D43" s="7">
        <f>'B-FTE Apr'!D43/2</f>
        <v>6.2068751895446486</v>
      </c>
      <c r="E43" s="7">
        <f>'B-FTE Apr'!E43/2</f>
        <v>0</v>
      </c>
      <c r="F43" s="7">
        <f>'B-FTE Apr'!F43/2</f>
        <v>0</v>
      </c>
      <c r="G43" s="7">
        <f>'B-FTE Apr'!G43/2</f>
        <v>8.4252669177512249</v>
      </c>
      <c r="H43" s="7">
        <f>'B-FTE Apr'!H43/2</f>
        <v>4.4136752092443334</v>
      </c>
      <c r="I43" s="7">
        <f>'B-FTE Apr'!I43/2</f>
        <v>4.4922432496183164</v>
      </c>
      <c r="J43" s="7">
        <f>'B-FTE Apr'!J43/2</f>
        <v>3.6649680009746137</v>
      </c>
      <c r="K43" s="7">
        <f>'B-FTE Apr'!K43/2</f>
        <v>5.4443030329736386</v>
      </c>
      <c r="L43" s="7">
        <f>'B-FTE Apr'!L43/2</f>
        <v>0</v>
      </c>
      <c r="M43" s="7">
        <f>'B-FTE Apr'!M43/2</f>
        <v>0</v>
      </c>
      <c r="N43" s="7">
        <f>'B-FTE Apr'!N43/2</f>
        <v>7.5702617725049395</v>
      </c>
      <c r="O43" s="7">
        <f>'B-FTE Apr'!O43/2</f>
        <v>4.275025726231422</v>
      </c>
      <c r="P43" s="7">
        <f>'B-FTE Apr'!P43/2</f>
        <v>4.630892732631227</v>
      </c>
      <c r="Q43" s="7">
        <f>'B-FTE Apr'!Q43/2</f>
        <v>3.7897525356862332</v>
      </c>
      <c r="R43" s="7">
        <f>'B-FTE Apr'!R43/2</f>
        <v>5.2409504578880348</v>
      </c>
      <c r="S43" s="7">
        <f>'B-FTE Apr'!S43/2</f>
        <v>0</v>
      </c>
      <c r="T43" s="7">
        <f>'B-FTE Apr'!T43/2</f>
        <v>0</v>
      </c>
      <c r="U43" s="7">
        <f>'B-FTE Apr'!U43/2</f>
        <v>7.6950463072165594</v>
      </c>
      <c r="V43" s="7">
        <f>'B-FTE Apr'!V43/2</f>
        <v>4.2149442835924935</v>
      </c>
      <c r="W43" s="7">
        <f>'B-FTE Apr'!W43/2</f>
        <v>4.4044319103768057</v>
      </c>
      <c r="X43" s="7">
        <f>'B-FTE Apr'!X43/2</f>
        <v>3.57253501229934</v>
      </c>
      <c r="Y43" s="7">
        <f>'B-FTE Apr'!Y43/2</f>
        <v>5.3241401476957817</v>
      </c>
      <c r="Z43" s="7">
        <f>'B-FTE Apr'!Z43/2</f>
        <v>0</v>
      </c>
      <c r="AA43" s="7">
        <f>'B-FTE Apr'!AA43/2</f>
        <v>0</v>
      </c>
      <c r="AB43" s="7">
        <f>'B-FTE Apr'!AB43/2</f>
        <v>7.1912865189363169</v>
      </c>
      <c r="AC43" s="7">
        <f>'B-FTE Apr'!AC43/2</f>
        <v>4.1733494386886205</v>
      </c>
      <c r="AD43" s="7">
        <f>'B-FTE Apr'!AD43/2</f>
        <v>4.0855380994471107</v>
      </c>
      <c r="AE43" s="7">
        <f>'B-FTE Apr'!AE43/2</f>
        <v>3.5632917134318127</v>
      </c>
      <c r="AF43" s="7"/>
    </row>
    <row r="44" spans="1:32" x14ac:dyDescent="0.25">
      <c r="A44" s="3" t="s">
        <v>49</v>
      </c>
      <c r="B44" s="7">
        <f>'B-FTE Apr'!B44/2</f>
        <v>4.1825927375561491</v>
      </c>
      <c r="C44" s="7">
        <f>'B-FTE Apr'!C44/2</f>
        <v>3.7435360413485967</v>
      </c>
      <c r="D44" s="7">
        <f>'B-FTE Apr'!D44/2</f>
        <v>5.4812762284437477</v>
      </c>
      <c r="E44" s="7">
        <f>'B-FTE Apr'!E44/2</f>
        <v>0</v>
      </c>
      <c r="F44" s="7">
        <f>'B-FTE Apr'!F44/2</f>
        <v>0</v>
      </c>
      <c r="G44" s="7">
        <f>'B-FTE Apr'!G44/2</f>
        <v>6.2946865287861584</v>
      </c>
      <c r="H44" s="7">
        <f>'B-FTE Apr'!H44/2</f>
        <v>4.0023484096393638</v>
      </c>
      <c r="I44" s="7">
        <f>'B-FTE Apr'!I44/2</f>
        <v>3.8821855243615078</v>
      </c>
      <c r="J44" s="7">
        <f>'B-FTE Apr'!J44/2</f>
        <v>3.3460741900449187</v>
      </c>
      <c r="K44" s="7">
        <f>'B-FTE Apr'!K44/2</f>
        <v>4.7418123190415553</v>
      </c>
      <c r="L44" s="7">
        <f>'B-FTE Apr'!L44/2</f>
        <v>0</v>
      </c>
      <c r="M44" s="7">
        <f>'B-FTE Apr'!M44/2</f>
        <v>0</v>
      </c>
      <c r="N44" s="7">
        <f>'B-FTE Apr'!N44/2</f>
        <v>5.7354669473007522</v>
      </c>
      <c r="O44" s="7">
        <f>'B-FTE Apr'!O44/2</f>
        <v>3.8636989266264528</v>
      </c>
      <c r="P44" s="7">
        <f>'B-FTE Apr'!P44/2</f>
        <v>4.0208350073744183</v>
      </c>
      <c r="Q44" s="7">
        <f>'B-FTE Apr'!Q44/2</f>
        <v>3.336830891177391</v>
      </c>
      <c r="R44" s="7">
        <f>'B-FTE Apr'!R44/2</f>
        <v>4.5384597439559533</v>
      </c>
      <c r="S44" s="7">
        <f>'B-FTE Apr'!S44/2</f>
        <v>0</v>
      </c>
      <c r="T44" s="7">
        <f>'B-FTE Apr'!T44/2</f>
        <v>0</v>
      </c>
      <c r="U44" s="7">
        <f>'B-FTE Apr'!U44/2</f>
        <v>5.827899935976026</v>
      </c>
      <c r="V44" s="7">
        <f>'B-FTE Apr'!V44/2</f>
        <v>3.7989958345537618</v>
      </c>
      <c r="W44" s="7">
        <f>'B-FTE Apr'!W44/2</f>
        <v>3.7805092368187059</v>
      </c>
      <c r="X44" s="7">
        <f>'B-FTE Apr'!X44/2</f>
        <v>3.2490195519358807</v>
      </c>
      <c r="Y44" s="7">
        <f>'B-FTE Apr'!Y44/2</f>
        <v>4.7972721122467208</v>
      </c>
      <c r="Z44" s="7">
        <f>'B-FTE Apr'!Z44/2</f>
        <v>0</v>
      </c>
      <c r="AA44" s="7">
        <f>'B-FTE Apr'!AA44/2</f>
        <v>0</v>
      </c>
      <c r="AB44" s="7">
        <f>'B-FTE Apr'!AB44/2</f>
        <v>5.4211947858048202</v>
      </c>
      <c r="AC44" s="7">
        <f>'B-FTE Apr'!AC44/2</f>
        <v>3.771265937951179</v>
      </c>
      <c r="AD44" s="7">
        <f>'B-FTE Apr'!AD44/2</f>
        <v>3.6372381043720319</v>
      </c>
      <c r="AE44" s="7">
        <f>'B-FTE Apr'!AE44/2</f>
        <v>3.2582628508034079</v>
      </c>
      <c r="AF44" s="7"/>
    </row>
    <row r="45" spans="1:32" x14ac:dyDescent="0.25">
      <c r="A45" s="3" t="s">
        <v>50</v>
      </c>
      <c r="B45" s="7">
        <f>'B-FTE Apr'!B45/2</f>
        <v>0</v>
      </c>
      <c r="C45" s="7">
        <f>'B-FTE Apr'!C45/2</f>
        <v>0</v>
      </c>
      <c r="D45" s="7">
        <f>'B-FTE Apr'!D45/2</f>
        <v>0</v>
      </c>
      <c r="E45" s="7">
        <f>'B-FTE Apr'!E45/2</f>
        <v>0</v>
      </c>
      <c r="F45" s="7">
        <f>'B-FTE Apr'!F45/2</f>
        <v>0</v>
      </c>
      <c r="G45" s="7">
        <f>'B-FTE Apr'!G45/2</f>
        <v>0</v>
      </c>
      <c r="H45" s="7">
        <f>'B-FTE Apr'!H45/2</f>
        <v>0</v>
      </c>
      <c r="I45" s="7">
        <f>'B-FTE Apr'!I45/2</f>
        <v>0</v>
      </c>
      <c r="J45" s="7">
        <f>'B-FTE Apr'!J45/2</f>
        <v>0</v>
      </c>
      <c r="K45" s="7">
        <f>'B-FTE Apr'!K45/2</f>
        <v>0</v>
      </c>
      <c r="L45" s="7">
        <f>'B-FTE Apr'!L45/2</f>
        <v>0</v>
      </c>
      <c r="M45" s="7">
        <f>'B-FTE Apr'!M45/2</f>
        <v>0</v>
      </c>
      <c r="N45" s="7">
        <f>'B-FTE Apr'!N45/2</f>
        <v>0</v>
      </c>
      <c r="O45" s="7">
        <f>'B-FTE Apr'!O45/2</f>
        <v>0</v>
      </c>
      <c r="P45" s="7">
        <f>'B-FTE Apr'!P45/2</f>
        <v>0</v>
      </c>
      <c r="Q45" s="7">
        <f>'B-FTE Apr'!Q45/2</f>
        <v>0</v>
      </c>
      <c r="R45" s="7">
        <f>'B-FTE Apr'!R45/2</f>
        <v>0</v>
      </c>
      <c r="S45" s="7">
        <f>'B-FTE Apr'!S45/2</f>
        <v>0</v>
      </c>
      <c r="T45" s="7">
        <f>'B-FTE Apr'!T45/2</f>
        <v>0</v>
      </c>
      <c r="U45" s="7">
        <f>'B-FTE Apr'!U45/2</f>
        <v>0</v>
      </c>
      <c r="V45" s="7">
        <f>'B-FTE Apr'!V45/2</f>
        <v>0</v>
      </c>
      <c r="W45" s="7">
        <f>'B-FTE Apr'!W45/2</f>
        <v>0</v>
      </c>
      <c r="X45" s="7">
        <f>'B-FTE Apr'!X45/2</f>
        <v>0</v>
      </c>
      <c r="Y45" s="7">
        <f>'B-FTE Apr'!Y45/2</f>
        <v>0</v>
      </c>
      <c r="Z45" s="7">
        <f>'B-FTE Apr'!Z45/2</f>
        <v>0</v>
      </c>
      <c r="AA45" s="7">
        <f>'B-FTE Apr'!AA45/2</f>
        <v>0</v>
      </c>
      <c r="AB45" s="7">
        <f>'B-FTE Apr'!AB45/2</f>
        <v>0</v>
      </c>
      <c r="AC45" s="7">
        <f>'B-FTE Apr'!AC45/2</f>
        <v>0</v>
      </c>
      <c r="AD45" s="7">
        <f>'B-FTE Apr'!AD45/2</f>
        <v>0</v>
      </c>
      <c r="AE45" s="7">
        <f>'B-FTE Apr'!AE45/2</f>
        <v>0</v>
      </c>
      <c r="AF45" s="7"/>
    </row>
    <row r="46" spans="1:32" x14ac:dyDescent="0.25">
      <c r="A46" s="3" t="s">
        <v>51</v>
      </c>
      <c r="B46" s="7">
        <f>'B-FTE Apr'!B46/2</f>
        <v>0</v>
      </c>
      <c r="C46" s="7">
        <f>'B-FTE Apr'!C46/2</f>
        <v>0</v>
      </c>
      <c r="D46" s="7">
        <f>'B-FTE Apr'!D46/2</f>
        <v>0</v>
      </c>
      <c r="E46" s="7">
        <f>'B-FTE Apr'!E46/2</f>
        <v>0</v>
      </c>
      <c r="F46" s="7">
        <f>'B-FTE Apr'!F46/2</f>
        <v>0</v>
      </c>
      <c r="G46" s="7">
        <f>'B-FTE Apr'!G46/2</f>
        <v>0</v>
      </c>
      <c r="H46" s="7">
        <f>'B-FTE Apr'!H46/2</f>
        <v>0</v>
      </c>
      <c r="I46" s="7">
        <f>'B-FTE Apr'!I46/2</f>
        <v>0</v>
      </c>
      <c r="J46" s="7">
        <f>'B-FTE Apr'!J46/2</f>
        <v>0</v>
      </c>
      <c r="K46" s="7">
        <f>'B-FTE Apr'!K46/2</f>
        <v>0</v>
      </c>
      <c r="L46" s="7">
        <f>'B-FTE Apr'!L46/2</f>
        <v>0</v>
      </c>
      <c r="M46" s="7">
        <f>'B-FTE Apr'!M46/2</f>
        <v>0</v>
      </c>
      <c r="N46" s="7">
        <f>'B-FTE Apr'!N46/2</f>
        <v>0</v>
      </c>
      <c r="O46" s="7">
        <f>'B-FTE Apr'!O46/2</f>
        <v>0</v>
      </c>
      <c r="P46" s="7">
        <f>'B-FTE Apr'!P46/2</f>
        <v>0</v>
      </c>
      <c r="Q46" s="7">
        <f>'B-FTE Apr'!Q46/2</f>
        <v>0</v>
      </c>
      <c r="R46" s="7">
        <f>'B-FTE Apr'!R46/2</f>
        <v>0</v>
      </c>
      <c r="S46" s="7">
        <f>'B-FTE Apr'!S46/2</f>
        <v>0</v>
      </c>
      <c r="T46" s="7">
        <f>'B-FTE Apr'!T46/2</f>
        <v>0</v>
      </c>
      <c r="U46" s="7">
        <f>'B-FTE Apr'!U46/2</f>
        <v>0</v>
      </c>
      <c r="V46" s="7">
        <f>'B-FTE Apr'!V46/2</f>
        <v>0</v>
      </c>
      <c r="W46" s="7">
        <f>'B-FTE Apr'!W46/2</f>
        <v>0</v>
      </c>
      <c r="X46" s="7">
        <f>'B-FTE Apr'!X46/2</f>
        <v>0</v>
      </c>
      <c r="Y46" s="7">
        <f>'B-FTE Apr'!Y46/2</f>
        <v>0</v>
      </c>
      <c r="Z46" s="7">
        <f>'B-FTE Apr'!Z46/2</f>
        <v>0</v>
      </c>
      <c r="AA46" s="7">
        <f>'B-FTE Apr'!AA46/2</f>
        <v>0</v>
      </c>
      <c r="AB46" s="7">
        <f>'B-FTE Apr'!AB46/2</f>
        <v>0</v>
      </c>
      <c r="AC46" s="7">
        <f>'B-FTE Apr'!AC46/2</f>
        <v>0</v>
      </c>
      <c r="AD46" s="7">
        <f>'B-FTE Apr'!AD46/2</f>
        <v>0</v>
      </c>
      <c r="AE46" s="7">
        <f>'B-FTE Apr'!AE46/2</f>
        <v>0</v>
      </c>
      <c r="AF46" s="7"/>
    </row>
    <row r="47" spans="1:32" x14ac:dyDescent="0.25">
      <c r="A47" s="3" t="s">
        <v>52</v>
      </c>
      <c r="B47" s="7">
        <f>'B-FTE Apr'!B47/2</f>
        <v>0</v>
      </c>
      <c r="C47" s="7">
        <f>'B-FTE Apr'!C47/2</f>
        <v>0</v>
      </c>
      <c r="D47" s="7">
        <f>'B-FTE Apr'!D47/2</f>
        <v>0</v>
      </c>
      <c r="E47" s="7">
        <f>'B-FTE Apr'!E47/2</f>
        <v>0</v>
      </c>
      <c r="F47" s="7">
        <f>'B-FTE Apr'!F47/2</f>
        <v>0</v>
      </c>
      <c r="G47" s="7">
        <f>'B-FTE Apr'!G47/2</f>
        <v>0</v>
      </c>
      <c r="H47" s="7">
        <f>'B-FTE Apr'!H47/2</f>
        <v>0</v>
      </c>
      <c r="I47" s="7">
        <f>'B-FTE Apr'!I47/2</f>
        <v>0</v>
      </c>
      <c r="J47" s="7">
        <f>'B-FTE Apr'!J47/2</f>
        <v>0</v>
      </c>
      <c r="K47" s="7">
        <f>'B-FTE Apr'!K47/2</f>
        <v>0</v>
      </c>
      <c r="L47" s="7">
        <f>'B-FTE Apr'!L47/2</f>
        <v>0</v>
      </c>
      <c r="M47" s="7">
        <f>'B-FTE Apr'!M47/2</f>
        <v>0</v>
      </c>
      <c r="N47" s="7">
        <f>'B-FTE Apr'!N47/2</f>
        <v>0</v>
      </c>
      <c r="O47" s="7">
        <f>'B-FTE Apr'!O47/2</f>
        <v>0</v>
      </c>
      <c r="P47" s="7">
        <f>'B-FTE Apr'!P47/2</f>
        <v>0</v>
      </c>
      <c r="Q47" s="7">
        <f>'B-FTE Apr'!Q47/2</f>
        <v>0</v>
      </c>
      <c r="R47" s="7">
        <f>'B-FTE Apr'!R47/2</f>
        <v>0</v>
      </c>
      <c r="S47" s="7">
        <f>'B-FTE Apr'!S47/2</f>
        <v>0</v>
      </c>
      <c r="T47" s="7">
        <f>'B-FTE Apr'!T47/2</f>
        <v>0</v>
      </c>
      <c r="U47" s="7">
        <f>'B-FTE Apr'!U47/2</f>
        <v>0</v>
      </c>
      <c r="V47" s="7">
        <f>'B-FTE Apr'!V47/2</f>
        <v>0</v>
      </c>
      <c r="W47" s="7">
        <f>'B-FTE Apr'!W47/2</f>
        <v>0</v>
      </c>
      <c r="X47" s="7">
        <f>'B-FTE Apr'!X47/2</f>
        <v>0</v>
      </c>
      <c r="Y47" s="7">
        <f>'B-FTE Apr'!Y47/2</f>
        <v>0</v>
      </c>
      <c r="Z47" s="7">
        <f>'B-FTE Apr'!Z47/2</f>
        <v>0</v>
      </c>
      <c r="AA47" s="7">
        <f>'B-FTE Apr'!AA47/2</f>
        <v>0</v>
      </c>
      <c r="AB47" s="7">
        <f>'B-FTE Apr'!AB47/2</f>
        <v>0</v>
      </c>
      <c r="AC47" s="7">
        <f>'B-FTE Apr'!AC47/2</f>
        <v>0</v>
      </c>
      <c r="AD47" s="7">
        <f>'B-FTE Apr'!AD47/2</f>
        <v>0</v>
      </c>
      <c r="AE47" s="7">
        <f>'B-FTE Apr'!AE47/2</f>
        <v>0</v>
      </c>
      <c r="AF47" s="7"/>
    </row>
    <row r="48" spans="1:32" x14ac:dyDescent="0.25">
      <c r="A48" s="3" t="s">
        <v>53</v>
      </c>
      <c r="B48" s="7">
        <f>'B-FTE Apr'!B48/2</f>
        <v>0</v>
      </c>
      <c r="C48" s="7">
        <f>'B-FTE Apr'!C48/2</f>
        <v>0</v>
      </c>
      <c r="D48" s="7">
        <f>'B-FTE Apr'!D48/2</f>
        <v>0</v>
      </c>
      <c r="E48" s="7">
        <f>'B-FTE Apr'!E48/2</f>
        <v>0</v>
      </c>
      <c r="F48" s="7">
        <f>'B-FTE Apr'!F48/2</f>
        <v>0</v>
      </c>
      <c r="G48" s="7">
        <f>'B-FTE Apr'!G48/2</f>
        <v>0</v>
      </c>
      <c r="H48" s="7">
        <f>'B-FTE Apr'!H48/2</f>
        <v>0</v>
      </c>
      <c r="I48" s="7">
        <f>'B-FTE Apr'!I48/2</f>
        <v>0</v>
      </c>
      <c r="J48" s="7">
        <f>'B-FTE Apr'!J48/2</f>
        <v>0</v>
      </c>
      <c r="K48" s="7">
        <f>'B-FTE Apr'!K48/2</f>
        <v>0</v>
      </c>
      <c r="L48" s="7">
        <f>'B-FTE Apr'!L48/2</f>
        <v>0</v>
      </c>
      <c r="M48" s="7">
        <f>'B-FTE Apr'!M48/2</f>
        <v>0</v>
      </c>
      <c r="N48" s="7">
        <f>'B-FTE Apr'!N48/2</f>
        <v>0</v>
      </c>
      <c r="O48" s="7">
        <f>'B-FTE Apr'!O48/2</f>
        <v>0</v>
      </c>
      <c r="P48" s="7">
        <f>'B-FTE Apr'!P48/2</f>
        <v>0</v>
      </c>
      <c r="Q48" s="7">
        <f>'B-FTE Apr'!Q48/2</f>
        <v>0</v>
      </c>
      <c r="R48" s="7">
        <f>'B-FTE Apr'!R48/2</f>
        <v>0</v>
      </c>
      <c r="S48" s="7">
        <f>'B-FTE Apr'!S48/2</f>
        <v>0</v>
      </c>
      <c r="T48" s="7">
        <f>'B-FTE Apr'!T48/2</f>
        <v>0</v>
      </c>
      <c r="U48" s="7">
        <f>'B-FTE Apr'!U48/2</f>
        <v>0</v>
      </c>
      <c r="V48" s="7">
        <f>'B-FTE Apr'!V48/2</f>
        <v>0</v>
      </c>
      <c r="W48" s="7">
        <f>'B-FTE Apr'!W48/2</f>
        <v>0</v>
      </c>
      <c r="X48" s="7">
        <f>'B-FTE Apr'!X48/2</f>
        <v>0</v>
      </c>
      <c r="Y48" s="7">
        <f>'B-FTE Apr'!Y48/2</f>
        <v>0</v>
      </c>
      <c r="Z48" s="7">
        <f>'B-FTE Apr'!Z48/2</f>
        <v>0</v>
      </c>
      <c r="AA48" s="7">
        <f>'B-FTE Apr'!AA48/2</f>
        <v>0</v>
      </c>
      <c r="AB48" s="7">
        <f>'B-FTE Apr'!AB48/2</f>
        <v>0</v>
      </c>
      <c r="AC48" s="7">
        <f>'B-FTE Apr'!AC48/2</f>
        <v>0</v>
      </c>
      <c r="AD48" s="7">
        <f>'B-FTE Apr'!AD48/2</f>
        <v>0</v>
      </c>
      <c r="AE48" s="7">
        <f>'B-FTE Apr'!AE48/2</f>
        <v>0</v>
      </c>
      <c r="AF48" s="7"/>
    </row>
    <row r="49" spans="1:33" x14ac:dyDescent="0.25">
      <c r="A49" s="3" t="s">
        <v>54</v>
      </c>
      <c r="B49" s="7">
        <f>'B-FTE Apr'!B49/2</f>
        <v>0</v>
      </c>
      <c r="C49" s="7">
        <f>'B-FTE Apr'!C49/2</f>
        <v>0</v>
      </c>
      <c r="D49" s="7">
        <f>'B-FTE Apr'!D49/2</f>
        <v>0</v>
      </c>
      <c r="E49" s="7">
        <f>'B-FTE Apr'!E49/2</f>
        <v>0</v>
      </c>
      <c r="F49" s="7">
        <f>'B-FTE Apr'!F49/2</f>
        <v>0</v>
      </c>
      <c r="G49" s="7">
        <f>'B-FTE Apr'!G49/2</f>
        <v>0</v>
      </c>
      <c r="H49" s="7">
        <f>'B-FTE Apr'!H49/2</f>
        <v>0</v>
      </c>
      <c r="I49" s="7">
        <f>'B-FTE Apr'!I49/2</f>
        <v>0</v>
      </c>
      <c r="J49" s="7">
        <f>'B-FTE Apr'!J49/2</f>
        <v>0</v>
      </c>
      <c r="K49" s="7">
        <f>'B-FTE Apr'!K49/2</f>
        <v>0</v>
      </c>
      <c r="L49" s="7">
        <f>'B-FTE Apr'!L49/2</f>
        <v>0</v>
      </c>
      <c r="M49" s="7">
        <f>'B-FTE Apr'!M49/2</f>
        <v>0</v>
      </c>
      <c r="N49" s="7">
        <f>'B-FTE Apr'!N49/2</f>
        <v>0</v>
      </c>
      <c r="O49" s="7">
        <f>'B-FTE Apr'!O49/2</f>
        <v>0</v>
      </c>
      <c r="P49" s="7">
        <f>'B-FTE Apr'!P49/2</f>
        <v>0</v>
      </c>
      <c r="Q49" s="7">
        <f>'B-FTE Apr'!Q49/2</f>
        <v>0</v>
      </c>
      <c r="R49" s="7">
        <f>'B-FTE Apr'!R49/2</f>
        <v>0</v>
      </c>
      <c r="S49" s="7">
        <f>'B-FTE Apr'!S49/2</f>
        <v>0</v>
      </c>
      <c r="T49" s="7">
        <f>'B-FTE Apr'!T49/2</f>
        <v>0</v>
      </c>
      <c r="U49" s="7">
        <f>'B-FTE Apr'!U49/2</f>
        <v>0</v>
      </c>
      <c r="V49" s="7">
        <f>'B-FTE Apr'!V49/2</f>
        <v>0</v>
      </c>
      <c r="W49" s="7">
        <f>'B-FTE Apr'!W49/2</f>
        <v>0</v>
      </c>
      <c r="X49" s="7">
        <f>'B-FTE Apr'!X49/2</f>
        <v>0</v>
      </c>
      <c r="Y49" s="7">
        <f>'B-FTE Apr'!Y49/2</f>
        <v>0</v>
      </c>
      <c r="Z49" s="7">
        <f>'B-FTE Apr'!Z49/2</f>
        <v>0</v>
      </c>
      <c r="AA49" s="7">
        <f>'B-FTE Apr'!AA49/2</f>
        <v>0</v>
      </c>
      <c r="AB49" s="7">
        <f>'B-FTE Apr'!AB49/2</f>
        <v>0</v>
      </c>
      <c r="AC49" s="7">
        <f>'B-FTE Apr'!AC49/2</f>
        <v>0</v>
      </c>
      <c r="AD49" s="7">
        <f>'B-FTE Apr'!AD49/2</f>
        <v>0</v>
      </c>
      <c r="AE49" s="7">
        <f>'B-FTE Apr'!AE49/2</f>
        <v>0</v>
      </c>
      <c r="AF49" s="7"/>
    </row>
    <row r="50" spans="1:33" x14ac:dyDescent="0.25">
      <c r="A50" s="3" t="s">
        <v>55</v>
      </c>
      <c r="B50" s="7">
        <f>'B-FTE Apr'!B50/2</f>
        <v>0</v>
      </c>
      <c r="C50" s="7">
        <f>'B-FTE Apr'!C50/2</f>
        <v>0</v>
      </c>
      <c r="D50" s="7">
        <f>'B-FTE Apr'!D50/2</f>
        <v>0</v>
      </c>
      <c r="E50" s="7">
        <f>'B-FTE Apr'!E50/2</f>
        <v>0</v>
      </c>
      <c r="F50" s="7">
        <f>'B-FTE Apr'!F50/2</f>
        <v>0</v>
      </c>
      <c r="G50" s="7">
        <f>'B-FTE Apr'!G50/2</f>
        <v>0</v>
      </c>
      <c r="H50" s="7">
        <f>'B-FTE Apr'!H50/2</f>
        <v>0</v>
      </c>
      <c r="I50" s="7">
        <f>'B-FTE Apr'!I50/2</f>
        <v>0</v>
      </c>
      <c r="J50" s="7">
        <f>'B-FTE Apr'!J50/2</f>
        <v>0</v>
      </c>
      <c r="K50" s="7">
        <f>'B-FTE Apr'!K50/2</f>
        <v>0</v>
      </c>
      <c r="L50" s="7">
        <f>'B-FTE Apr'!L50/2</f>
        <v>0</v>
      </c>
      <c r="M50" s="7">
        <f>'B-FTE Apr'!M50/2</f>
        <v>0</v>
      </c>
      <c r="N50" s="7">
        <f>'B-FTE Apr'!N50/2</f>
        <v>0</v>
      </c>
      <c r="O50" s="7">
        <f>'B-FTE Apr'!O50/2</f>
        <v>0</v>
      </c>
      <c r="P50" s="7">
        <f>'B-FTE Apr'!P50/2</f>
        <v>0</v>
      </c>
      <c r="Q50" s="7">
        <f>'B-FTE Apr'!Q50/2</f>
        <v>0</v>
      </c>
      <c r="R50" s="7">
        <f>'B-FTE Apr'!R50/2</f>
        <v>0</v>
      </c>
      <c r="S50" s="7">
        <f>'B-FTE Apr'!S50/2</f>
        <v>0</v>
      </c>
      <c r="T50" s="7">
        <f>'B-FTE Apr'!T50/2</f>
        <v>0</v>
      </c>
      <c r="U50" s="7">
        <f>'B-FTE Apr'!U50/2</f>
        <v>0</v>
      </c>
      <c r="V50" s="7">
        <f>'B-FTE Apr'!V50/2</f>
        <v>0</v>
      </c>
      <c r="W50" s="7">
        <f>'B-FTE Apr'!W50/2</f>
        <v>0</v>
      </c>
      <c r="X50" s="7">
        <f>'B-FTE Apr'!X50/2</f>
        <v>0</v>
      </c>
      <c r="Y50" s="7">
        <f>'B-FTE Apr'!Y50/2</f>
        <v>0</v>
      </c>
      <c r="Z50" s="7">
        <f>'B-FTE Apr'!Z50/2</f>
        <v>0</v>
      </c>
      <c r="AA50" s="7">
        <f>'B-FTE Apr'!AA50/2</f>
        <v>0</v>
      </c>
      <c r="AB50" s="7">
        <f>'B-FTE Apr'!AB50/2</f>
        <v>0</v>
      </c>
      <c r="AC50" s="7">
        <f>'B-FTE Apr'!AC50/2</f>
        <v>0</v>
      </c>
      <c r="AD50" s="7">
        <f>'B-FTE Apr'!AD50/2</f>
        <v>0</v>
      </c>
      <c r="AE50" s="7">
        <f>'B-FTE Apr'!AE50/2</f>
        <v>0</v>
      </c>
      <c r="AF50" s="7"/>
    </row>
    <row r="51" spans="1:33" x14ac:dyDescent="0.25">
      <c r="A51" s="12" t="s">
        <v>59</v>
      </c>
      <c r="B51" s="13">
        <f>SUM(B3:B50)</f>
        <v>260.57321672503116</v>
      </c>
      <c r="C51" s="13">
        <f t="shared" ref="C51:AF51" si="1">SUM(C3:C50)</f>
        <v>197.33056587340869</v>
      </c>
      <c r="D51" s="13">
        <f t="shared" si="1"/>
        <v>258.8632064345386</v>
      </c>
      <c r="E51" s="13">
        <f t="shared" si="1"/>
        <v>0</v>
      </c>
      <c r="F51" s="13">
        <f t="shared" si="1"/>
        <v>0</v>
      </c>
      <c r="G51" s="13">
        <f t="shared" si="1"/>
        <v>403.2573996936178</v>
      </c>
      <c r="H51" s="13">
        <f t="shared" si="1"/>
        <v>225.00962433221946</v>
      </c>
      <c r="I51" s="13">
        <f t="shared" si="1"/>
        <v>234.03570567636001</v>
      </c>
      <c r="J51" s="13">
        <f t="shared" si="1"/>
        <v>177.12471454899384</v>
      </c>
      <c r="K51" s="13">
        <f t="shared" si="1"/>
        <v>227.18179956608844</v>
      </c>
      <c r="L51" s="13">
        <f t="shared" si="1"/>
        <v>0</v>
      </c>
      <c r="M51" s="13">
        <f t="shared" si="1"/>
        <v>0</v>
      </c>
      <c r="N51" s="13">
        <f t="shared" si="1"/>
        <v>358.27026410536206</v>
      </c>
      <c r="O51" s="13">
        <f t="shared" si="1"/>
        <v>215.67851412545056</v>
      </c>
      <c r="P51" s="13">
        <f t="shared" si="1"/>
        <v>241.2269921952963</v>
      </c>
      <c r="Q51" s="13">
        <f t="shared" si="1"/>
        <v>179.42629596700812</v>
      </c>
      <c r="R51" s="13">
        <f t="shared" si="1"/>
        <v>217.79985121554807</v>
      </c>
      <c r="S51" s="13">
        <f t="shared" si="1"/>
        <v>0</v>
      </c>
      <c r="T51" s="13">
        <f t="shared" si="1"/>
        <v>0</v>
      </c>
      <c r="U51" s="13">
        <f t="shared" si="1"/>
        <v>369.90757737957898</v>
      </c>
      <c r="V51" s="13">
        <f t="shared" si="1"/>
        <v>212.00892447504222</v>
      </c>
      <c r="W51" s="13">
        <f t="shared" si="1"/>
        <v>231.01314694667857</v>
      </c>
      <c r="X51" s="13">
        <f t="shared" si="1"/>
        <v>172.06863006845629</v>
      </c>
      <c r="Y51" s="13">
        <f t="shared" si="1"/>
        <v>223.47061507077618</v>
      </c>
      <c r="Z51" s="13">
        <f t="shared" si="1"/>
        <v>0</v>
      </c>
      <c r="AA51" s="13">
        <f t="shared" si="1"/>
        <v>0</v>
      </c>
      <c r="AB51" s="13">
        <f t="shared" si="1"/>
        <v>342.55665603056542</v>
      </c>
      <c r="AC51" s="13">
        <f t="shared" si="1"/>
        <v>214.34285743909285</v>
      </c>
      <c r="AD51" s="13">
        <f t="shared" si="1"/>
        <v>215.68313577488439</v>
      </c>
      <c r="AE51" s="13">
        <f t="shared" si="1"/>
        <v>172.17030635599912</v>
      </c>
      <c r="AF51" s="13">
        <f t="shared" si="1"/>
        <v>0</v>
      </c>
      <c r="AG51" s="13">
        <f>SUM(B51:AF51)</f>
        <v>5348.9999999999964</v>
      </c>
    </row>
  </sheetData>
  <dataValidations count="1">
    <dataValidation type="list" allowBlank="1" showInputMessage="1" showErrorMessage="1" sqref="A2" xr:uid="{4D6A9593-1B28-486F-ADD1-3FA9A204B6B2}">
      <formula1>"15-Day,45-Day"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ba9959-0e91-4086-8016-2813c9dda8dd" xsi:nil="true"/>
    <lcf76f155ced4ddcb4097134ff3c332f xmlns="5400a040-b3f5-47f9-9a13-54d9db38fb0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1F34C8C2AE843887E5CDE9293CF3F" ma:contentTypeVersion="17" ma:contentTypeDescription="Create a new document." ma:contentTypeScope="" ma:versionID="1b6ecbfbf066e6ab812d19aa622825ea">
  <xsd:schema xmlns:xsd="http://www.w3.org/2001/XMLSchema" xmlns:xs="http://www.w3.org/2001/XMLSchema" xmlns:p="http://schemas.microsoft.com/office/2006/metadata/properties" xmlns:ns2="5400a040-b3f5-47f9-9a13-54d9db38fb00" xmlns:ns3="ebba9959-0e91-4086-8016-2813c9dda8dd" targetNamespace="http://schemas.microsoft.com/office/2006/metadata/properties" ma:root="true" ma:fieldsID="8018975a611d91aa995746ad59daac88" ns2:_="" ns3:_="">
    <xsd:import namespace="5400a040-b3f5-47f9-9a13-54d9db38fb00"/>
    <xsd:import namespace="ebba9959-0e91-4086-8016-2813c9dda8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Tag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0a040-b3f5-47f9-9a13-54d9db38fb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628a5da-d45e-42ae-85d8-29b7af5200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a9959-0e91-4086-8016-2813c9dda8d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389aabf-b60f-43e5-95bf-7788e71914fc}" ma:internalName="TaxCatchAll" ma:showField="CatchAllData" ma:web="ebba9959-0e91-4086-8016-2813c9dda8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B55118-A833-4E67-8627-CB9EF08EF2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9B59C5-7433-4035-997B-53258CE18E7D}">
  <ds:schemaRefs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5400a040-b3f5-47f9-9a13-54d9db38fb00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ebba9959-0e91-4086-8016-2813c9dda8dd"/>
  </ds:schemaRefs>
</ds:datastoreItem>
</file>

<file path=customXml/itemProps3.xml><?xml version="1.0" encoding="utf-8"?>
<ds:datastoreItem xmlns:ds="http://schemas.openxmlformats.org/officeDocument/2006/customXml" ds:itemID="{08AEC243-83DB-4F7F-96B9-3362486588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00a040-b3f5-47f9-9a13-54d9db38fb00"/>
    <ds:schemaRef ds:uri="ebba9959-0e91-4086-8016-2813c9dda8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V-FTE Mar</vt:lpstr>
      <vt:lpstr>V-Vol Mar</vt:lpstr>
      <vt:lpstr>V-Hrs Mar</vt:lpstr>
      <vt:lpstr>V-FTE Apr</vt:lpstr>
      <vt:lpstr>V-Vol Apr</vt:lpstr>
      <vt:lpstr>V-Hrs Apr</vt:lpstr>
      <vt:lpstr>C-FTE Mar</vt:lpstr>
      <vt:lpstr>C-Vol Mar</vt:lpstr>
      <vt:lpstr>C-Hrs Mar</vt:lpstr>
      <vt:lpstr>C-FTE Apr</vt:lpstr>
      <vt:lpstr>C-Vol Apr</vt:lpstr>
      <vt:lpstr>C-Hrs Apr</vt:lpstr>
      <vt:lpstr>B-FTE Mar</vt:lpstr>
      <vt:lpstr>B-Vol Mar</vt:lpstr>
      <vt:lpstr>B-Hrs Mar</vt:lpstr>
      <vt:lpstr>B-FTE Apr</vt:lpstr>
      <vt:lpstr>B-Vol Apr</vt:lpstr>
      <vt:lpstr>B-Hrs Apr</vt:lpstr>
    </vt:vector>
  </TitlesOfParts>
  <Manager/>
  <Company>Cox Communications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Armstrong, Thomas (CCI-Atlanta)</dc:creator>
  <cp:keywords/>
  <dc:description/>
  <cp:lastModifiedBy>Jonathan Kyle</cp:lastModifiedBy>
  <cp:revision/>
  <dcterms:created xsi:type="dcterms:W3CDTF">2025-10-16T19:49:14Z</dcterms:created>
  <dcterms:modified xsi:type="dcterms:W3CDTF">2026-03-04T21:17:18Z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0x010100B851F34C8C2AE843887E5CDE9293CF3F</vt:lpwstr>
  </property>
  <property fmtid="{D5CDD505-2E9C-101B-9397-08002B2CF9AE}" pid="3" name="MediaServiceImageTags">
    <vt:lpwstr/>
  </property>
</Properties>
</file>